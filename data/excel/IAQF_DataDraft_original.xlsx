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gelli/Library/Containers/net.whatsapp.WhatsApp/Data/tmp/documents/E0D4D91D-CAC4-4012-BB72-78C981F2820E/"/>
    </mc:Choice>
  </mc:AlternateContent>
  <xr:revisionPtr revIDLastSave="0" documentId="8_{FDADDA11-1C83-5E43-9B51-AD3BA6130E3D}" xr6:coauthVersionLast="47" xr6:coauthVersionMax="47" xr10:uidLastSave="{00000000-0000-0000-0000-000000000000}"/>
  <bookViews>
    <workbookView xWindow="2600" yWindow="1400" windowWidth="27640" windowHeight="16940" xr2:uid="{67230A1A-8676-1043-9744-9696BF2B70EB}"/>
  </bookViews>
  <sheets>
    <sheet name="usdc " sheetId="1" r:id="rId1"/>
    <sheet name="usdt 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1" i="2" l="1"/>
  <c r="D1490" i="2"/>
  <c r="Q1489" i="2"/>
  <c r="P1489" i="2"/>
  <c r="R1489" i="2" s="1"/>
  <c r="L1489" i="2"/>
  <c r="J1489" i="2"/>
  <c r="N1489" i="2" s="1"/>
  <c r="Q1488" i="2"/>
  <c r="P1488" i="2"/>
  <c r="R1488" i="2" s="1"/>
  <c r="L1488" i="2"/>
  <c r="J1488" i="2"/>
  <c r="N1488" i="2" s="1"/>
  <c r="Q1487" i="2"/>
  <c r="P1487" i="2"/>
  <c r="R1487" i="2" s="1"/>
  <c r="L1487" i="2"/>
  <c r="J1487" i="2"/>
  <c r="N1487" i="2" s="1"/>
  <c r="R1486" i="2"/>
  <c r="Q1486" i="2"/>
  <c r="P1486" i="2"/>
  <c r="L1486" i="2"/>
  <c r="J1486" i="2"/>
  <c r="Q1485" i="2"/>
  <c r="R1485" i="2" s="1"/>
  <c r="P1485" i="2"/>
  <c r="L1485" i="2"/>
  <c r="N1485" i="2" s="1"/>
  <c r="J1485" i="2"/>
  <c r="Q1484" i="2"/>
  <c r="P1484" i="2"/>
  <c r="L1484" i="2"/>
  <c r="J1484" i="2"/>
  <c r="N1484" i="2" s="1"/>
  <c r="Q1483" i="2"/>
  <c r="P1483" i="2"/>
  <c r="L1483" i="2"/>
  <c r="J1483" i="2"/>
  <c r="Q1482" i="2"/>
  <c r="P1482" i="2"/>
  <c r="R1482" i="2" s="1"/>
  <c r="L1482" i="2"/>
  <c r="J1482" i="2"/>
  <c r="Q1481" i="2"/>
  <c r="R1481" i="2" s="1"/>
  <c r="P1481" i="2"/>
  <c r="L1481" i="2"/>
  <c r="N1481" i="2" s="1"/>
  <c r="J1481" i="2"/>
  <c r="Q1480" i="2"/>
  <c r="P1480" i="2"/>
  <c r="R1480" i="2" s="1"/>
  <c r="L1480" i="2"/>
  <c r="N1480" i="2" s="1"/>
  <c r="J1480" i="2"/>
  <c r="Q1479" i="2"/>
  <c r="P1479" i="2"/>
  <c r="R1479" i="2" s="1"/>
  <c r="L1479" i="2"/>
  <c r="J1479" i="2"/>
  <c r="Q1478" i="2"/>
  <c r="P1478" i="2"/>
  <c r="L1478" i="2"/>
  <c r="J1478" i="2"/>
  <c r="N1478" i="2" s="1"/>
  <c r="Q1477" i="2"/>
  <c r="P1477" i="2"/>
  <c r="R1477" i="2" s="1"/>
  <c r="L1477" i="2"/>
  <c r="J1477" i="2"/>
  <c r="N1477" i="2" s="1"/>
  <c r="R1476" i="2"/>
  <c r="Q1476" i="2"/>
  <c r="P1476" i="2"/>
  <c r="N1476" i="2"/>
  <c r="L1476" i="2"/>
  <c r="J1476" i="2"/>
  <c r="Q1475" i="2"/>
  <c r="P1475" i="2"/>
  <c r="R1475" i="2" s="1"/>
  <c r="L1475" i="2"/>
  <c r="N1475" i="2" s="1"/>
  <c r="J1475" i="2"/>
  <c r="Q1474" i="2"/>
  <c r="P1474" i="2"/>
  <c r="L1474" i="2"/>
  <c r="J1474" i="2"/>
  <c r="N1474" i="2" s="1"/>
  <c r="Q1473" i="2"/>
  <c r="P1473" i="2"/>
  <c r="L1473" i="2"/>
  <c r="J1473" i="2"/>
  <c r="N1473" i="2" s="1"/>
  <c r="Q1472" i="2"/>
  <c r="P1472" i="2"/>
  <c r="R1472" i="2" s="1"/>
  <c r="N1472" i="2"/>
  <c r="L1472" i="2"/>
  <c r="J1472" i="2"/>
  <c r="Q1471" i="2"/>
  <c r="P1471" i="2"/>
  <c r="R1471" i="2" s="1"/>
  <c r="L1471" i="2"/>
  <c r="J1471" i="2"/>
  <c r="N1471" i="2" s="1"/>
  <c r="Q1470" i="2"/>
  <c r="P1470" i="2"/>
  <c r="N1470" i="2"/>
  <c r="L1470" i="2"/>
  <c r="J1470" i="2"/>
  <c r="Q1469" i="2"/>
  <c r="P1469" i="2"/>
  <c r="L1469" i="2"/>
  <c r="J1469" i="2"/>
  <c r="N1469" i="2" s="1"/>
  <c r="Q1468" i="2"/>
  <c r="P1468" i="2"/>
  <c r="L1468" i="2"/>
  <c r="J1468" i="2"/>
  <c r="Q1467" i="2"/>
  <c r="P1467" i="2"/>
  <c r="R1467" i="2" s="1"/>
  <c r="L1467" i="2"/>
  <c r="J1467" i="2"/>
  <c r="N1467" i="2" s="1"/>
  <c r="Q1466" i="2"/>
  <c r="R1466" i="2" s="1"/>
  <c r="P1466" i="2"/>
  <c r="N1466" i="2"/>
  <c r="L1466" i="2"/>
  <c r="J1466" i="2"/>
  <c r="Q1465" i="2"/>
  <c r="P1465" i="2"/>
  <c r="L1465" i="2"/>
  <c r="J1465" i="2"/>
  <c r="Q1464" i="2"/>
  <c r="P1464" i="2"/>
  <c r="R1464" i="2" s="1"/>
  <c r="L1464" i="2"/>
  <c r="J1464" i="2"/>
  <c r="N1464" i="2" s="1"/>
  <c r="Q1463" i="2"/>
  <c r="P1463" i="2"/>
  <c r="R1463" i="2" s="1"/>
  <c r="L1463" i="2"/>
  <c r="J1463" i="2"/>
  <c r="Q1462" i="2"/>
  <c r="P1462" i="2"/>
  <c r="R1462" i="2" s="1"/>
  <c r="L1462" i="2"/>
  <c r="J1462" i="2"/>
  <c r="N1462" i="2" s="1"/>
  <c r="R1461" i="2"/>
  <c r="Q1461" i="2"/>
  <c r="P1461" i="2"/>
  <c r="L1461" i="2"/>
  <c r="J1461" i="2"/>
  <c r="Q1460" i="2"/>
  <c r="P1460" i="2"/>
  <c r="L1460" i="2"/>
  <c r="J1460" i="2"/>
  <c r="Q1459" i="2"/>
  <c r="P1459" i="2"/>
  <c r="N1459" i="2"/>
  <c r="L1459" i="2"/>
  <c r="J1459" i="2"/>
  <c r="Q1458" i="2"/>
  <c r="P1458" i="2"/>
  <c r="L1458" i="2"/>
  <c r="J1458" i="2"/>
  <c r="Q1457" i="2"/>
  <c r="P1457" i="2"/>
  <c r="L1457" i="2"/>
  <c r="J1457" i="2"/>
  <c r="N1457" i="2" s="1"/>
  <c r="Q1456" i="2"/>
  <c r="P1456" i="2"/>
  <c r="R1456" i="2" s="1"/>
  <c r="L1456" i="2"/>
  <c r="J1456" i="2"/>
  <c r="Q1455" i="2"/>
  <c r="P1455" i="2"/>
  <c r="R1455" i="2" s="1"/>
  <c r="L1455" i="2"/>
  <c r="J1455" i="2"/>
  <c r="N1455" i="2" s="1"/>
  <c r="Q1454" i="2"/>
  <c r="P1454" i="2"/>
  <c r="R1454" i="2" s="1"/>
  <c r="L1454" i="2"/>
  <c r="J1454" i="2"/>
  <c r="Q1453" i="2"/>
  <c r="P1453" i="2"/>
  <c r="L1453" i="2"/>
  <c r="J1453" i="2"/>
  <c r="Q1452" i="2"/>
  <c r="P1452" i="2"/>
  <c r="R1452" i="2" s="1"/>
  <c r="L1452" i="2"/>
  <c r="J1452" i="2"/>
  <c r="N1452" i="2" s="1"/>
  <c r="R1451" i="2"/>
  <c r="Q1451" i="2"/>
  <c r="P1451" i="2"/>
  <c r="N1451" i="2"/>
  <c r="L1451" i="2"/>
  <c r="J1451" i="2"/>
  <c r="Q1450" i="2"/>
  <c r="P1450" i="2"/>
  <c r="L1450" i="2"/>
  <c r="J1450" i="2"/>
  <c r="Q1449" i="2"/>
  <c r="P1449" i="2"/>
  <c r="L1449" i="2"/>
  <c r="J1449" i="2"/>
  <c r="Q1448" i="2"/>
  <c r="P1448" i="2"/>
  <c r="R1448" i="2" s="1"/>
  <c r="L1448" i="2"/>
  <c r="J1448" i="2"/>
  <c r="R1447" i="2"/>
  <c r="Q1447" i="2"/>
  <c r="P1447" i="2"/>
  <c r="L1447" i="2"/>
  <c r="J1447" i="2"/>
  <c r="N1447" i="2" s="1"/>
  <c r="R1446" i="2"/>
  <c r="Q1446" i="2"/>
  <c r="P1446" i="2"/>
  <c r="N1446" i="2"/>
  <c r="L1446" i="2"/>
  <c r="J1446" i="2"/>
  <c r="Q1445" i="2"/>
  <c r="R1445" i="2" s="1"/>
  <c r="P1445" i="2"/>
  <c r="L1445" i="2"/>
  <c r="J1445" i="2"/>
  <c r="Q1444" i="2"/>
  <c r="P1444" i="2"/>
  <c r="N1444" i="2"/>
  <c r="L1444" i="2"/>
  <c r="J1444" i="2"/>
  <c r="Q1443" i="2"/>
  <c r="P1443" i="2"/>
  <c r="L1443" i="2"/>
  <c r="J1443" i="2"/>
  <c r="N1443" i="2" s="1"/>
  <c r="Q1442" i="2"/>
  <c r="P1442" i="2"/>
  <c r="L1442" i="2"/>
  <c r="N1442" i="2" s="1"/>
  <c r="J1442" i="2"/>
  <c r="R1441" i="2"/>
  <c r="Q1441" i="2"/>
  <c r="P1441" i="2"/>
  <c r="L1441" i="2"/>
  <c r="J1441" i="2"/>
  <c r="N1441" i="2" s="1"/>
  <c r="R1440" i="2"/>
  <c r="Q1440" i="2"/>
  <c r="P1440" i="2"/>
  <c r="N1440" i="2"/>
  <c r="L1440" i="2"/>
  <c r="J1440" i="2"/>
  <c r="Q1439" i="2"/>
  <c r="P1439" i="2"/>
  <c r="R1439" i="2" s="1"/>
  <c r="L1439" i="2"/>
  <c r="J1439" i="2"/>
  <c r="N1439" i="2" s="1"/>
  <c r="Q1438" i="2"/>
  <c r="P1438" i="2"/>
  <c r="L1438" i="2"/>
  <c r="J1438" i="2"/>
  <c r="N1438" i="2" s="1"/>
  <c r="Q1437" i="2"/>
  <c r="P1437" i="2"/>
  <c r="R1437" i="2" s="1"/>
  <c r="L1437" i="2"/>
  <c r="J1437" i="2"/>
  <c r="N1437" i="2" s="1"/>
  <c r="Q1436" i="2"/>
  <c r="P1436" i="2"/>
  <c r="R1436" i="2" s="1"/>
  <c r="L1436" i="2"/>
  <c r="J1436" i="2"/>
  <c r="N1436" i="2" s="1"/>
  <c r="Q1435" i="2"/>
  <c r="R1435" i="2" s="1"/>
  <c r="P1435" i="2"/>
  <c r="N1435" i="2"/>
  <c r="L1435" i="2"/>
  <c r="J1435" i="2"/>
  <c r="Q1434" i="2"/>
  <c r="P1434" i="2"/>
  <c r="L1434" i="2"/>
  <c r="J1434" i="2"/>
  <c r="Q1433" i="2"/>
  <c r="P1433" i="2"/>
  <c r="L1433" i="2"/>
  <c r="J1433" i="2"/>
  <c r="N1433" i="2" s="1"/>
  <c r="R1432" i="2"/>
  <c r="Q1432" i="2"/>
  <c r="P1432" i="2"/>
  <c r="L1432" i="2"/>
  <c r="J1432" i="2"/>
  <c r="N1432" i="2" s="1"/>
  <c r="Q1431" i="2"/>
  <c r="P1431" i="2"/>
  <c r="L1431" i="2"/>
  <c r="J1431" i="2"/>
  <c r="R1430" i="2"/>
  <c r="Q1430" i="2"/>
  <c r="P1430" i="2"/>
  <c r="L1430" i="2"/>
  <c r="N1430" i="2" s="1"/>
  <c r="J1430" i="2"/>
  <c r="Q1429" i="2"/>
  <c r="P1429" i="2"/>
  <c r="N1429" i="2"/>
  <c r="L1429" i="2"/>
  <c r="J1429" i="2"/>
  <c r="Q1428" i="2"/>
  <c r="P1428" i="2"/>
  <c r="L1428" i="2"/>
  <c r="J1428" i="2"/>
  <c r="N1428" i="2" s="1"/>
  <c r="Q1427" i="2"/>
  <c r="R1427" i="2" s="1"/>
  <c r="P1427" i="2"/>
  <c r="N1427" i="2"/>
  <c r="L1427" i="2"/>
  <c r="J1427" i="2"/>
  <c r="Q1426" i="2"/>
  <c r="R1426" i="2" s="1"/>
  <c r="P1426" i="2"/>
  <c r="L1426" i="2"/>
  <c r="J1426" i="2"/>
  <c r="N1426" i="2" s="1"/>
  <c r="Q1425" i="2"/>
  <c r="P1425" i="2"/>
  <c r="R1425" i="2" s="1"/>
  <c r="N1425" i="2"/>
  <c r="L1425" i="2"/>
  <c r="J1425" i="2"/>
  <c r="Q1424" i="2"/>
  <c r="P1424" i="2"/>
  <c r="L1424" i="2"/>
  <c r="J1424" i="2"/>
  <c r="Q1423" i="2"/>
  <c r="P1423" i="2"/>
  <c r="L1423" i="2"/>
  <c r="J1423" i="2"/>
  <c r="Q1422" i="2"/>
  <c r="P1422" i="2"/>
  <c r="R1422" i="2" s="1"/>
  <c r="L1422" i="2"/>
  <c r="J1422" i="2"/>
  <c r="Q1421" i="2"/>
  <c r="P1421" i="2"/>
  <c r="R1421" i="2" s="1"/>
  <c r="L1421" i="2"/>
  <c r="J1421" i="2"/>
  <c r="N1421" i="2" s="1"/>
  <c r="Q1420" i="2"/>
  <c r="R1420" i="2" s="1"/>
  <c r="P1420" i="2"/>
  <c r="L1420" i="2"/>
  <c r="N1420" i="2" s="1"/>
  <c r="J1420" i="2"/>
  <c r="Q1419" i="2"/>
  <c r="P1419" i="2"/>
  <c r="L1419" i="2"/>
  <c r="J1419" i="2"/>
  <c r="Q1418" i="2"/>
  <c r="P1418" i="2"/>
  <c r="R1418" i="2" s="1"/>
  <c r="L1418" i="2"/>
  <c r="J1418" i="2"/>
  <c r="R1417" i="2"/>
  <c r="Q1417" i="2"/>
  <c r="P1417" i="2"/>
  <c r="L1417" i="2"/>
  <c r="J1417" i="2"/>
  <c r="N1417" i="2" s="1"/>
  <c r="Q1416" i="2"/>
  <c r="P1416" i="2"/>
  <c r="R1416" i="2" s="1"/>
  <c r="L1416" i="2"/>
  <c r="J1416" i="2"/>
  <c r="N1416" i="2" s="1"/>
  <c r="Q1415" i="2"/>
  <c r="R1415" i="2" s="1"/>
  <c r="P1415" i="2"/>
  <c r="L1415" i="2"/>
  <c r="J1415" i="2"/>
  <c r="N1415" i="2" s="1"/>
  <c r="Q1414" i="2"/>
  <c r="P1414" i="2"/>
  <c r="R1414" i="2" s="1"/>
  <c r="L1414" i="2"/>
  <c r="J1414" i="2"/>
  <c r="N1414" i="2" s="1"/>
  <c r="Q1413" i="2"/>
  <c r="P1413" i="2"/>
  <c r="L1413" i="2"/>
  <c r="J1413" i="2"/>
  <c r="N1413" i="2" s="1"/>
  <c r="Q1412" i="2"/>
  <c r="P1412" i="2"/>
  <c r="N1412" i="2"/>
  <c r="L1412" i="2"/>
  <c r="J1412" i="2"/>
  <c r="R1411" i="2"/>
  <c r="Q1411" i="2"/>
  <c r="P1411" i="2"/>
  <c r="L1411" i="2"/>
  <c r="J1411" i="2"/>
  <c r="N1411" i="2" s="1"/>
  <c r="Q1410" i="2"/>
  <c r="P1410" i="2"/>
  <c r="R1410" i="2" s="1"/>
  <c r="L1410" i="2"/>
  <c r="N1410" i="2" s="1"/>
  <c r="J1410" i="2"/>
  <c r="Q1409" i="2"/>
  <c r="P1409" i="2"/>
  <c r="R1409" i="2" s="1"/>
  <c r="L1409" i="2"/>
  <c r="J1409" i="2"/>
  <c r="Q1408" i="2"/>
  <c r="P1408" i="2"/>
  <c r="L1408" i="2"/>
  <c r="J1408" i="2"/>
  <c r="N1408" i="2" s="1"/>
  <c r="Q1407" i="2"/>
  <c r="P1407" i="2"/>
  <c r="L1407" i="2"/>
  <c r="J1407" i="2"/>
  <c r="N1407" i="2" s="1"/>
  <c r="R1406" i="2"/>
  <c r="Q1406" i="2"/>
  <c r="P1406" i="2"/>
  <c r="L1406" i="2"/>
  <c r="J1406" i="2"/>
  <c r="Q1405" i="2"/>
  <c r="R1405" i="2" s="1"/>
  <c r="P1405" i="2"/>
  <c r="L1405" i="2"/>
  <c r="N1405" i="2" s="1"/>
  <c r="J1405" i="2"/>
  <c r="Q1404" i="2"/>
  <c r="P1404" i="2"/>
  <c r="R1404" i="2" s="1"/>
  <c r="L1404" i="2"/>
  <c r="J1404" i="2"/>
  <c r="Q1403" i="2"/>
  <c r="P1403" i="2"/>
  <c r="L1403" i="2"/>
  <c r="J1403" i="2"/>
  <c r="N1403" i="2" s="1"/>
  <c r="Q1402" i="2"/>
  <c r="P1402" i="2"/>
  <c r="L1402" i="2"/>
  <c r="J1402" i="2"/>
  <c r="N1402" i="2" s="1"/>
  <c r="Q1401" i="2"/>
  <c r="P1401" i="2"/>
  <c r="R1401" i="2" s="1"/>
  <c r="N1401" i="2"/>
  <c r="L1401" i="2"/>
  <c r="J1401" i="2"/>
  <c r="Q1400" i="2"/>
  <c r="R1400" i="2" s="1"/>
  <c r="P1400" i="2"/>
  <c r="L1400" i="2"/>
  <c r="J1400" i="2"/>
  <c r="N1400" i="2" s="1"/>
  <c r="Q1399" i="2"/>
  <c r="P1399" i="2"/>
  <c r="R1399" i="2" s="1"/>
  <c r="L1399" i="2"/>
  <c r="J1399" i="2"/>
  <c r="N1399" i="2" s="1"/>
  <c r="Q1398" i="2"/>
  <c r="P1398" i="2"/>
  <c r="L1398" i="2"/>
  <c r="J1398" i="2"/>
  <c r="Q1397" i="2"/>
  <c r="P1397" i="2"/>
  <c r="R1397" i="2" s="1"/>
  <c r="L1397" i="2"/>
  <c r="J1397" i="2"/>
  <c r="Q1396" i="2"/>
  <c r="P1396" i="2"/>
  <c r="R1396" i="2" s="1"/>
  <c r="N1396" i="2"/>
  <c r="L1396" i="2"/>
  <c r="J1396" i="2"/>
  <c r="Q1395" i="2"/>
  <c r="P1395" i="2"/>
  <c r="R1395" i="2" s="1"/>
  <c r="L1395" i="2"/>
  <c r="N1395" i="2" s="1"/>
  <c r="J1395" i="2"/>
  <c r="Q1394" i="2"/>
  <c r="P1394" i="2"/>
  <c r="N1394" i="2"/>
  <c r="L1394" i="2"/>
  <c r="J1394" i="2"/>
  <c r="Q1393" i="2"/>
  <c r="P1393" i="2"/>
  <c r="L1393" i="2"/>
  <c r="J1393" i="2"/>
  <c r="Q1392" i="2"/>
  <c r="P1392" i="2"/>
  <c r="R1392" i="2" s="1"/>
  <c r="L1392" i="2"/>
  <c r="N1392" i="2" s="1"/>
  <c r="J1392" i="2"/>
  <c r="Q1391" i="2"/>
  <c r="P1391" i="2"/>
  <c r="R1391" i="2" s="1"/>
  <c r="L1391" i="2"/>
  <c r="J1391" i="2"/>
  <c r="N1391" i="2" s="1"/>
  <c r="R1390" i="2"/>
  <c r="Q1390" i="2"/>
  <c r="P1390" i="2"/>
  <c r="L1390" i="2"/>
  <c r="J1390" i="2"/>
  <c r="R1389" i="2"/>
  <c r="Q1389" i="2"/>
  <c r="P1389" i="2"/>
  <c r="L1389" i="2"/>
  <c r="J1389" i="2"/>
  <c r="Q1388" i="2"/>
  <c r="P1388" i="2"/>
  <c r="L1388" i="2"/>
  <c r="J1388" i="2"/>
  <c r="N1388" i="2" s="1"/>
  <c r="R1387" i="2"/>
  <c r="Q1387" i="2"/>
  <c r="P1387" i="2"/>
  <c r="L1387" i="2"/>
  <c r="J1387" i="2"/>
  <c r="N1387" i="2" s="1"/>
  <c r="Q1386" i="2"/>
  <c r="P1386" i="2"/>
  <c r="L1386" i="2"/>
  <c r="J1386" i="2"/>
  <c r="N1386" i="2" s="1"/>
  <c r="R1385" i="2"/>
  <c r="Q1385" i="2"/>
  <c r="P1385" i="2"/>
  <c r="L1385" i="2"/>
  <c r="J1385" i="2"/>
  <c r="N1385" i="2" s="1"/>
  <c r="Q1384" i="2"/>
  <c r="P1384" i="2"/>
  <c r="L1384" i="2"/>
  <c r="N1384" i="2" s="1"/>
  <c r="J1384" i="2"/>
  <c r="Q1383" i="2"/>
  <c r="P1383" i="2"/>
  <c r="L1383" i="2"/>
  <c r="J1383" i="2"/>
  <c r="Q1382" i="2"/>
  <c r="P1382" i="2"/>
  <c r="R1382" i="2" s="1"/>
  <c r="L1382" i="2"/>
  <c r="J1382" i="2"/>
  <c r="R1381" i="2"/>
  <c r="Q1381" i="2"/>
  <c r="P1381" i="2"/>
  <c r="L1381" i="2"/>
  <c r="J1381" i="2"/>
  <c r="Q1380" i="2"/>
  <c r="R1380" i="2" s="1"/>
  <c r="P1380" i="2"/>
  <c r="L1380" i="2"/>
  <c r="J1380" i="2"/>
  <c r="Q1379" i="2"/>
  <c r="P1379" i="2"/>
  <c r="R1379" i="2" s="1"/>
  <c r="L1379" i="2"/>
  <c r="J1379" i="2"/>
  <c r="N1379" i="2" s="1"/>
  <c r="Q1378" i="2"/>
  <c r="P1378" i="2"/>
  <c r="L1378" i="2"/>
  <c r="J1378" i="2"/>
  <c r="Q1377" i="2"/>
  <c r="P1377" i="2"/>
  <c r="R1377" i="2" s="1"/>
  <c r="L1377" i="2"/>
  <c r="J1377" i="2"/>
  <c r="N1377" i="2" s="1"/>
  <c r="Q1376" i="2"/>
  <c r="P1376" i="2"/>
  <c r="R1376" i="2" s="1"/>
  <c r="N1376" i="2"/>
  <c r="L1376" i="2"/>
  <c r="J1376" i="2"/>
  <c r="Q1375" i="2"/>
  <c r="P1375" i="2"/>
  <c r="L1375" i="2"/>
  <c r="N1375" i="2" s="1"/>
  <c r="J1375" i="2"/>
  <c r="R1374" i="2"/>
  <c r="Q1374" i="2"/>
  <c r="P1374" i="2"/>
  <c r="L1374" i="2"/>
  <c r="J1374" i="2"/>
  <c r="Q1373" i="2"/>
  <c r="P1373" i="2"/>
  <c r="L1373" i="2"/>
  <c r="J1373" i="2"/>
  <c r="N1373" i="2" s="1"/>
  <c r="Q1372" i="2"/>
  <c r="P1372" i="2"/>
  <c r="L1372" i="2"/>
  <c r="J1372" i="2"/>
  <c r="N1372" i="2" s="1"/>
  <c r="R1371" i="2"/>
  <c r="Q1371" i="2"/>
  <c r="P1371" i="2"/>
  <c r="L1371" i="2"/>
  <c r="J1371" i="2"/>
  <c r="Q1370" i="2"/>
  <c r="P1370" i="2"/>
  <c r="L1370" i="2"/>
  <c r="N1370" i="2" s="1"/>
  <c r="J1370" i="2"/>
  <c r="Q1369" i="2"/>
  <c r="R1369" i="2" s="1"/>
  <c r="P1369" i="2"/>
  <c r="L1369" i="2"/>
  <c r="J1369" i="2"/>
  <c r="N1369" i="2" s="1"/>
  <c r="Q1368" i="2"/>
  <c r="P1368" i="2"/>
  <c r="L1368" i="2"/>
  <c r="J1368" i="2"/>
  <c r="Q1367" i="2"/>
  <c r="R1367" i="2" s="1"/>
  <c r="P1367" i="2"/>
  <c r="N1367" i="2"/>
  <c r="L1367" i="2"/>
  <c r="J1367" i="2"/>
  <c r="Q1366" i="2"/>
  <c r="P1366" i="2"/>
  <c r="R1366" i="2" s="1"/>
  <c r="L1366" i="2"/>
  <c r="J1366" i="2"/>
  <c r="N1366" i="2" s="1"/>
  <c r="R1365" i="2"/>
  <c r="Q1365" i="2"/>
  <c r="P1365" i="2"/>
  <c r="L1365" i="2"/>
  <c r="N1365" i="2" s="1"/>
  <c r="J1365" i="2"/>
  <c r="Q1364" i="2"/>
  <c r="P1364" i="2"/>
  <c r="L1364" i="2"/>
  <c r="N1364" i="2" s="1"/>
  <c r="J1364" i="2"/>
  <c r="Q1363" i="2"/>
  <c r="P1363" i="2"/>
  <c r="L1363" i="2"/>
  <c r="J1363" i="2"/>
  <c r="Q1362" i="2"/>
  <c r="P1362" i="2"/>
  <c r="L1362" i="2"/>
  <c r="J1362" i="2"/>
  <c r="Q1361" i="2"/>
  <c r="P1361" i="2"/>
  <c r="R1361" i="2" s="1"/>
  <c r="L1361" i="2"/>
  <c r="J1361" i="2"/>
  <c r="Q1360" i="2"/>
  <c r="R1360" i="2" s="1"/>
  <c r="P1360" i="2"/>
  <c r="N1360" i="2"/>
  <c r="L1360" i="2"/>
  <c r="J1360" i="2"/>
  <c r="Q1359" i="2"/>
  <c r="P1359" i="2"/>
  <c r="L1359" i="2"/>
  <c r="J1359" i="2"/>
  <c r="N1359" i="2" s="1"/>
  <c r="Q1358" i="2"/>
  <c r="P1358" i="2"/>
  <c r="L1358" i="2"/>
  <c r="J1358" i="2"/>
  <c r="Q1357" i="2"/>
  <c r="P1357" i="2"/>
  <c r="R1357" i="2" s="1"/>
  <c r="L1357" i="2"/>
  <c r="J1357" i="2"/>
  <c r="Q1356" i="2"/>
  <c r="P1356" i="2"/>
  <c r="R1356" i="2" s="1"/>
  <c r="L1356" i="2"/>
  <c r="J1356" i="2"/>
  <c r="R1355" i="2"/>
  <c r="Q1355" i="2"/>
  <c r="P1355" i="2"/>
  <c r="L1355" i="2"/>
  <c r="J1355" i="2"/>
  <c r="N1355" i="2" s="1"/>
  <c r="Q1354" i="2"/>
  <c r="P1354" i="2"/>
  <c r="R1354" i="2" s="1"/>
  <c r="L1354" i="2"/>
  <c r="J1354" i="2"/>
  <c r="Q1353" i="2"/>
  <c r="P1353" i="2"/>
  <c r="L1353" i="2"/>
  <c r="J1353" i="2"/>
  <c r="Q1352" i="2"/>
  <c r="P1352" i="2"/>
  <c r="R1352" i="2" s="1"/>
  <c r="L1352" i="2"/>
  <c r="J1352" i="2"/>
  <c r="R1351" i="2"/>
  <c r="Q1351" i="2"/>
  <c r="P1351" i="2"/>
  <c r="L1351" i="2"/>
  <c r="J1351" i="2"/>
  <c r="N1351" i="2" s="1"/>
  <c r="Q1350" i="2"/>
  <c r="P1350" i="2"/>
  <c r="L1350" i="2"/>
  <c r="N1350" i="2" s="1"/>
  <c r="J1350" i="2"/>
  <c r="R1349" i="2"/>
  <c r="Q1349" i="2"/>
  <c r="P1349" i="2"/>
  <c r="L1349" i="2"/>
  <c r="J1349" i="2"/>
  <c r="Q1348" i="2"/>
  <c r="P1348" i="2"/>
  <c r="L1348" i="2"/>
  <c r="J1348" i="2"/>
  <c r="N1348" i="2" s="1"/>
  <c r="R1347" i="2"/>
  <c r="Q1347" i="2"/>
  <c r="P1347" i="2"/>
  <c r="L1347" i="2"/>
  <c r="J1347" i="2"/>
  <c r="Q1346" i="2"/>
  <c r="P1346" i="2"/>
  <c r="R1346" i="2" s="1"/>
  <c r="L1346" i="2"/>
  <c r="J1346" i="2"/>
  <c r="N1346" i="2" s="1"/>
  <c r="R1345" i="2"/>
  <c r="Q1345" i="2"/>
  <c r="P1345" i="2"/>
  <c r="L1345" i="2"/>
  <c r="N1345" i="2" s="1"/>
  <c r="J1345" i="2"/>
  <c r="Q1344" i="2"/>
  <c r="P1344" i="2"/>
  <c r="L1344" i="2"/>
  <c r="J1344" i="2"/>
  <c r="N1344" i="2" s="1"/>
  <c r="Q1343" i="2"/>
  <c r="P1343" i="2"/>
  <c r="L1343" i="2"/>
  <c r="J1343" i="2"/>
  <c r="N1343" i="2" s="1"/>
  <c r="Q1342" i="2"/>
  <c r="R1342" i="2" s="1"/>
  <c r="P1342" i="2"/>
  <c r="N1342" i="2"/>
  <c r="L1342" i="2"/>
  <c r="J1342" i="2"/>
  <c r="Q1341" i="2"/>
  <c r="P1341" i="2"/>
  <c r="L1341" i="2"/>
  <c r="J1341" i="2"/>
  <c r="R1340" i="2"/>
  <c r="Q1340" i="2"/>
  <c r="P1340" i="2"/>
  <c r="N1340" i="2"/>
  <c r="L1340" i="2"/>
  <c r="J1340" i="2"/>
  <c r="Q1339" i="2"/>
  <c r="P1339" i="2"/>
  <c r="L1339" i="2"/>
  <c r="N1339" i="2" s="1"/>
  <c r="J1339" i="2"/>
  <c r="Q1338" i="2"/>
  <c r="P1338" i="2"/>
  <c r="L1338" i="2"/>
  <c r="J1338" i="2"/>
  <c r="N1338" i="2" s="1"/>
  <c r="Q1337" i="2"/>
  <c r="P1337" i="2"/>
  <c r="R1337" i="2" s="1"/>
  <c r="N1337" i="2"/>
  <c r="L1337" i="2"/>
  <c r="J1337" i="2"/>
  <c r="Q1336" i="2"/>
  <c r="P1336" i="2"/>
  <c r="R1336" i="2" s="1"/>
  <c r="L1336" i="2"/>
  <c r="J1336" i="2"/>
  <c r="R1335" i="2"/>
  <c r="Q1335" i="2"/>
  <c r="P1335" i="2"/>
  <c r="N1335" i="2"/>
  <c r="L1335" i="2"/>
  <c r="J1335" i="2"/>
  <c r="Q1334" i="2"/>
  <c r="P1334" i="2"/>
  <c r="R1334" i="2" s="1"/>
  <c r="L1334" i="2"/>
  <c r="J1334" i="2"/>
  <c r="N1334" i="2" s="1"/>
  <c r="Q1333" i="2"/>
  <c r="P1333" i="2"/>
  <c r="L1333" i="2"/>
  <c r="J1333" i="2"/>
  <c r="Q1332" i="2"/>
  <c r="P1332" i="2"/>
  <c r="N1332" i="2"/>
  <c r="L1332" i="2"/>
  <c r="J1332" i="2"/>
  <c r="R1331" i="2"/>
  <c r="Q1331" i="2"/>
  <c r="P1331" i="2"/>
  <c r="L1331" i="2"/>
  <c r="J1331" i="2"/>
  <c r="N1331" i="2" s="1"/>
  <c r="Q1330" i="2"/>
  <c r="R1330" i="2" s="1"/>
  <c r="P1330" i="2"/>
  <c r="N1330" i="2"/>
  <c r="L1330" i="2"/>
  <c r="J1330" i="2"/>
  <c r="Q1329" i="2"/>
  <c r="P1329" i="2"/>
  <c r="L1329" i="2"/>
  <c r="J1329" i="2"/>
  <c r="N1329" i="2" s="1"/>
  <c r="Q1328" i="2"/>
  <c r="P1328" i="2"/>
  <c r="L1328" i="2"/>
  <c r="J1328" i="2"/>
  <c r="Q1327" i="2"/>
  <c r="P1327" i="2"/>
  <c r="L1327" i="2"/>
  <c r="J1327" i="2"/>
  <c r="Q1326" i="2"/>
  <c r="P1326" i="2"/>
  <c r="R1326" i="2" s="1"/>
  <c r="N1326" i="2"/>
  <c r="L1326" i="2"/>
  <c r="J1326" i="2"/>
  <c r="Q1325" i="2"/>
  <c r="R1325" i="2" s="1"/>
  <c r="P1325" i="2"/>
  <c r="L1325" i="2"/>
  <c r="J1325" i="2"/>
  <c r="R1324" i="2"/>
  <c r="Q1324" i="2"/>
  <c r="P1324" i="2"/>
  <c r="L1324" i="2"/>
  <c r="J1324" i="2"/>
  <c r="Q1323" i="2"/>
  <c r="P1323" i="2"/>
  <c r="R1323" i="2" s="1"/>
  <c r="L1323" i="2"/>
  <c r="J1323" i="2"/>
  <c r="R1322" i="2"/>
  <c r="Q1322" i="2"/>
  <c r="P1322" i="2"/>
  <c r="L1322" i="2"/>
  <c r="J1322" i="2"/>
  <c r="N1322" i="2" s="1"/>
  <c r="R1321" i="2"/>
  <c r="Q1321" i="2"/>
  <c r="P1321" i="2"/>
  <c r="L1321" i="2"/>
  <c r="N1321" i="2" s="1"/>
  <c r="J1321" i="2"/>
  <c r="Q1320" i="2"/>
  <c r="R1320" i="2" s="1"/>
  <c r="P1320" i="2"/>
  <c r="L1320" i="2"/>
  <c r="J1320" i="2"/>
  <c r="R1319" i="2"/>
  <c r="Q1319" i="2"/>
  <c r="P1319" i="2"/>
  <c r="N1319" i="2"/>
  <c r="L1319" i="2"/>
  <c r="J1319" i="2"/>
  <c r="Q1318" i="2"/>
  <c r="P1318" i="2"/>
  <c r="L1318" i="2"/>
  <c r="J1318" i="2"/>
  <c r="N1318" i="2" s="1"/>
  <c r="R1317" i="2"/>
  <c r="Q1317" i="2"/>
  <c r="P1317" i="2"/>
  <c r="N1317" i="2"/>
  <c r="L1317" i="2"/>
  <c r="J1317" i="2"/>
  <c r="Q1316" i="2"/>
  <c r="P1316" i="2"/>
  <c r="L1316" i="2"/>
  <c r="J1316" i="2"/>
  <c r="R1315" i="2"/>
  <c r="Q1315" i="2"/>
  <c r="P1315" i="2"/>
  <c r="N1315" i="2"/>
  <c r="L1315" i="2"/>
  <c r="J1315" i="2"/>
  <c r="Q1314" i="2"/>
  <c r="P1314" i="2"/>
  <c r="L1314" i="2"/>
  <c r="J1314" i="2"/>
  <c r="N1314" i="2" s="1"/>
  <c r="Q1313" i="2"/>
  <c r="P1313" i="2"/>
  <c r="L1313" i="2"/>
  <c r="J1313" i="2"/>
  <c r="Q1312" i="2"/>
  <c r="P1312" i="2"/>
  <c r="R1312" i="2" s="1"/>
  <c r="N1312" i="2"/>
  <c r="L1312" i="2"/>
  <c r="J1312" i="2"/>
  <c r="R1311" i="2"/>
  <c r="Q1311" i="2"/>
  <c r="P1311" i="2"/>
  <c r="L1311" i="2"/>
  <c r="J1311" i="2"/>
  <c r="Q1310" i="2"/>
  <c r="P1310" i="2"/>
  <c r="N1310" i="2"/>
  <c r="L1310" i="2"/>
  <c r="J1310" i="2"/>
  <c r="Q1309" i="2"/>
  <c r="P1309" i="2"/>
  <c r="L1309" i="2"/>
  <c r="J1309" i="2"/>
  <c r="N1309" i="2" s="1"/>
  <c r="Q1308" i="2"/>
  <c r="P1308" i="2"/>
  <c r="L1308" i="2"/>
  <c r="J1308" i="2"/>
  <c r="Q1307" i="2"/>
  <c r="P1307" i="2"/>
  <c r="R1307" i="2" s="1"/>
  <c r="N1307" i="2"/>
  <c r="L1307" i="2"/>
  <c r="J1307" i="2"/>
  <c r="R1306" i="2"/>
  <c r="Q1306" i="2"/>
  <c r="P1306" i="2"/>
  <c r="L1306" i="2"/>
  <c r="J1306" i="2"/>
  <c r="Q1305" i="2"/>
  <c r="P1305" i="2"/>
  <c r="N1305" i="2"/>
  <c r="L1305" i="2"/>
  <c r="J1305" i="2"/>
  <c r="R1304" i="2"/>
  <c r="Q1304" i="2"/>
  <c r="P1304" i="2"/>
  <c r="L1304" i="2"/>
  <c r="J1304" i="2"/>
  <c r="Q1303" i="2"/>
  <c r="P1303" i="2"/>
  <c r="R1303" i="2" s="1"/>
  <c r="L1303" i="2"/>
  <c r="J1303" i="2"/>
  <c r="Q1302" i="2"/>
  <c r="P1302" i="2"/>
  <c r="R1302" i="2" s="1"/>
  <c r="L1302" i="2"/>
  <c r="J1302" i="2"/>
  <c r="N1302" i="2" s="1"/>
  <c r="Q1301" i="2"/>
  <c r="P1301" i="2"/>
  <c r="L1301" i="2"/>
  <c r="J1301" i="2"/>
  <c r="N1301" i="2" s="1"/>
  <c r="Q1300" i="2"/>
  <c r="P1300" i="2"/>
  <c r="L1300" i="2"/>
  <c r="N1300" i="2" s="1"/>
  <c r="J1300" i="2"/>
  <c r="Q1299" i="2"/>
  <c r="P1299" i="2"/>
  <c r="R1299" i="2" s="1"/>
  <c r="L1299" i="2"/>
  <c r="J1299" i="2"/>
  <c r="N1299" i="2" s="1"/>
  <c r="Q1298" i="2"/>
  <c r="P1298" i="2"/>
  <c r="L1298" i="2"/>
  <c r="J1298" i="2"/>
  <c r="N1298" i="2" s="1"/>
  <c r="Q1297" i="2"/>
  <c r="P1297" i="2"/>
  <c r="R1297" i="2" s="1"/>
  <c r="L1297" i="2"/>
  <c r="J1297" i="2"/>
  <c r="Q1296" i="2"/>
  <c r="R1296" i="2" s="1"/>
  <c r="P1296" i="2"/>
  <c r="L1296" i="2"/>
  <c r="N1296" i="2" s="1"/>
  <c r="J1296" i="2"/>
  <c r="Q1295" i="2"/>
  <c r="P1295" i="2"/>
  <c r="L1295" i="2"/>
  <c r="J1295" i="2"/>
  <c r="R1294" i="2"/>
  <c r="Q1294" i="2"/>
  <c r="P1294" i="2"/>
  <c r="L1294" i="2"/>
  <c r="J1294" i="2"/>
  <c r="Q1293" i="2"/>
  <c r="P1293" i="2"/>
  <c r="R1293" i="2" s="1"/>
  <c r="L1293" i="2"/>
  <c r="J1293" i="2"/>
  <c r="N1293" i="2" s="1"/>
  <c r="R1292" i="2"/>
  <c r="Q1292" i="2"/>
  <c r="P1292" i="2"/>
  <c r="L1292" i="2"/>
  <c r="J1292" i="2"/>
  <c r="N1292" i="2" s="1"/>
  <c r="Q1291" i="2"/>
  <c r="P1291" i="2"/>
  <c r="R1291" i="2" s="1"/>
  <c r="L1291" i="2"/>
  <c r="J1291" i="2"/>
  <c r="Q1290" i="2"/>
  <c r="P1290" i="2"/>
  <c r="R1290" i="2" s="1"/>
  <c r="L1290" i="2"/>
  <c r="J1290" i="2"/>
  <c r="N1290" i="2" s="1"/>
  <c r="Q1289" i="2"/>
  <c r="P1289" i="2"/>
  <c r="R1289" i="2" s="1"/>
  <c r="L1289" i="2"/>
  <c r="J1289" i="2"/>
  <c r="N1289" i="2" s="1"/>
  <c r="Q1288" i="2"/>
  <c r="P1288" i="2"/>
  <c r="R1288" i="2" s="1"/>
  <c r="L1288" i="2"/>
  <c r="J1288" i="2"/>
  <c r="N1288" i="2" s="1"/>
  <c r="Q1287" i="2"/>
  <c r="P1287" i="2"/>
  <c r="N1287" i="2"/>
  <c r="L1287" i="2"/>
  <c r="J1287" i="2"/>
  <c r="Q1286" i="2"/>
  <c r="P1286" i="2"/>
  <c r="R1286" i="2" s="1"/>
  <c r="L1286" i="2"/>
  <c r="J1286" i="2"/>
  <c r="Q1285" i="2"/>
  <c r="R1285" i="2" s="1"/>
  <c r="P1285" i="2"/>
  <c r="L1285" i="2"/>
  <c r="J1285" i="2"/>
  <c r="Q1284" i="2"/>
  <c r="P1284" i="2"/>
  <c r="R1284" i="2" s="1"/>
  <c r="L1284" i="2"/>
  <c r="J1284" i="2"/>
  <c r="N1284" i="2" s="1"/>
  <c r="Q1283" i="2"/>
  <c r="P1283" i="2"/>
  <c r="L1283" i="2"/>
  <c r="J1283" i="2"/>
  <c r="R1282" i="2"/>
  <c r="Q1282" i="2"/>
  <c r="P1282" i="2"/>
  <c r="L1282" i="2"/>
  <c r="J1282" i="2"/>
  <c r="Q1281" i="2"/>
  <c r="P1281" i="2"/>
  <c r="R1281" i="2" s="1"/>
  <c r="L1281" i="2"/>
  <c r="J1281" i="2"/>
  <c r="Q1280" i="2"/>
  <c r="R1280" i="2" s="1"/>
  <c r="P1280" i="2"/>
  <c r="L1280" i="2"/>
  <c r="J1280" i="2"/>
  <c r="N1280" i="2" s="1"/>
  <c r="Q1279" i="2"/>
  <c r="P1279" i="2"/>
  <c r="L1279" i="2"/>
  <c r="N1279" i="2" s="1"/>
  <c r="J1279" i="2"/>
  <c r="Q1278" i="2"/>
  <c r="P1278" i="2"/>
  <c r="L1278" i="2"/>
  <c r="J1278" i="2"/>
  <c r="N1278" i="2" s="1"/>
  <c r="Q1277" i="2"/>
  <c r="P1277" i="2"/>
  <c r="L1277" i="2"/>
  <c r="N1277" i="2" s="1"/>
  <c r="J1277" i="2"/>
  <c r="R1276" i="2"/>
  <c r="Q1276" i="2"/>
  <c r="P1276" i="2"/>
  <c r="L1276" i="2"/>
  <c r="J1276" i="2"/>
  <c r="R1275" i="2"/>
  <c r="Q1275" i="2"/>
  <c r="P1275" i="2"/>
  <c r="L1275" i="2"/>
  <c r="J1275" i="2"/>
  <c r="N1275" i="2" s="1"/>
  <c r="R1274" i="2"/>
  <c r="Q1274" i="2"/>
  <c r="P1274" i="2"/>
  <c r="L1274" i="2"/>
  <c r="J1274" i="2"/>
  <c r="Q1273" i="2"/>
  <c r="P1273" i="2"/>
  <c r="L1273" i="2"/>
  <c r="J1273" i="2"/>
  <c r="N1273" i="2" s="1"/>
  <c r="Q1272" i="2"/>
  <c r="P1272" i="2"/>
  <c r="L1272" i="2"/>
  <c r="J1272" i="2"/>
  <c r="R1271" i="2"/>
  <c r="Q1271" i="2"/>
  <c r="P1271" i="2"/>
  <c r="L1271" i="2"/>
  <c r="J1271" i="2"/>
  <c r="Q1270" i="2"/>
  <c r="R1270" i="2" s="1"/>
  <c r="P1270" i="2"/>
  <c r="L1270" i="2"/>
  <c r="J1270" i="2"/>
  <c r="N1270" i="2" s="1"/>
  <c r="Q1269" i="2"/>
  <c r="R1269" i="2" s="1"/>
  <c r="P1269" i="2"/>
  <c r="L1269" i="2"/>
  <c r="J1269" i="2"/>
  <c r="N1269" i="2" s="1"/>
  <c r="Q1268" i="2"/>
  <c r="P1268" i="2"/>
  <c r="R1268" i="2" s="1"/>
  <c r="L1268" i="2"/>
  <c r="N1268" i="2" s="1"/>
  <c r="J1268" i="2"/>
  <c r="Q1267" i="2"/>
  <c r="P1267" i="2"/>
  <c r="L1267" i="2"/>
  <c r="J1267" i="2"/>
  <c r="Q1266" i="2"/>
  <c r="P1266" i="2"/>
  <c r="R1266" i="2" s="1"/>
  <c r="L1266" i="2"/>
  <c r="J1266" i="2"/>
  <c r="N1266" i="2" s="1"/>
  <c r="Q1265" i="2"/>
  <c r="R1265" i="2" s="1"/>
  <c r="P1265" i="2"/>
  <c r="L1265" i="2"/>
  <c r="J1265" i="2"/>
  <c r="Q1264" i="2"/>
  <c r="P1264" i="2"/>
  <c r="L1264" i="2"/>
  <c r="J1264" i="2"/>
  <c r="N1264" i="2" s="1"/>
  <c r="Q1263" i="2"/>
  <c r="P1263" i="2"/>
  <c r="R1263" i="2" s="1"/>
  <c r="L1263" i="2"/>
  <c r="J1263" i="2"/>
  <c r="Q1262" i="2"/>
  <c r="P1262" i="2"/>
  <c r="R1262" i="2" s="1"/>
  <c r="L1262" i="2"/>
  <c r="J1262" i="2"/>
  <c r="Q1261" i="2"/>
  <c r="P1261" i="2"/>
  <c r="R1261" i="2" s="1"/>
  <c r="N1261" i="2"/>
  <c r="L1261" i="2"/>
  <c r="J1261" i="2"/>
  <c r="Q1260" i="2"/>
  <c r="P1260" i="2"/>
  <c r="R1260" i="2" s="1"/>
  <c r="N1260" i="2"/>
  <c r="L1260" i="2"/>
  <c r="J1260" i="2"/>
  <c r="Q1259" i="2"/>
  <c r="P1259" i="2"/>
  <c r="L1259" i="2"/>
  <c r="J1259" i="2"/>
  <c r="Q1258" i="2"/>
  <c r="P1258" i="2"/>
  <c r="L1258" i="2"/>
  <c r="N1258" i="2" s="1"/>
  <c r="J1258" i="2"/>
  <c r="R1257" i="2"/>
  <c r="Q1257" i="2"/>
  <c r="P1257" i="2"/>
  <c r="L1257" i="2"/>
  <c r="J1257" i="2"/>
  <c r="Q1256" i="2"/>
  <c r="R1256" i="2" s="1"/>
  <c r="P1256" i="2"/>
  <c r="L1256" i="2"/>
  <c r="J1256" i="2"/>
  <c r="Q1255" i="2"/>
  <c r="P1255" i="2"/>
  <c r="L1255" i="2"/>
  <c r="N1255" i="2" s="1"/>
  <c r="J1255" i="2"/>
  <c r="Q1254" i="2"/>
  <c r="R1254" i="2" s="1"/>
  <c r="P1254" i="2"/>
  <c r="L1254" i="2"/>
  <c r="N1254" i="2" s="1"/>
  <c r="J1254" i="2"/>
  <c r="Q1253" i="2"/>
  <c r="P1253" i="2"/>
  <c r="N1253" i="2"/>
  <c r="L1253" i="2"/>
  <c r="J1253" i="2"/>
  <c r="Q1252" i="2"/>
  <c r="P1252" i="2"/>
  <c r="R1252" i="2" s="1"/>
  <c r="L1252" i="2"/>
  <c r="J1252" i="2"/>
  <c r="Q1251" i="2"/>
  <c r="P1251" i="2"/>
  <c r="N1251" i="2"/>
  <c r="L1251" i="2"/>
  <c r="J1251" i="2"/>
  <c r="Q1250" i="2"/>
  <c r="P1250" i="2"/>
  <c r="R1250" i="2" s="1"/>
  <c r="L1250" i="2"/>
  <c r="J1250" i="2"/>
  <c r="Q1249" i="2"/>
  <c r="P1249" i="2"/>
  <c r="N1249" i="2"/>
  <c r="L1249" i="2"/>
  <c r="J1249" i="2"/>
  <c r="Q1248" i="2"/>
  <c r="P1248" i="2"/>
  <c r="R1248" i="2" s="1"/>
  <c r="L1248" i="2"/>
  <c r="J1248" i="2"/>
  <c r="Q1247" i="2"/>
  <c r="P1247" i="2"/>
  <c r="R1247" i="2" s="1"/>
  <c r="N1247" i="2"/>
  <c r="L1247" i="2"/>
  <c r="J1247" i="2"/>
  <c r="Q1246" i="2"/>
  <c r="P1246" i="2"/>
  <c r="R1246" i="2" s="1"/>
  <c r="L1246" i="2"/>
  <c r="J1246" i="2"/>
  <c r="Q1245" i="2"/>
  <c r="P1245" i="2"/>
  <c r="R1245" i="2" s="1"/>
  <c r="L1245" i="2"/>
  <c r="J1245" i="2"/>
  <c r="Q1244" i="2"/>
  <c r="P1244" i="2"/>
  <c r="L1244" i="2"/>
  <c r="J1244" i="2"/>
  <c r="Q1243" i="2"/>
  <c r="P1243" i="2"/>
  <c r="R1243" i="2" s="1"/>
  <c r="L1243" i="2"/>
  <c r="J1243" i="2"/>
  <c r="N1243" i="2" s="1"/>
  <c r="Q1242" i="2"/>
  <c r="P1242" i="2"/>
  <c r="L1242" i="2"/>
  <c r="J1242" i="2"/>
  <c r="N1242" i="2" s="1"/>
  <c r="Q1241" i="2"/>
  <c r="P1241" i="2"/>
  <c r="L1241" i="2"/>
  <c r="J1241" i="2"/>
  <c r="N1241" i="2" s="1"/>
  <c r="Q1240" i="2"/>
  <c r="R1240" i="2" s="1"/>
  <c r="P1240" i="2"/>
  <c r="L1240" i="2"/>
  <c r="J1240" i="2"/>
  <c r="N1240" i="2" s="1"/>
  <c r="Q1239" i="2"/>
  <c r="P1239" i="2"/>
  <c r="R1239" i="2" s="1"/>
  <c r="L1239" i="2"/>
  <c r="J1239" i="2"/>
  <c r="N1239" i="2" s="1"/>
  <c r="Q1238" i="2"/>
  <c r="P1238" i="2"/>
  <c r="L1238" i="2"/>
  <c r="J1238" i="2"/>
  <c r="Q1237" i="2"/>
  <c r="P1237" i="2"/>
  <c r="R1237" i="2" s="1"/>
  <c r="L1237" i="2"/>
  <c r="J1237" i="2"/>
  <c r="N1237" i="2" s="1"/>
  <c r="Q1236" i="2"/>
  <c r="P1236" i="2"/>
  <c r="L1236" i="2"/>
  <c r="J1236" i="2"/>
  <c r="Q1235" i="2"/>
  <c r="P1235" i="2"/>
  <c r="R1235" i="2" s="1"/>
  <c r="L1235" i="2"/>
  <c r="J1235" i="2"/>
  <c r="N1235" i="2" s="1"/>
  <c r="Q1234" i="2"/>
  <c r="P1234" i="2"/>
  <c r="L1234" i="2"/>
  <c r="N1234" i="2" s="1"/>
  <c r="J1234" i="2"/>
  <c r="Q1233" i="2"/>
  <c r="P1233" i="2"/>
  <c r="L1233" i="2"/>
  <c r="J1233" i="2"/>
  <c r="N1233" i="2" s="1"/>
  <c r="Q1232" i="2"/>
  <c r="P1232" i="2"/>
  <c r="R1232" i="2" s="1"/>
  <c r="N1232" i="2"/>
  <c r="L1232" i="2"/>
  <c r="J1232" i="2"/>
  <c r="R1231" i="2"/>
  <c r="Q1231" i="2"/>
  <c r="P1231" i="2"/>
  <c r="L1231" i="2"/>
  <c r="J1231" i="2"/>
  <c r="N1231" i="2" s="1"/>
  <c r="Q1230" i="2"/>
  <c r="P1230" i="2"/>
  <c r="N1230" i="2"/>
  <c r="L1230" i="2"/>
  <c r="J1230" i="2"/>
  <c r="Q1229" i="2"/>
  <c r="P1229" i="2"/>
  <c r="L1229" i="2"/>
  <c r="J1229" i="2"/>
  <c r="N1229" i="2" s="1"/>
  <c r="Q1228" i="2"/>
  <c r="P1228" i="2"/>
  <c r="L1228" i="2"/>
  <c r="J1228" i="2"/>
  <c r="Q1227" i="2"/>
  <c r="P1227" i="2"/>
  <c r="L1227" i="2"/>
  <c r="J1227" i="2"/>
  <c r="Q1226" i="2"/>
  <c r="R1226" i="2" s="1"/>
  <c r="P1226" i="2"/>
  <c r="L1226" i="2"/>
  <c r="J1226" i="2"/>
  <c r="R1225" i="2"/>
  <c r="Q1225" i="2"/>
  <c r="P1225" i="2"/>
  <c r="L1225" i="2"/>
  <c r="N1225" i="2" s="1"/>
  <c r="J1225" i="2"/>
  <c r="Q1224" i="2"/>
  <c r="P1224" i="2"/>
  <c r="R1224" i="2" s="1"/>
  <c r="L1224" i="2"/>
  <c r="J1224" i="2"/>
  <c r="N1224" i="2" s="1"/>
  <c r="Q1223" i="2"/>
  <c r="P1223" i="2"/>
  <c r="R1223" i="2" s="1"/>
  <c r="N1223" i="2"/>
  <c r="L1223" i="2"/>
  <c r="J1223" i="2"/>
  <c r="Q1222" i="2"/>
  <c r="P1222" i="2"/>
  <c r="L1222" i="2"/>
  <c r="J1222" i="2"/>
  <c r="Q1221" i="2"/>
  <c r="P1221" i="2"/>
  <c r="L1221" i="2"/>
  <c r="J1221" i="2"/>
  <c r="Q1220" i="2"/>
  <c r="P1220" i="2"/>
  <c r="L1220" i="2"/>
  <c r="J1220" i="2"/>
  <c r="N1220" i="2" s="1"/>
  <c r="R1219" i="2"/>
  <c r="Q1219" i="2"/>
  <c r="P1219" i="2"/>
  <c r="L1219" i="2"/>
  <c r="J1219" i="2"/>
  <c r="N1219" i="2" s="1"/>
  <c r="Q1218" i="2"/>
  <c r="P1218" i="2"/>
  <c r="L1218" i="2"/>
  <c r="N1218" i="2" s="1"/>
  <c r="J1218" i="2"/>
  <c r="Q1217" i="2"/>
  <c r="P1217" i="2"/>
  <c r="R1217" i="2" s="1"/>
  <c r="L1217" i="2"/>
  <c r="J1217" i="2"/>
  <c r="N1217" i="2" s="1"/>
  <c r="Q1216" i="2"/>
  <c r="R1216" i="2" s="1"/>
  <c r="P1216" i="2"/>
  <c r="N1216" i="2"/>
  <c r="L1216" i="2"/>
  <c r="J1216" i="2"/>
  <c r="Q1215" i="2"/>
  <c r="P1215" i="2"/>
  <c r="L1215" i="2"/>
  <c r="J1215" i="2"/>
  <c r="N1215" i="2" s="1"/>
  <c r="Q1214" i="2"/>
  <c r="R1214" i="2" s="1"/>
  <c r="P1214" i="2"/>
  <c r="L1214" i="2"/>
  <c r="J1214" i="2"/>
  <c r="Q1213" i="2"/>
  <c r="P1213" i="2"/>
  <c r="L1213" i="2"/>
  <c r="J1213" i="2"/>
  <c r="Q1212" i="2"/>
  <c r="P1212" i="2"/>
  <c r="R1212" i="2" s="1"/>
  <c r="L1212" i="2"/>
  <c r="J1212" i="2"/>
  <c r="N1212" i="2" s="1"/>
  <c r="Q1211" i="2"/>
  <c r="P1211" i="2"/>
  <c r="R1211" i="2" s="1"/>
  <c r="N1211" i="2"/>
  <c r="L1211" i="2"/>
  <c r="J1211" i="2"/>
  <c r="Q1210" i="2"/>
  <c r="P1210" i="2"/>
  <c r="L1210" i="2"/>
  <c r="J1210" i="2"/>
  <c r="Q1209" i="2"/>
  <c r="P1209" i="2"/>
  <c r="R1209" i="2" s="1"/>
  <c r="L1209" i="2"/>
  <c r="J1209" i="2"/>
  <c r="Q1208" i="2"/>
  <c r="P1208" i="2"/>
  <c r="L1208" i="2"/>
  <c r="J1208" i="2"/>
  <c r="R1207" i="2"/>
  <c r="Q1207" i="2"/>
  <c r="P1207" i="2"/>
  <c r="L1207" i="2"/>
  <c r="J1207" i="2"/>
  <c r="N1207" i="2" s="1"/>
  <c r="Q1206" i="2"/>
  <c r="P1206" i="2"/>
  <c r="L1206" i="2"/>
  <c r="J1206" i="2"/>
  <c r="Q1205" i="2"/>
  <c r="P1205" i="2"/>
  <c r="L1205" i="2"/>
  <c r="J1205" i="2"/>
  <c r="N1205" i="2" s="1"/>
  <c r="Q1204" i="2"/>
  <c r="P1204" i="2"/>
  <c r="N1204" i="2"/>
  <c r="L1204" i="2"/>
  <c r="J1204" i="2"/>
  <c r="Q1203" i="2"/>
  <c r="P1203" i="2"/>
  <c r="R1203" i="2" s="1"/>
  <c r="L1203" i="2"/>
  <c r="J1203" i="2"/>
  <c r="N1203" i="2" s="1"/>
  <c r="Q1202" i="2"/>
  <c r="P1202" i="2"/>
  <c r="L1202" i="2"/>
  <c r="J1202" i="2"/>
  <c r="R1201" i="2"/>
  <c r="Q1201" i="2"/>
  <c r="P1201" i="2"/>
  <c r="L1201" i="2"/>
  <c r="J1201" i="2"/>
  <c r="Q1200" i="2"/>
  <c r="P1200" i="2"/>
  <c r="R1200" i="2" s="1"/>
  <c r="L1200" i="2"/>
  <c r="J1200" i="2"/>
  <c r="R1199" i="2"/>
  <c r="Q1199" i="2"/>
  <c r="P1199" i="2"/>
  <c r="L1199" i="2"/>
  <c r="J1199" i="2"/>
  <c r="N1199" i="2" s="1"/>
  <c r="Q1198" i="2"/>
  <c r="P1198" i="2"/>
  <c r="L1198" i="2"/>
  <c r="J1198" i="2"/>
  <c r="N1198" i="2" s="1"/>
  <c r="R1197" i="2"/>
  <c r="Q1197" i="2"/>
  <c r="P1197" i="2"/>
  <c r="L1197" i="2"/>
  <c r="J1197" i="2"/>
  <c r="N1197" i="2" s="1"/>
  <c r="Q1196" i="2"/>
  <c r="P1196" i="2"/>
  <c r="R1196" i="2" s="1"/>
  <c r="L1196" i="2"/>
  <c r="J1196" i="2"/>
  <c r="R1195" i="2"/>
  <c r="Q1195" i="2"/>
  <c r="P1195" i="2"/>
  <c r="L1195" i="2"/>
  <c r="J1195" i="2"/>
  <c r="Q1194" i="2"/>
  <c r="P1194" i="2"/>
  <c r="R1194" i="2" s="1"/>
  <c r="L1194" i="2"/>
  <c r="J1194" i="2"/>
  <c r="N1194" i="2" s="1"/>
  <c r="Q1193" i="2"/>
  <c r="P1193" i="2"/>
  <c r="L1193" i="2"/>
  <c r="J1193" i="2"/>
  <c r="Q1192" i="2"/>
  <c r="P1192" i="2"/>
  <c r="R1192" i="2" s="1"/>
  <c r="L1192" i="2"/>
  <c r="J1192" i="2"/>
  <c r="N1192" i="2" s="1"/>
  <c r="Q1191" i="2"/>
  <c r="P1191" i="2"/>
  <c r="R1191" i="2" s="1"/>
  <c r="L1191" i="2"/>
  <c r="J1191" i="2"/>
  <c r="N1191" i="2" s="1"/>
  <c r="Q1190" i="2"/>
  <c r="R1190" i="2" s="1"/>
  <c r="P1190" i="2"/>
  <c r="L1190" i="2"/>
  <c r="J1190" i="2"/>
  <c r="N1190" i="2" s="1"/>
  <c r="Q1189" i="2"/>
  <c r="P1189" i="2"/>
  <c r="R1189" i="2" s="1"/>
  <c r="L1189" i="2"/>
  <c r="J1189" i="2"/>
  <c r="N1189" i="2" s="1"/>
  <c r="Q1188" i="2"/>
  <c r="P1188" i="2"/>
  <c r="L1188" i="2"/>
  <c r="J1188" i="2"/>
  <c r="Q1187" i="2"/>
  <c r="P1187" i="2"/>
  <c r="R1187" i="2" s="1"/>
  <c r="L1187" i="2"/>
  <c r="J1187" i="2"/>
  <c r="N1187" i="2" s="1"/>
  <c r="Q1186" i="2"/>
  <c r="P1186" i="2"/>
  <c r="N1186" i="2"/>
  <c r="L1186" i="2"/>
  <c r="J1186" i="2"/>
  <c r="Q1185" i="2"/>
  <c r="P1185" i="2"/>
  <c r="L1185" i="2"/>
  <c r="J1185" i="2"/>
  <c r="N1185" i="2" s="1"/>
  <c r="Q1184" i="2"/>
  <c r="P1184" i="2"/>
  <c r="L1184" i="2"/>
  <c r="J1184" i="2"/>
  <c r="Q1183" i="2"/>
  <c r="P1183" i="2"/>
  <c r="L1183" i="2"/>
  <c r="J1183" i="2"/>
  <c r="N1183" i="2" s="1"/>
  <c r="Q1182" i="2"/>
  <c r="P1182" i="2"/>
  <c r="L1182" i="2"/>
  <c r="J1182" i="2"/>
  <c r="R1181" i="2"/>
  <c r="Q1181" i="2"/>
  <c r="P1181" i="2"/>
  <c r="L1181" i="2"/>
  <c r="J1181" i="2"/>
  <c r="N1181" i="2" s="1"/>
  <c r="Q1180" i="2"/>
  <c r="P1180" i="2"/>
  <c r="R1180" i="2" s="1"/>
  <c r="N1180" i="2"/>
  <c r="L1180" i="2"/>
  <c r="J1180" i="2"/>
  <c r="Q1179" i="2"/>
  <c r="P1179" i="2"/>
  <c r="L1179" i="2"/>
  <c r="J1179" i="2"/>
  <c r="N1179" i="2" s="1"/>
  <c r="Q1178" i="2"/>
  <c r="P1178" i="2"/>
  <c r="L1178" i="2"/>
  <c r="N1178" i="2" s="1"/>
  <c r="J1178" i="2"/>
  <c r="Q1177" i="2"/>
  <c r="P1177" i="2"/>
  <c r="L1177" i="2"/>
  <c r="J1177" i="2"/>
  <c r="N1177" i="2" s="1"/>
  <c r="Q1176" i="2"/>
  <c r="P1176" i="2"/>
  <c r="R1176" i="2" s="1"/>
  <c r="L1176" i="2"/>
  <c r="J1176" i="2"/>
  <c r="N1176" i="2" s="1"/>
  <c r="Q1175" i="2"/>
  <c r="P1175" i="2"/>
  <c r="L1175" i="2"/>
  <c r="J1175" i="2"/>
  <c r="Q1174" i="2"/>
  <c r="P1174" i="2"/>
  <c r="R1174" i="2" s="1"/>
  <c r="L1174" i="2"/>
  <c r="J1174" i="2"/>
  <c r="N1174" i="2" s="1"/>
  <c r="Q1173" i="2"/>
  <c r="P1173" i="2"/>
  <c r="N1173" i="2"/>
  <c r="L1173" i="2"/>
  <c r="J1173" i="2"/>
  <c r="Q1172" i="2"/>
  <c r="P1172" i="2"/>
  <c r="R1172" i="2" s="1"/>
  <c r="L1172" i="2"/>
  <c r="J1172" i="2"/>
  <c r="N1172" i="2" s="1"/>
  <c r="Q1171" i="2"/>
  <c r="P1171" i="2"/>
  <c r="L1171" i="2"/>
  <c r="J1171" i="2"/>
  <c r="N1171" i="2" s="1"/>
  <c r="Q1170" i="2"/>
  <c r="R1170" i="2" s="1"/>
  <c r="P1170" i="2"/>
  <c r="L1170" i="2"/>
  <c r="J1170" i="2"/>
  <c r="N1170" i="2" s="1"/>
  <c r="Q1169" i="2"/>
  <c r="P1169" i="2"/>
  <c r="R1169" i="2" s="1"/>
  <c r="L1169" i="2"/>
  <c r="J1169" i="2"/>
  <c r="Q1168" i="2"/>
  <c r="P1168" i="2"/>
  <c r="L1168" i="2"/>
  <c r="J1168" i="2"/>
  <c r="N1168" i="2" s="1"/>
  <c r="Q1167" i="2"/>
  <c r="P1167" i="2"/>
  <c r="R1167" i="2" s="1"/>
  <c r="L1167" i="2"/>
  <c r="J1167" i="2"/>
  <c r="N1167" i="2" s="1"/>
  <c r="Q1166" i="2"/>
  <c r="P1166" i="2"/>
  <c r="L1166" i="2"/>
  <c r="J1166" i="2"/>
  <c r="N1166" i="2" s="1"/>
  <c r="Q1165" i="2"/>
  <c r="P1165" i="2"/>
  <c r="L1165" i="2"/>
  <c r="J1165" i="2"/>
  <c r="N1165" i="2" s="1"/>
  <c r="R1164" i="2"/>
  <c r="Q1164" i="2"/>
  <c r="P1164" i="2"/>
  <c r="L1164" i="2"/>
  <c r="J1164" i="2"/>
  <c r="N1164" i="2" s="1"/>
  <c r="Q1163" i="2"/>
  <c r="P1163" i="2"/>
  <c r="R1163" i="2" s="1"/>
  <c r="L1163" i="2"/>
  <c r="J1163" i="2"/>
  <c r="N1163" i="2" s="1"/>
  <c r="R1162" i="2"/>
  <c r="Q1162" i="2"/>
  <c r="P1162" i="2"/>
  <c r="L1162" i="2"/>
  <c r="J1162" i="2"/>
  <c r="N1162" i="2" s="1"/>
  <c r="Q1161" i="2"/>
  <c r="P1161" i="2"/>
  <c r="L1161" i="2"/>
  <c r="J1161" i="2"/>
  <c r="N1161" i="2" s="1"/>
  <c r="Q1160" i="2"/>
  <c r="R1160" i="2" s="1"/>
  <c r="P1160" i="2"/>
  <c r="L1160" i="2"/>
  <c r="J1160" i="2"/>
  <c r="N1160" i="2" s="1"/>
  <c r="R1159" i="2"/>
  <c r="Q1159" i="2"/>
  <c r="P1159" i="2"/>
  <c r="L1159" i="2"/>
  <c r="J1159" i="2"/>
  <c r="Q1158" i="2"/>
  <c r="P1158" i="2"/>
  <c r="L1158" i="2"/>
  <c r="J1158" i="2"/>
  <c r="N1158" i="2" s="1"/>
  <c r="Q1157" i="2"/>
  <c r="P1157" i="2"/>
  <c r="L1157" i="2"/>
  <c r="J1157" i="2"/>
  <c r="N1157" i="2" s="1"/>
  <c r="Q1156" i="2"/>
  <c r="P1156" i="2"/>
  <c r="L1156" i="2"/>
  <c r="N1156" i="2" s="1"/>
  <c r="J1156" i="2"/>
  <c r="Q1155" i="2"/>
  <c r="P1155" i="2"/>
  <c r="L1155" i="2"/>
  <c r="J1155" i="2"/>
  <c r="Q1154" i="2"/>
  <c r="P1154" i="2"/>
  <c r="L1154" i="2"/>
  <c r="J1154" i="2"/>
  <c r="N1154" i="2" s="1"/>
  <c r="Q1153" i="2"/>
  <c r="P1153" i="2"/>
  <c r="R1153" i="2" s="1"/>
  <c r="L1153" i="2"/>
  <c r="J1153" i="2"/>
  <c r="N1153" i="2" s="1"/>
  <c r="Q1152" i="2"/>
  <c r="R1152" i="2" s="1"/>
  <c r="P1152" i="2"/>
  <c r="L1152" i="2"/>
  <c r="J1152" i="2"/>
  <c r="Q1151" i="2"/>
  <c r="P1151" i="2"/>
  <c r="R1151" i="2" s="1"/>
  <c r="L1151" i="2"/>
  <c r="J1151" i="2"/>
  <c r="N1151" i="2" s="1"/>
  <c r="Q1150" i="2"/>
  <c r="P1150" i="2"/>
  <c r="R1150" i="2" s="1"/>
  <c r="L1150" i="2"/>
  <c r="J1150" i="2"/>
  <c r="Q1149" i="2"/>
  <c r="P1149" i="2"/>
  <c r="R1149" i="2" s="1"/>
  <c r="N1149" i="2"/>
  <c r="L1149" i="2"/>
  <c r="J1149" i="2"/>
  <c r="Q1148" i="2"/>
  <c r="P1148" i="2"/>
  <c r="R1148" i="2" s="1"/>
  <c r="L1148" i="2"/>
  <c r="N1148" i="2" s="1"/>
  <c r="J1148" i="2"/>
  <c r="Q1147" i="2"/>
  <c r="P1147" i="2"/>
  <c r="N1147" i="2"/>
  <c r="L1147" i="2"/>
  <c r="J1147" i="2"/>
  <c r="Q1146" i="2"/>
  <c r="P1146" i="2"/>
  <c r="L1146" i="2"/>
  <c r="J1146" i="2"/>
  <c r="N1146" i="2" s="1"/>
  <c r="R1145" i="2"/>
  <c r="Q1145" i="2"/>
  <c r="P1145" i="2"/>
  <c r="L1145" i="2"/>
  <c r="J1145" i="2"/>
  <c r="Q1144" i="2"/>
  <c r="P1144" i="2"/>
  <c r="R1144" i="2" s="1"/>
  <c r="L1144" i="2"/>
  <c r="J1144" i="2"/>
  <c r="N1144" i="2" s="1"/>
  <c r="Q1143" i="2"/>
  <c r="P1143" i="2"/>
  <c r="R1143" i="2" s="1"/>
  <c r="L1143" i="2"/>
  <c r="J1143" i="2"/>
  <c r="Q1142" i="2"/>
  <c r="P1142" i="2"/>
  <c r="R1142" i="2" s="1"/>
  <c r="L1142" i="2"/>
  <c r="J1142" i="2"/>
  <c r="N1142" i="2" s="1"/>
  <c r="Q1141" i="2"/>
  <c r="P1141" i="2"/>
  <c r="R1141" i="2" s="1"/>
  <c r="L1141" i="2"/>
  <c r="J1141" i="2"/>
  <c r="Q1140" i="2"/>
  <c r="P1140" i="2"/>
  <c r="R1140" i="2" s="1"/>
  <c r="L1140" i="2"/>
  <c r="J1140" i="2"/>
  <c r="Q1139" i="2"/>
  <c r="P1139" i="2"/>
  <c r="R1139" i="2" s="1"/>
  <c r="L1139" i="2"/>
  <c r="N1139" i="2" s="1"/>
  <c r="J1139" i="2"/>
  <c r="Q1138" i="2"/>
  <c r="P1138" i="2"/>
  <c r="L1138" i="2"/>
  <c r="J1138" i="2"/>
  <c r="N1138" i="2" s="1"/>
  <c r="Q1137" i="2"/>
  <c r="R1137" i="2" s="1"/>
  <c r="P1137" i="2"/>
  <c r="N1137" i="2"/>
  <c r="L1137" i="2"/>
  <c r="J1137" i="2"/>
  <c r="Q1136" i="2"/>
  <c r="P1136" i="2"/>
  <c r="R1136" i="2" s="1"/>
  <c r="L1136" i="2"/>
  <c r="J1136" i="2"/>
  <c r="Q1135" i="2"/>
  <c r="R1135" i="2" s="1"/>
  <c r="P1135" i="2"/>
  <c r="N1135" i="2"/>
  <c r="L1135" i="2"/>
  <c r="J1135" i="2"/>
  <c r="Q1134" i="2"/>
  <c r="P1134" i="2"/>
  <c r="L1134" i="2"/>
  <c r="J1134" i="2"/>
  <c r="Q1133" i="2"/>
  <c r="P1133" i="2"/>
  <c r="L1133" i="2"/>
  <c r="J1133" i="2"/>
  <c r="Q1132" i="2"/>
  <c r="P1132" i="2"/>
  <c r="R1132" i="2" s="1"/>
  <c r="L1132" i="2"/>
  <c r="J1132" i="2"/>
  <c r="N1132" i="2" s="1"/>
  <c r="R1131" i="2"/>
  <c r="Q1131" i="2"/>
  <c r="P1131" i="2"/>
  <c r="L1131" i="2"/>
  <c r="J1131" i="2"/>
  <c r="Q1130" i="2"/>
  <c r="P1130" i="2"/>
  <c r="L1130" i="2"/>
  <c r="J1130" i="2"/>
  <c r="N1130" i="2" s="1"/>
  <c r="Q1129" i="2"/>
  <c r="P1129" i="2"/>
  <c r="N1129" i="2"/>
  <c r="L1129" i="2"/>
  <c r="J1129" i="2"/>
  <c r="Q1128" i="2"/>
  <c r="P1128" i="2"/>
  <c r="L1128" i="2"/>
  <c r="J1128" i="2"/>
  <c r="N1128" i="2" s="1"/>
  <c r="Q1127" i="2"/>
  <c r="P1127" i="2"/>
  <c r="N1127" i="2"/>
  <c r="L1127" i="2"/>
  <c r="J1127" i="2"/>
  <c r="R1126" i="2"/>
  <c r="Q1126" i="2"/>
  <c r="P1126" i="2"/>
  <c r="L1126" i="2"/>
  <c r="J1126" i="2"/>
  <c r="N1126" i="2" s="1"/>
  <c r="Q1125" i="2"/>
  <c r="P1125" i="2"/>
  <c r="R1125" i="2" s="1"/>
  <c r="L1125" i="2"/>
  <c r="N1125" i="2" s="1"/>
  <c r="J1125" i="2"/>
  <c r="Q1124" i="2"/>
  <c r="P1124" i="2"/>
  <c r="L1124" i="2"/>
  <c r="J1124" i="2"/>
  <c r="N1124" i="2" s="1"/>
  <c r="Q1123" i="2"/>
  <c r="P1123" i="2"/>
  <c r="L1123" i="2"/>
  <c r="N1123" i="2" s="1"/>
  <c r="J1123" i="2"/>
  <c r="Q1122" i="2"/>
  <c r="P1122" i="2"/>
  <c r="L1122" i="2"/>
  <c r="J1122" i="2"/>
  <c r="N1122" i="2" s="1"/>
  <c r="R1121" i="2"/>
  <c r="Q1121" i="2"/>
  <c r="P1121" i="2"/>
  <c r="L1121" i="2"/>
  <c r="J1121" i="2"/>
  <c r="Q1120" i="2"/>
  <c r="R1120" i="2" s="1"/>
  <c r="P1120" i="2"/>
  <c r="L1120" i="2"/>
  <c r="J1120" i="2"/>
  <c r="N1120" i="2" s="1"/>
  <c r="R1119" i="2"/>
  <c r="Q1119" i="2"/>
  <c r="P1119" i="2"/>
  <c r="L1119" i="2"/>
  <c r="J1119" i="2"/>
  <c r="Q1118" i="2"/>
  <c r="P1118" i="2"/>
  <c r="L1118" i="2"/>
  <c r="J1118" i="2"/>
  <c r="N1118" i="2" s="1"/>
  <c r="Q1117" i="2"/>
  <c r="P1117" i="2"/>
  <c r="L1117" i="2"/>
  <c r="J1117" i="2"/>
  <c r="Q1116" i="2"/>
  <c r="P1116" i="2"/>
  <c r="L1116" i="2"/>
  <c r="J1116" i="2"/>
  <c r="N1116" i="2" s="1"/>
  <c r="Q1115" i="2"/>
  <c r="R1115" i="2" s="1"/>
  <c r="P1115" i="2"/>
  <c r="L1115" i="2"/>
  <c r="J1115" i="2"/>
  <c r="N1115" i="2" s="1"/>
  <c r="R1114" i="2"/>
  <c r="Q1114" i="2"/>
  <c r="P1114" i="2"/>
  <c r="L1114" i="2"/>
  <c r="J1114" i="2"/>
  <c r="N1114" i="2" s="1"/>
  <c r="Q1113" i="2"/>
  <c r="P1113" i="2"/>
  <c r="R1113" i="2" s="1"/>
  <c r="L1113" i="2"/>
  <c r="J1113" i="2"/>
  <c r="R1112" i="2"/>
  <c r="Q1112" i="2"/>
  <c r="P1112" i="2"/>
  <c r="L1112" i="2"/>
  <c r="J1112" i="2"/>
  <c r="Q1111" i="2"/>
  <c r="P1111" i="2"/>
  <c r="R1111" i="2" s="1"/>
  <c r="N1111" i="2"/>
  <c r="L1111" i="2"/>
  <c r="J1111" i="2"/>
  <c r="R1110" i="2"/>
  <c r="Q1110" i="2"/>
  <c r="P1110" i="2"/>
  <c r="N1110" i="2"/>
  <c r="L1110" i="2"/>
  <c r="J1110" i="2"/>
  <c r="Q1109" i="2"/>
  <c r="P1109" i="2"/>
  <c r="L1109" i="2"/>
  <c r="J1109" i="2"/>
  <c r="Q1108" i="2"/>
  <c r="P1108" i="2"/>
  <c r="L1108" i="2"/>
  <c r="J1108" i="2"/>
  <c r="N1108" i="2" s="1"/>
  <c r="Q1107" i="2"/>
  <c r="P1107" i="2"/>
  <c r="R1107" i="2" s="1"/>
  <c r="L1107" i="2"/>
  <c r="J1107" i="2"/>
  <c r="Q1106" i="2"/>
  <c r="R1106" i="2" s="1"/>
  <c r="P1106" i="2"/>
  <c r="L1106" i="2"/>
  <c r="J1106" i="2"/>
  <c r="Q1105" i="2"/>
  <c r="R1105" i="2" s="1"/>
  <c r="P1105" i="2"/>
  <c r="L1105" i="2"/>
  <c r="J1105" i="2"/>
  <c r="N1105" i="2" s="1"/>
  <c r="R1104" i="2"/>
  <c r="Q1104" i="2"/>
  <c r="P1104" i="2"/>
  <c r="N1104" i="2"/>
  <c r="L1104" i="2"/>
  <c r="J1104" i="2"/>
  <c r="Q1103" i="2"/>
  <c r="P1103" i="2"/>
  <c r="L1103" i="2"/>
  <c r="J1103" i="2"/>
  <c r="N1103" i="2" s="1"/>
  <c r="R1102" i="2"/>
  <c r="Q1102" i="2"/>
  <c r="P1102" i="2"/>
  <c r="L1102" i="2"/>
  <c r="J1102" i="2"/>
  <c r="R1101" i="2"/>
  <c r="Q1101" i="2"/>
  <c r="P1101" i="2"/>
  <c r="L1101" i="2"/>
  <c r="J1101" i="2"/>
  <c r="R1100" i="2"/>
  <c r="Q1100" i="2"/>
  <c r="P1100" i="2"/>
  <c r="L1100" i="2"/>
  <c r="J1100" i="2"/>
  <c r="Q1099" i="2"/>
  <c r="P1099" i="2"/>
  <c r="L1099" i="2"/>
  <c r="J1099" i="2"/>
  <c r="N1099" i="2" s="1"/>
  <c r="Q1098" i="2"/>
  <c r="P1098" i="2"/>
  <c r="N1098" i="2"/>
  <c r="L1098" i="2"/>
  <c r="J1098" i="2"/>
  <c r="Q1097" i="2"/>
  <c r="P1097" i="2"/>
  <c r="L1097" i="2"/>
  <c r="J1097" i="2"/>
  <c r="N1097" i="2" s="1"/>
  <c r="Q1096" i="2"/>
  <c r="P1096" i="2"/>
  <c r="N1096" i="2"/>
  <c r="L1096" i="2"/>
  <c r="J1096" i="2"/>
  <c r="Q1095" i="2"/>
  <c r="R1095" i="2" s="1"/>
  <c r="P1095" i="2"/>
  <c r="L1095" i="2"/>
  <c r="J1095" i="2"/>
  <c r="Q1094" i="2"/>
  <c r="R1094" i="2" s="1"/>
  <c r="P1094" i="2"/>
  <c r="L1094" i="2"/>
  <c r="J1094" i="2"/>
  <c r="Q1093" i="2"/>
  <c r="P1093" i="2"/>
  <c r="R1093" i="2" s="1"/>
  <c r="L1093" i="2"/>
  <c r="J1093" i="2"/>
  <c r="Q1092" i="2"/>
  <c r="P1092" i="2"/>
  <c r="R1092" i="2" s="1"/>
  <c r="L1092" i="2"/>
  <c r="J1092" i="2"/>
  <c r="N1092" i="2" s="1"/>
  <c r="Q1091" i="2"/>
  <c r="P1091" i="2"/>
  <c r="R1091" i="2" s="1"/>
  <c r="L1091" i="2"/>
  <c r="J1091" i="2"/>
  <c r="Q1090" i="2"/>
  <c r="P1090" i="2"/>
  <c r="R1090" i="2" s="1"/>
  <c r="L1090" i="2"/>
  <c r="J1090" i="2"/>
  <c r="N1090" i="2" s="1"/>
  <c r="Q1089" i="2"/>
  <c r="P1089" i="2"/>
  <c r="L1089" i="2"/>
  <c r="N1089" i="2" s="1"/>
  <c r="J1089" i="2"/>
  <c r="Q1088" i="2"/>
  <c r="P1088" i="2"/>
  <c r="L1088" i="2"/>
  <c r="N1088" i="2" s="1"/>
  <c r="J1088" i="2"/>
  <c r="Q1087" i="2"/>
  <c r="P1087" i="2"/>
  <c r="R1087" i="2" s="1"/>
  <c r="L1087" i="2"/>
  <c r="J1087" i="2"/>
  <c r="N1087" i="2" s="1"/>
  <c r="Q1086" i="2"/>
  <c r="P1086" i="2"/>
  <c r="L1086" i="2"/>
  <c r="N1086" i="2" s="1"/>
  <c r="J1086" i="2"/>
  <c r="Q1085" i="2"/>
  <c r="R1085" i="2" s="1"/>
  <c r="P1085" i="2"/>
  <c r="L1085" i="2"/>
  <c r="J1085" i="2"/>
  <c r="N1085" i="2" s="1"/>
  <c r="Q1084" i="2"/>
  <c r="P1084" i="2"/>
  <c r="L1084" i="2"/>
  <c r="J1084" i="2"/>
  <c r="Q1083" i="2"/>
  <c r="P1083" i="2"/>
  <c r="R1083" i="2" s="1"/>
  <c r="L1083" i="2"/>
  <c r="J1083" i="2"/>
  <c r="N1083" i="2" s="1"/>
  <c r="Q1082" i="2"/>
  <c r="P1082" i="2"/>
  <c r="R1082" i="2" s="1"/>
  <c r="L1082" i="2"/>
  <c r="J1082" i="2"/>
  <c r="Q1081" i="2"/>
  <c r="P1081" i="2"/>
  <c r="R1081" i="2" s="1"/>
  <c r="N1081" i="2"/>
  <c r="L1081" i="2"/>
  <c r="J1081" i="2"/>
  <c r="Q1080" i="2"/>
  <c r="R1080" i="2" s="1"/>
  <c r="P1080" i="2"/>
  <c r="N1080" i="2"/>
  <c r="L1080" i="2"/>
  <c r="J1080" i="2"/>
  <c r="Q1079" i="2"/>
  <c r="P1079" i="2"/>
  <c r="R1079" i="2" s="1"/>
  <c r="N1079" i="2"/>
  <c r="L1079" i="2"/>
  <c r="J1079" i="2"/>
  <c r="Q1078" i="2"/>
  <c r="P1078" i="2"/>
  <c r="L1078" i="2"/>
  <c r="J1078" i="2"/>
  <c r="Q1077" i="2"/>
  <c r="R1077" i="2" s="1"/>
  <c r="P1077" i="2"/>
  <c r="L1077" i="2"/>
  <c r="J1077" i="2"/>
  <c r="N1077" i="2" s="1"/>
  <c r="Q1076" i="2"/>
  <c r="P1076" i="2"/>
  <c r="L1076" i="2"/>
  <c r="J1076" i="2"/>
  <c r="R1075" i="2"/>
  <c r="Q1075" i="2"/>
  <c r="P1075" i="2"/>
  <c r="L1075" i="2"/>
  <c r="J1075" i="2"/>
  <c r="N1075" i="2" s="1"/>
  <c r="Q1074" i="2"/>
  <c r="P1074" i="2"/>
  <c r="L1074" i="2"/>
  <c r="J1074" i="2"/>
  <c r="Q1073" i="2"/>
  <c r="P1073" i="2"/>
  <c r="R1073" i="2" s="1"/>
  <c r="L1073" i="2"/>
  <c r="N1073" i="2" s="1"/>
  <c r="J1073" i="2"/>
  <c r="Q1072" i="2"/>
  <c r="R1072" i="2" s="1"/>
  <c r="P1072" i="2"/>
  <c r="N1072" i="2"/>
  <c r="L1072" i="2"/>
  <c r="J1072" i="2"/>
  <c r="Q1071" i="2"/>
  <c r="P1071" i="2"/>
  <c r="L1071" i="2"/>
  <c r="J1071" i="2"/>
  <c r="Q1070" i="2"/>
  <c r="R1070" i="2" s="1"/>
  <c r="P1070" i="2"/>
  <c r="N1070" i="2"/>
  <c r="L1070" i="2"/>
  <c r="J1070" i="2"/>
  <c r="Q1069" i="2"/>
  <c r="P1069" i="2"/>
  <c r="R1069" i="2" s="1"/>
  <c r="L1069" i="2"/>
  <c r="J1069" i="2"/>
  <c r="Q1068" i="2"/>
  <c r="P1068" i="2"/>
  <c r="L1068" i="2"/>
  <c r="J1068" i="2"/>
  <c r="N1068" i="2" s="1"/>
  <c r="Q1067" i="2"/>
  <c r="P1067" i="2"/>
  <c r="L1067" i="2"/>
  <c r="J1067" i="2"/>
  <c r="N1067" i="2" s="1"/>
  <c r="R1066" i="2"/>
  <c r="Q1066" i="2"/>
  <c r="P1066" i="2"/>
  <c r="L1066" i="2"/>
  <c r="J1066" i="2"/>
  <c r="Q1065" i="2"/>
  <c r="P1065" i="2"/>
  <c r="L1065" i="2"/>
  <c r="N1065" i="2" s="1"/>
  <c r="J1065" i="2"/>
  <c r="Q1064" i="2"/>
  <c r="R1064" i="2" s="1"/>
  <c r="P1064" i="2"/>
  <c r="L1064" i="2"/>
  <c r="J1064" i="2"/>
  <c r="N1064" i="2" s="1"/>
  <c r="Q1063" i="2"/>
  <c r="P1063" i="2"/>
  <c r="R1063" i="2" s="1"/>
  <c r="N1063" i="2"/>
  <c r="L1063" i="2"/>
  <c r="J1063" i="2"/>
  <c r="Q1062" i="2"/>
  <c r="P1062" i="2"/>
  <c r="R1062" i="2" s="1"/>
  <c r="L1062" i="2"/>
  <c r="J1062" i="2"/>
  <c r="N1062" i="2" s="1"/>
  <c r="Q1061" i="2"/>
  <c r="P1061" i="2"/>
  <c r="R1061" i="2" s="1"/>
  <c r="L1061" i="2"/>
  <c r="J1061" i="2"/>
  <c r="Q1060" i="2"/>
  <c r="P1060" i="2"/>
  <c r="L1060" i="2"/>
  <c r="J1060" i="2"/>
  <c r="Q1059" i="2"/>
  <c r="R1059" i="2" s="1"/>
  <c r="P1059" i="2"/>
  <c r="L1059" i="2"/>
  <c r="J1059" i="2"/>
  <c r="Q1058" i="2"/>
  <c r="P1058" i="2"/>
  <c r="N1058" i="2"/>
  <c r="L1058" i="2"/>
  <c r="J1058" i="2"/>
  <c r="Q1057" i="2"/>
  <c r="P1057" i="2"/>
  <c r="L1057" i="2"/>
  <c r="J1057" i="2"/>
  <c r="Q1056" i="2"/>
  <c r="P1056" i="2"/>
  <c r="R1056" i="2" s="1"/>
  <c r="N1056" i="2"/>
  <c r="L1056" i="2"/>
  <c r="J1056" i="2"/>
  <c r="Q1055" i="2"/>
  <c r="P1055" i="2"/>
  <c r="L1055" i="2"/>
  <c r="J1055" i="2"/>
  <c r="N1055" i="2" s="1"/>
  <c r="R1054" i="2"/>
  <c r="Q1054" i="2"/>
  <c r="P1054" i="2"/>
  <c r="L1054" i="2"/>
  <c r="J1054" i="2"/>
  <c r="Q1053" i="2"/>
  <c r="P1053" i="2"/>
  <c r="L1053" i="2"/>
  <c r="J1053" i="2"/>
  <c r="Q1052" i="2"/>
  <c r="P1052" i="2"/>
  <c r="L1052" i="2"/>
  <c r="J1052" i="2"/>
  <c r="N1052" i="2" s="1"/>
  <c r="R1051" i="2"/>
  <c r="Q1051" i="2"/>
  <c r="P1051" i="2"/>
  <c r="L1051" i="2"/>
  <c r="J1051" i="2"/>
  <c r="N1051" i="2" s="1"/>
  <c r="Q1050" i="2"/>
  <c r="P1050" i="2"/>
  <c r="R1050" i="2" s="1"/>
  <c r="L1050" i="2"/>
  <c r="J1050" i="2"/>
  <c r="R1049" i="2"/>
  <c r="Q1049" i="2"/>
  <c r="P1049" i="2"/>
  <c r="L1049" i="2"/>
  <c r="J1049" i="2"/>
  <c r="Q1048" i="2"/>
  <c r="P1048" i="2"/>
  <c r="R1048" i="2" s="1"/>
  <c r="L1048" i="2"/>
  <c r="N1048" i="2" s="1"/>
  <c r="J1048" i="2"/>
  <c r="Q1047" i="2"/>
  <c r="P1047" i="2"/>
  <c r="L1047" i="2"/>
  <c r="J1047" i="2"/>
  <c r="N1047" i="2" s="1"/>
  <c r="Q1046" i="2"/>
  <c r="P1046" i="2"/>
  <c r="L1046" i="2"/>
  <c r="J1046" i="2"/>
  <c r="Q1045" i="2"/>
  <c r="P1045" i="2"/>
  <c r="L1045" i="2"/>
  <c r="J1045" i="2"/>
  <c r="Q1044" i="2"/>
  <c r="R1044" i="2" s="1"/>
  <c r="P1044" i="2"/>
  <c r="L1044" i="2"/>
  <c r="J1044" i="2"/>
  <c r="N1044" i="2" s="1"/>
  <c r="Q1043" i="2"/>
  <c r="P1043" i="2"/>
  <c r="L1043" i="2"/>
  <c r="J1043" i="2"/>
  <c r="Q1042" i="2"/>
  <c r="P1042" i="2"/>
  <c r="L1042" i="2"/>
  <c r="J1042" i="2"/>
  <c r="Q1041" i="2"/>
  <c r="P1041" i="2"/>
  <c r="R1041" i="2" s="1"/>
  <c r="L1041" i="2"/>
  <c r="J1041" i="2"/>
  <c r="N1041" i="2" s="1"/>
  <c r="R1040" i="2"/>
  <c r="Q1040" i="2"/>
  <c r="P1040" i="2"/>
  <c r="L1040" i="2"/>
  <c r="J1040" i="2"/>
  <c r="Q1039" i="2"/>
  <c r="P1039" i="2"/>
  <c r="L1039" i="2"/>
  <c r="J1039" i="2"/>
  <c r="N1039" i="2" s="1"/>
  <c r="Q1038" i="2"/>
  <c r="P1038" i="2"/>
  <c r="R1038" i="2" s="1"/>
  <c r="L1038" i="2"/>
  <c r="J1038" i="2"/>
  <c r="Q1037" i="2"/>
  <c r="P1037" i="2"/>
  <c r="R1037" i="2" s="1"/>
  <c r="L1037" i="2"/>
  <c r="J1037" i="2"/>
  <c r="N1037" i="2" s="1"/>
  <c r="Q1036" i="2"/>
  <c r="P1036" i="2"/>
  <c r="L1036" i="2"/>
  <c r="J1036" i="2"/>
  <c r="N1036" i="2" s="1"/>
  <c r="Q1035" i="2"/>
  <c r="P1035" i="2"/>
  <c r="L1035" i="2"/>
  <c r="J1035" i="2"/>
  <c r="N1035" i="2" s="1"/>
  <c r="Q1034" i="2"/>
  <c r="R1034" i="2" s="1"/>
  <c r="P1034" i="2"/>
  <c r="L1034" i="2"/>
  <c r="J1034" i="2"/>
  <c r="Q1033" i="2"/>
  <c r="P1033" i="2"/>
  <c r="R1033" i="2" s="1"/>
  <c r="L1033" i="2"/>
  <c r="J1033" i="2"/>
  <c r="Q1032" i="2"/>
  <c r="P1032" i="2"/>
  <c r="N1032" i="2"/>
  <c r="L1032" i="2"/>
  <c r="J1032" i="2"/>
  <c r="Q1031" i="2"/>
  <c r="P1031" i="2"/>
  <c r="L1031" i="2"/>
  <c r="J1031" i="2"/>
  <c r="Q1030" i="2"/>
  <c r="P1030" i="2"/>
  <c r="R1030" i="2" s="1"/>
  <c r="L1030" i="2"/>
  <c r="J1030" i="2"/>
  <c r="Q1029" i="2"/>
  <c r="R1029" i="2" s="1"/>
  <c r="P1029" i="2"/>
  <c r="L1029" i="2"/>
  <c r="J1029" i="2"/>
  <c r="N1029" i="2" s="1"/>
  <c r="R1028" i="2"/>
  <c r="Q1028" i="2"/>
  <c r="P1028" i="2"/>
  <c r="L1028" i="2"/>
  <c r="J1028" i="2"/>
  <c r="N1028" i="2" s="1"/>
  <c r="Q1027" i="2"/>
  <c r="P1027" i="2"/>
  <c r="L1027" i="2"/>
  <c r="N1027" i="2" s="1"/>
  <c r="J1027" i="2"/>
  <c r="Q1026" i="2"/>
  <c r="P1026" i="2"/>
  <c r="R1026" i="2" s="1"/>
  <c r="L1026" i="2"/>
  <c r="J1026" i="2"/>
  <c r="N1026" i="2" s="1"/>
  <c r="Q1025" i="2"/>
  <c r="P1025" i="2"/>
  <c r="R1025" i="2" s="1"/>
  <c r="L1025" i="2"/>
  <c r="J1025" i="2"/>
  <c r="Q1024" i="2"/>
  <c r="P1024" i="2"/>
  <c r="L1024" i="2"/>
  <c r="J1024" i="2"/>
  <c r="N1024" i="2" s="1"/>
  <c r="Q1023" i="2"/>
  <c r="P1023" i="2"/>
  <c r="R1023" i="2" s="1"/>
  <c r="L1023" i="2"/>
  <c r="J1023" i="2"/>
  <c r="N1023" i="2" s="1"/>
  <c r="Q1022" i="2"/>
  <c r="P1022" i="2"/>
  <c r="L1022" i="2"/>
  <c r="J1022" i="2"/>
  <c r="N1022" i="2" s="1"/>
  <c r="R1021" i="2"/>
  <c r="Q1021" i="2"/>
  <c r="P1021" i="2"/>
  <c r="L1021" i="2"/>
  <c r="J1021" i="2"/>
  <c r="Q1020" i="2"/>
  <c r="P1020" i="2"/>
  <c r="L1020" i="2"/>
  <c r="J1020" i="2"/>
  <c r="Q1019" i="2"/>
  <c r="R1019" i="2" s="1"/>
  <c r="P1019" i="2"/>
  <c r="L1019" i="2"/>
  <c r="J1019" i="2"/>
  <c r="N1019" i="2" s="1"/>
  <c r="Q1018" i="2"/>
  <c r="R1018" i="2" s="1"/>
  <c r="P1018" i="2"/>
  <c r="L1018" i="2"/>
  <c r="J1018" i="2"/>
  <c r="Q1017" i="2"/>
  <c r="P1017" i="2"/>
  <c r="R1017" i="2" s="1"/>
  <c r="L1017" i="2"/>
  <c r="N1017" i="2" s="1"/>
  <c r="J1017" i="2"/>
  <c r="R1016" i="2"/>
  <c r="Q1016" i="2"/>
  <c r="P1016" i="2"/>
  <c r="L1016" i="2"/>
  <c r="J1016" i="2"/>
  <c r="Q1015" i="2"/>
  <c r="R1015" i="2" s="1"/>
  <c r="P1015" i="2"/>
  <c r="L1015" i="2"/>
  <c r="J1015" i="2"/>
  <c r="Q1014" i="2"/>
  <c r="P1014" i="2"/>
  <c r="N1014" i="2"/>
  <c r="L1014" i="2"/>
  <c r="J1014" i="2"/>
  <c r="R1013" i="2"/>
  <c r="Q1013" i="2"/>
  <c r="P1013" i="2"/>
  <c r="L1013" i="2"/>
  <c r="N1013" i="2" s="1"/>
  <c r="J1013" i="2"/>
  <c r="Q1012" i="2"/>
  <c r="P1012" i="2"/>
  <c r="R1012" i="2" s="1"/>
  <c r="L1012" i="2"/>
  <c r="J1012" i="2"/>
  <c r="N1012" i="2" s="1"/>
  <c r="R1011" i="2"/>
  <c r="Q1011" i="2"/>
  <c r="P1011" i="2"/>
  <c r="L1011" i="2"/>
  <c r="J1011" i="2"/>
  <c r="N1011" i="2" s="1"/>
  <c r="Q1010" i="2"/>
  <c r="P1010" i="2"/>
  <c r="R1010" i="2" s="1"/>
  <c r="L1010" i="2"/>
  <c r="J1010" i="2"/>
  <c r="Q1009" i="2"/>
  <c r="R1009" i="2" s="1"/>
  <c r="P1009" i="2"/>
  <c r="L1009" i="2"/>
  <c r="J1009" i="2"/>
  <c r="Q1008" i="2"/>
  <c r="P1008" i="2"/>
  <c r="R1008" i="2" s="1"/>
  <c r="L1008" i="2"/>
  <c r="J1008" i="2"/>
  <c r="N1008" i="2" s="1"/>
  <c r="Q1007" i="2"/>
  <c r="P1007" i="2"/>
  <c r="L1007" i="2"/>
  <c r="J1007" i="2"/>
  <c r="Q1006" i="2"/>
  <c r="P1006" i="2"/>
  <c r="L1006" i="2"/>
  <c r="J1006" i="2"/>
  <c r="N1006" i="2" s="1"/>
  <c r="Q1005" i="2"/>
  <c r="P1005" i="2"/>
  <c r="R1005" i="2" s="1"/>
  <c r="L1005" i="2"/>
  <c r="N1005" i="2" s="1"/>
  <c r="J1005" i="2"/>
  <c r="Q1004" i="2"/>
  <c r="P1004" i="2"/>
  <c r="L1004" i="2"/>
  <c r="J1004" i="2"/>
  <c r="N1004" i="2" s="1"/>
  <c r="Q1003" i="2"/>
  <c r="P1003" i="2"/>
  <c r="L1003" i="2"/>
  <c r="J1003" i="2"/>
  <c r="Q1002" i="2"/>
  <c r="P1002" i="2"/>
  <c r="L1002" i="2"/>
  <c r="J1002" i="2"/>
  <c r="Q1001" i="2"/>
  <c r="P1001" i="2"/>
  <c r="R1001" i="2" s="1"/>
  <c r="L1001" i="2"/>
  <c r="J1001" i="2"/>
  <c r="N1001" i="2" s="1"/>
  <c r="Q1000" i="2"/>
  <c r="P1000" i="2"/>
  <c r="R1000" i="2" s="1"/>
  <c r="L1000" i="2"/>
  <c r="J1000" i="2"/>
  <c r="N1000" i="2" s="1"/>
  <c r="Q999" i="2"/>
  <c r="R999" i="2" s="1"/>
  <c r="P999" i="2"/>
  <c r="L999" i="2"/>
  <c r="J999" i="2"/>
  <c r="N999" i="2" s="1"/>
  <c r="Q998" i="2"/>
  <c r="P998" i="2"/>
  <c r="R998" i="2" s="1"/>
  <c r="L998" i="2"/>
  <c r="J998" i="2"/>
  <c r="Q997" i="2"/>
  <c r="P997" i="2"/>
  <c r="L997" i="2"/>
  <c r="J997" i="2"/>
  <c r="N997" i="2" s="1"/>
  <c r="Q996" i="2"/>
  <c r="P996" i="2"/>
  <c r="R996" i="2" s="1"/>
  <c r="L996" i="2"/>
  <c r="N996" i="2" s="1"/>
  <c r="J996" i="2"/>
  <c r="Q995" i="2"/>
  <c r="P995" i="2"/>
  <c r="R995" i="2" s="1"/>
  <c r="L995" i="2"/>
  <c r="J995" i="2"/>
  <c r="Q994" i="2"/>
  <c r="P994" i="2"/>
  <c r="R994" i="2" s="1"/>
  <c r="L994" i="2"/>
  <c r="N994" i="2" s="1"/>
  <c r="J994" i="2"/>
  <c r="Q993" i="2"/>
  <c r="P993" i="2"/>
  <c r="R993" i="2" s="1"/>
  <c r="L993" i="2"/>
  <c r="J993" i="2"/>
  <c r="Q992" i="2"/>
  <c r="P992" i="2"/>
  <c r="L992" i="2"/>
  <c r="J992" i="2"/>
  <c r="N992" i="2" s="1"/>
  <c r="Q991" i="2"/>
  <c r="P991" i="2"/>
  <c r="R991" i="2" s="1"/>
  <c r="L991" i="2"/>
  <c r="J991" i="2"/>
  <c r="N991" i="2" s="1"/>
  <c r="Q990" i="2"/>
  <c r="P990" i="2"/>
  <c r="L990" i="2"/>
  <c r="J990" i="2"/>
  <c r="Q989" i="2"/>
  <c r="P989" i="2"/>
  <c r="L989" i="2"/>
  <c r="J989" i="2"/>
  <c r="N989" i="2" s="1"/>
  <c r="Q988" i="2"/>
  <c r="P988" i="2"/>
  <c r="R988" i="2" s="1"/>
  <c r="L988" i="2"/>
  <c r="J988" i="2"/>
  <c r="N988" i="2" s="1"/>
  <c r="Q987" i="2"/>
  <c r="P987" i="2"/>
  <c r="L987" i="2"/>
  <c r="N987" i="2" s="1"/>
  <c r="J987" i="2"/>
  <c r="Q986" i="2"/>
  <c r="P986" i="2"/>
  <c r="L986" i="2"/>
  <c r="J986" i="2"/>
  <c r="R985" i="2"/>
  <c r="Q985" i="2"/>
  <c r="P985" i="2"/>
  <c r="L985" i="2"/>
  <c r="J985" i="2"/>
  <c r="N985" i="2" s="1"/>
  <c r="Q984" i="2"/>
  <c r="P984" i="2"/>
  <c r="L984" i="2"/>
  <c r="J984" i="2"/>
  <c r="Q983" i="2"/>
  <c r="P983" i="2"/>
  <c r="R983" i="2" s="1"/>
  <c r="L983" i="2"/>
  <c r="J983" i="2"/>
  <c r="N983" i="2" s="1"/>
  <c r="Q982" i="2"/>
  <c r="P982" i="2"/>
  <c r="R982" i="2" s="1"/>
  <c r="N982" i="2"/>
  <c r="L982" i="2"/>
  <c r="J982" i="2"/>
  <c r="Q981" i="2"/>
  <c r="P981" i="2"/>
  <c r="R981" i="2" s="1"/>
  <c r="L981" i="2"/>
  <c r="J981" i="2"/>
  <c r="N981" i="2" s="1"/>
  <c r="Q980" i="2"/>
  <c r="P980" i="2"/>
  <c r="L980" i="2"/>
  <c r="J980" i="2"/>
  <c r="R979" i="2"/>
  <c r="Q979" i="2"/>
  <c r="P979" i="2"/>
  <c r="L979" i="2"/>
  <c r="J979" i="2"/>
  <c r="R978" i="2"/>
  <c r="Q978" i="2"/>
  <c r="P978" i="2"/>
  <c r="L978" i="2"/>
  <c r="J978" i="2"/>
  <c r="Q977" i="2"/>
  <c r="P977" i="2"/>
  <c r="L977" i="2"/>
  <c r="J977" i="2"/>
  <c r="Q976" i="2"/>
  <c r="P976" i="2"/>
  <c r="R976" i="2" s="1"/>
  <c r="L976" i="2"/>
  <c r="J976" i="2"/>
  <c r="N976" i="2" s="1"/>
  <c r="R975" i="2"/>
  <c r="Q975" i="2"/>
  <c r="P975" i="2"/>
  <c r="L975" i="2"/>
  <c r="J975" i="2"/>
  <c r="N975" i="2" s="1"/>
  <c r="Q974" i="2"/>
  <c r="P974" i="2"/>
  <c r="L974" i="2"/>
  <c r="J974" i="2"/>
  <c r="R973" i="2"/>
  <c r="Q973" i="2"/>
  <c r="P973" i="2"/>
  <c r="L973" i="2"/>
  <c r="J973" i="2"/>
  <c r="N973" i="2" s="1"/>
  <c r="Q972" i="2"/>
  <c r="P972" i="2"/>
  <c r="L972" i="2"/>
  <c r="J972" i="2"/>
  <c r="Q971" i="2"/>
  <c r="R971" i="2" s="1"/>
  <c r="P971" i="2"/>
  <c r="L971" i="2"/>
  <c r="J971" i="2"/>
  <c r="R970" i="2"/>
  <c r="Q970" i="2"/>
  <c r="P970" i="2"/>
  <c r="N970" i="2"/>
  <c r="L970" i="2"/>
  <c r="J970" i="2"/>
  <c r="R969" i="2"/>
  <c r="Q969" i="2"/>
  <c r="P969" i="2"/>
  <c r="L969" i="2"/>
  <c r="J969" i="2"/>
  <c r="N969" i="2" s="1"/>
  <c r="Q968" i="2"/>
  <c r="P968" i="2"/>
  <c r="L968" i="2"/>
  <c r="J968" i="2"/>
  <c r="Q967" i="2"/>
  <c r="P967" i="2"/>
  <c r="N967" i="2"/>
  <c r="L967" i="2"/>
  <c r="J967" i="2"/>
  <c r="Q966" i="2"/>
  <c r="P966" i="2"/>
  <c r="R966" i="2" s="1"/>
  <c r="L966" i="2"/>
  <c r="J966" i="2"/>
  <c r="Q965" i="2"/>
  <c r="P965" i="2"/>
  <c r="N965" i="2"/>
  <c r="L965" i="2"/>
  <c r="J965" i="2"/>
  <c r="Q964" i="2"/>
  <c r="R964" i="2" s="1"/>
  <c r="P964" i="2"/>
  <c r="L964" i="2"/>
  <c r="N964" i="2" s="1"/>
  <c r="J964" i="2"/>
  <c r="Q963" i="2"/>
  <c r="P963" i="2"/>
  <c r="N963" i="2"/>
  <c r="L963" i="2"/>
  <c r="J963" i="2"/>
  <c r="Q962" i="2"/>
  <c r="P962" i="2"/>
  <c r="L962" i="2"/>
  <c r="J962" i="2"/>
  <c r="N962" i="2" s="1"/>
  <c r="R961" i="2"/>
  <c r="Q961" i="2"/>
  <c r="P961" i="2"/>
  <c r="L961" i="2"/>
  <c r="J961" i="2"/>
  <c r="R960" i="2"/>
  <c r="Q960" i="2"/>
  <c r="P960" i="2"/>
  <c r="L960" i="2"/>
  <c r="J960" i="2"/>
  <c r="N960" i="2" s="1"/>
  <c r="R959" i="2"/>
  <c r="Q959" i="2"/>
  <c r="P959" i="2"/>
  <c r="L959" i="2"/>
  <c r="J959" i="2"/>
  <c r="R958" i="2"/>
  <c r="Q958" i="2"/>
  <c r="P958" i="2"/>
  <c r="L958" i="2"/>
  <c r="N958" i="2" s="1"/>
  <c r="J958" i="2"/>
  <c r="Q957" i="2"/>
  <c r="P957" i="2"/>
  <c r="N957" i="2"/>
  <c r="L957" i="2"/>
  <c r="J957" i="2"/>
  <c r="Q956" i="2"/>
  <c r="R956" i="2" s="1"/>
  <c r="P956" i="2"/>
  <c r="L956" i="2"/>
  <c r="J956" i="2"/>
  <c r="N956" i="2" s="1"/>
  <c r="R955" i="2"/>
  <c r="Q955" i="2"/>
  <c r="P955" i="2"/>
  <c r="N955" i="2"/>
  <c r="L955" i="2"/>
  <c r="J955" i="2"/>
  <c r="Q954" i="2"/>
  <c r="P954" i="2"/>
  <c r="R954" i="2" s="1"/>
  <c r="L954" i="2"/>
  <c r="J954" i="2"/>
  <c r="N954" i="2" s="1"/>
  <c r="R953" i="2"/>
  <c r="Q953" i="2"/>
  <c r="P953" i="2"/>
  <c r="L953" i="2"/>
  <c r="J953" i="2"/>
  <c r="N953" i="2" s="1"/>
  <c r="Q952" i="2"/>
  <c r="P952" i="2"/>
  <c r="R952" i="2" s="1"/>
  <c r="L952" i="2"/>
  <c r="J952" i="2"/>
  <c r="R951" i="2"/>
  <c r="Q951" i="2"/>
  <c r="P951" i="2"/>
  <c r="L951" i="2"/>
  <c r="J951" i="2"/>
  <c r="N951" i="2" s="1"/>
  <c r="Q950" i="2"/>
  <c r="P950" i="2"/>
  <c r="L950" i="2"/>
  <c r="J950" i="2"/>
  <c r="Q949" i="2"/>
  <c r="R949" i="2" s="1"/>
  <c r="P949" i="2"/>
  <c r="L949" i="2"/>
  <c r="J949" i="2"/>
  <c r="Q948" i="2"/>
  <c r="P948" i="2"/>
  <c r="L948" i="2"/>
  <c r="J948" i="2"/>
  <c r="Q947" i="2"/>
  <c r="P947" i="2"/>
  <c r="R947" i="2" s="1"/>
  <c r="L947" i="2"/>
  <c r="J947" i="2"/>
  <c r="Q946" i="2"/>
  <c r="P946" i="2"/>
  <c r="L946" i="2"/>
  <c r="J946" i="2"/>
  <c r="Q945" i="2"/>
  <c r="P945" i="2"/>
  <c r="L945" i="2"/>
  <c r="J945" i="2"/>
  <c r="N945" i="2" s="1"/>
  <c r="R944" i="2"/>
  <c r="Q944" i="2"/>
  <c r="P944" i="2"/>
  <c r="L944" i="2"/>
  <c r="J944" i="2"/>
  <c r="Q943" i="2"/>
  <c r="P943" i="2"/>
  <c r="R943" i="2" s="1"/>
  <c r="L943" i="2"/>
  <c r="J943" i="2"/>
  <c r="N943" i="2" s="1"/>
  <c r="Q942" i="2"/>
  <c r="P942" i="2"/>
  <c r="N942" i="2"/>
  <c r="L942" i="2"/>
  <c r="J942" i="2"/>
  <c r="Q941" i="2"/>
  <c r="P941" i="2"/>
  <c r="R941" i="2" s="1"/>
  <c r="L941" i="2"/>
  <c r="J941" i="2"/>
  <c r="N941" i="2" s="1"/>
  <c r="Q940" i="2"/>
  <c r="P940" i="2"/>
  <c r="R940" i="2" s="1"/>
  <c r="L940" i="2"/>
  <c r="J940" i="2"/>
  <c r="Q939" i="2"/>
  <c r="P939" i="2"/>
  <c r="R939" i="2" s="1"/>
  <c r="L939" i="2"/>
  <c r="J939" i="2"/>
  <c r="N939" i="2" s="1"/>
  <c r="Q938" i="2"/>
  <c r="P938" i="2"/>
  <c r="L938" i="2"/>
  <c r="J938" i="2"/>
  <c r="Q937" i="2"/>
  <c r="P937" i="2"/>
  <c r="L937" i="2"/>
  <c r="J937" i="2"/>
  <c r="Q936" i="2"/>
  <c r="P936" i="2"/>
  <c r="R936" i="2" s="1"/>
  <c r="L936" i="2"/>
  <c r="J936" i="2"/>
  <c r="R935" i="2"/>
  <c r="Q935" i="2"/>
  <c r="P935" i="2"/>
  <c r="L935" i="2"/>
  <c r="J935" i="2"/>
  <c r="Q934" i="2"/>
  <c r="P934" i="2"/>
  <c r="R934" i="2" s="1"/>
  <c r="L934" i="2"/>
  <c r="J934" i="2"/>
  <c r="R933" i="2"/>
  <c r="Q933" i="2"/>
  <c r="P933" i="2"/>
  <c r="L933" i="2"/>
  <c r="N933" i="2" s="1"/>
  <c r="J933" i="2"/>
  <c r="Q932" i="2"/>
  <c r="P932" i="2"/>
  <c r="R932" i="2" s="1"/>
  <c r="L932" i="2"/>
  <c r="J932" i="2"/>
  <c r="N932" i="2" s="1"/>
  <c r="Q931" i="2"/>
  <c r="P931" i="2"/>
  <c r="R931" i="2" s="1"/>
  <c r="L931" i="2"/>
  <c r="J931" i="2"/>
  <c r="N931" i="2" s="1"/>
  <c r="Q930" i="2"/>
  <c r="P930" i="2"/>
  <c r="L930" i="2"/>
  <c r="J930" i="2"/>
  <c r="N930" i="2" s="1"/>
  <c r="Q929" i="2"/>
  <c r="P929" i="2"/>
  <c r="R929" i="2" s="1"/>
  <c r="L929" i="2"/>
  <c r="J929" i="2"/>
  <c r="Q928" i="2"/>
  <c r="P928" i="2"/>
  <c r="R928" i="2" s="1"/>
  <c r="L928" i="2"/>
  <c r="J928" i="2"/>
  <c r="Q927" i="2"/>
  <c r="P927" i="2"/>
  <c r="L927" i="2"/>
  <c r="J927" i="2"/>
  <c r="Q926" i="2"/>
  <c r="P926" i="2"/>
  <c r="R926" i="2" s="1"/>
  <c r="L926" i="2"/>
  <c r="J926" i="2"/>
  <c r="N926" i="2" s="1"/>
  <c r="Q925" i="2"/>
  <c r="P925" i="2"/>
  <c r="L925" i="2"/>
  <c r="J925" i="2"/>
  <c r="R924" i="2"/>
  <c r="Q924" i="2"/>
  <c r="P924" i="2"/>
  <c r="L924" i="2"/>
  <c r="J924" i="2"/>
  <c r="Q923" i="2"/>
  <c r="P923" i="2"/>
  <c r="R923" i="2" s="1"/>
  <c r="L923" i="2"/>
  <c r="N923" i="2" s="1"/>
  <c r="J923" i="2"/>
  <c r="Q922" i="2"/>
  <c r="P922" i="2"/>
  <c r="R922" i="2" s="1"/>
  <c r="L922" i="2"/>
  <c r="J922" i="2"/>
  <c r="Q921" i="2"/>
  <c r="P921" i="2"/>
  <c r="R921" i="2" s="1"/>
  <c r="L921" i="2"/>
  <c r="J921" i="2"/>
  <c r="N921" i="2" s="1"/>
  <c r="Q920" i="2"/>
  <c r="P920" i="2"/>
  <c r="R920" i="2" s="1"/>
  <c r="L920" i="2"/>
  <c r="J920" i="2"/>
  <c r="N920" i="2" s="1"/>
  <c r="Q919" i="2"/>
  <c r="P919" i="2"/>
  <c r="R919" i="2" s="1"/>
  <c r="L919" i="2"/>
  <c r="J919" i="2"/>
  <c r="N919" i="2" s="1"/>
  <c r="Q918" i="2"/>
  <c r="P918" i="2"/>
  <c r="L918" i="2"/>
  <c r="J918" i="2"/>
  <c r="N918" i="2" s="1"/>
  <c r="Q917" i="2"/>
  <c r="P917" i="2"/>
  <c r="L917" i="2"/>
  <c r="J917" i="2"/>
  <c r="N917" i="2" s="1"/>
  <c r="Q916" i="2"/>
  <c r="P916" i="2"/>
  <c r="L916" i="2"/>
  <c r="J916" i="2"/>
  <c r="N916" i="2" s="1"/>
  <c r="Q915" i="2"/>
  <c r="P915" i="2"/>
  <c r="R915" i="2" s="1"/>
  <c r="L915" i="2"/>
  <c r="J915" i="2"/>
  <c r="Q914" i="2"/>
  <c r="P914" i="2"/>
  <c r="R914" i="2" s="1"/>
  <c r="L914" i="2"/>
  <c r="J914" i="2"/>
  <c r="Q913" i="2"/>
  <c r="P913" i="2"/>
  <c r="L913" i="2"/>
  <c r="N913" i="2" s="1"/>
  <c r="J913" i="2"/>
  <c r="Q912" i="2"/>
  <c r="P912" i="2"/>
  <c r="R912" i="2" s="1"/>
  <c r="L912" i="2"/>
  <c r="J912" i="2"/>
  <c r="N912" i="2" s="1"/>
  <c r="Q911" i="2"/>
  <c r="P911" i="2"/>
  <c r="R911" i="2" s="1"/>
  <c r="L911" i="2"/>
  <c r="J911" i="2"/>
  <c r="N911" i="2" s="1"/>
  <c r="Q910" i="2"/>
  <c r="P910" i="2"/>
  <c r="R910" i="2" s="1"/>
  <c r="L910" i="2"/>
  <c r="J910" i="2"/>
  <c r="Q909" i="2"/>
  <c r="P909" i="2"/>
  <c r="L909" i="2"/>
  <c r="J909" i="2"/>
  <c r="Q908" i="2"/>
  <c r="P908" i="2"/>
  <c r="L908" i="2"/>
  <c r="J908" i="2"/>
  <c r="N908" i="2" s="1"/>
  <c r="Q907" i="2"/>
  <c r="R907" i="2" s="1"/>
  <c r="P907" i="2"/>
  <c r="N907" i="2"/>
  <c r="L907" i="2"/>
  <c r="J907" i="2"/>
  <c r="Q906" i="2"/>
  <c r="P906" i="2"/>
  <c r="L906" i="2"/>
  <c r="J906" i="2"/>
  <c r="Q905" i="2"/>
  <c r="R905" i="2" s="1"/>
  <c r="P905" i="2"/>
  <c r="L905" i="2"/>
  <c r="J905" i="2"/>
  <c r="Q904" i="2"/>
  <c r="P904" i="2"/>
  <c r="L904" i="2"/>
  <c r="J904" i="2"/>
  <c r="Q903" i="2"/>
  <c r="P903" i="2"/>
  <c r="L903" i="2"/>
  <c r="J903" i="2"/>
  <c r="Q902" i="2"/>
  <c r="P902" i="2"/>
  <c r="L902" i="2"/>
  <c r="N902" i="2" s="1"/>
  <c r="J902" i="2"/>
  <c r="Q901" i="2"/>
  <c r="P901" i="2"/>
  <c r="R901" i="2" s="1"/>
  <c r="L901" i="2"/>
  <c r="J901" i="2"/>
  <c r="N901" i="2" s="1"/>
  <c r="Q900" i="2"/>
  <c r="P900" i="2"/>
  <c r="R900" i="2" s="1"/>
  <c r="N900" i="2"/>
  <c r="L900" i="2"/>
  <c r="J900" i="2"/>
  <c r="Q899" i="2"/>
  <c r="P899" i="2"/>
  <c r="R899" i="2" s="1"/>
  <c r="L899" i="2"/>
  <c r="J899" i="2"/>
  <c r="N899" i="2" s="1"/>
  <c r="Q898" i="2"/>
  <c r="P898" i="2"/>
  <c r="N898" i="2"/>
  <c r="L898" i="2"/>
  <c r="J898" i="2"/>
  <c r="Q897" i="2"/>
  <c r="P897" i="2"/>
  <c r="L897" i="2"/>
  <c r="J897" i="2"/>
  <c r="N897" i="2" s="1"/>
  <c r="Q896" i="2"/>
  <c r="P896" i="2"/>
  <c r="R896" i="2" s="1"/>
  <c r="L896" i="2"/>
  <c r="J896" i="2"/>
  <c r="Q895" i="2"/>
  <c r="P895" i="2"/>
  <c r="L895" i="2"/>
  <c r="J895" i="2"/>
  <c r="N895" i="2" s="1"/>
  <c r="Q894" i="2"/>
  <c r="P894" i="2"/>
  <c r="R894" i="2" s="1"/>
  <c r="L894" i="2"/>
  <c r="J894" i="2"/>
  <c r="N894" i="2" s="1"/>
  <c r="Q893" i="2"/>
  <c r="P893" i="2"/>
  <c r="L893" i="2"/>
  <c r="N893" i="2" s="1"/>
  <c r="J893" i="2"/>
  <c r="Q892" i="2"/>
  <c r="P892" i="2"/>
  <c r="R892" i="2" s="1"/>
  <c r="L892" i="2"/>
  <c r="J892" i="2"/>
  <c r="N892" i="2" s="1"/>
  <c r="Q891" i="2"/>
  <c r="P891" i="2"/>
  <c r="R891" i="2" s="1"/>
  <c r="L891" i="2"/>
  <c r="J891" i="2"/>
  <c r="Q890" i="2"/>
  <c r="P890" i="2"/>
  <c r="R890" i="2" s="1"/>
  <c r="L890" i="2"/>
  <c r="J890" i="2"/>
  <c r="N890" i="2" s="1"/>
  <c r="Q889" i="2"/>
  <c r="P889" i="2"/>
  <c r="R889" i="2" s="1"/>
  <c r="L889" i="2"/>
  <c r="J889" i="2"/>
  <c r="Q888" i="2"/>
  <c r="P888" i="2"/>
  <c r="R888" i="2" s="1"/>
  <c r="L888" i="2"/>
  <c r="J888" i="2"/>
  <c r="N888" i="2" s="1"/>
  <c r="Q887" i="2"/>
  <c r="P887" i="2"/>
  <c r="R887" i="2" s="1"/>
  <c r="L887" i="2"/>
  <c r="J887" i="2"/>
  <c r="Q886" i="2"/>
  <c r="P886" i="2"/>
  <c r="L886" i="2"/>
  <c r="J886" i="2"/>
  <c r="N886" i="2" s="1"/>
  <c r="Q885" i="2"/>
  <c r="P885" i="2"/>
  <c r="L885" i="2"/>
  <c r="J885" i="2"/>
  <c r="N885" i="2" s="1"/>
  <c r="R884" i="2"/>
  <c r="Q884" i="2"/>
  <c r="P884" i="2"/>
  <c r="L884" i="2"/>
  <c r="J884" i="2"/>
  <c r="Q883" i="2"/>
  <c r="P883" i="2"/>
  <c r="R883" i="2" s="1"/>
  <c r="L883" i="2"/>
  <c r="J883" i="2"/>
  <c r="N883" i="2" s="1"/>
  <c r="Q882" i="2"/>
  <c r="P882" i="2"/>
  <c r="R882" i="2" s="1"/>
  <c r="L882" i="2"/>
  <c r="J882" i="2"/>
  <c r="Q881" i="2"/>
  <c r="P881" i="2"/>
  <c r="R881" i="2" s="1"/>
  <c r="L881" i="2"/>
  <c r="J881" i="2"/>
  <c r="Q880" i="2"/>
  <c r="R880" i="2" s="1"/>
  <c r="P880" i="2"/>
  <c r="L880" i="2"/>
  <c r="J880" i="2"/>
  <c r="N880" i="2" s="1"/>
  <c r="Q879" i="2"/>
  <c r="P879" i="2"/>
  <c r="L879" i="2"/>
  <c r="J879" i="2"/>
  <c r="R878" i="2"/>
  <c r="Q878" i="2"/>
  <c r="P878" i="2"/>
  <c r="L878" i="2"/>
  <c r="J878" i="2"/>
  <c r="Q877" i="2"/>
  <c r="P877" i="2"/>
  <c r="R877" i="2" s="1"/>
  <c r="N877" i="2"/>
  <c r="L877" i="2"/>
  <c r="J877" i="2"/>
  <c r="Q876" i="2"/>
  <c r="P876" i="2"/>
  <c r="R876" i="2" s="1"/>
  <c r="L876" i="2"/>
  <c r="J876" i="2"/>
  <c r="Q875" i="2"/>
  <c r="P875" i="2"/>
  <c r="R875" i="2" s="1"/>
  <c r="N875" i="2"/>
  <c r="L875" i="2"/>
  <c r="J875" i="2"/>
  <c r="Q874" i="2"/>
  <c r="P874" i="2"/>
  <c r="R874" i="2" s="1"/>
  <c r="L874" i="2"/>
  <c r="J874" i="2"/>
  <c r="Q873" i="2"/>
  <c r="P873" i="2"/>
  <c r="L873" i="2"/>
  <c r="J873" i="2"/>
  <c r="R872" i="2"/>
  <c r="Q872" i="2"/>
  <c r="P872" i="2"/>
  <c r="L872" i="2"/>
  <c r="J872" i="2"/>
  <c r="N872" i="2" s="1"/>
  <c r="R871" i="2"/>
  <c r="Q871" i="2"/>
  <c r="P871" i="2"/>
  <c r="L871" i="2"/>
  <c r="J871" i="2"/>
  <c r="N871" i="2" s="1"/>
  <c r="R870" i="2"/>
  <c r="Q870" i="2"/>
  <c r="P870" i="2"/>
  <c r="L870" i="2"/>
  <c r="J870" i="2"/>
  <c r="N870" i="2" s="1"/>
  <c r="Q869" i="2"/>
  <c r="P869" i="2"/>
  <c r="L869" i="2"/>
  <c r="J869" i="2"/>
  <c r="Q868" i="2"/>
  <c r="P868" i="2"/>
  <c r="L868" i="2"/>
  <c r="J868" i="2"/>
  <c r="N868" i="2" s="1"/>
  <c r="Q867" i="2"/>
  <c r="P867" i="2"/>
  <c r="L867" i="2"/>
  <c r="J867" i="2"/>
  <c r="N867" i="2" s="1"/>
  <c r="Q866" i="2"/>
  <c r="R866" i="2" s="1"/>
  <c r="P866" i="2"/>
  <c r="L866" i="2"/>
  <c r="J866" i="2"/>
  <c r="Q865" i="2"/>
  <c r="P865" i="2"/>
  <c r="R865" i="2" s="1"/>
  <c r="L865" i="2"/>
  <c r="J865" i="2"/>
  <c r="N865" i="2" s="1"/>
  <c r="Q864" i="2"/>
  <c r="P864" i="2"/>
  <c r="R864" i="2" s="1"/>
  <c r="L864" i="2"/>
  <c r="J864" i="2"/>
  <c r="Q863" i="2"/>
  <c r="R863" i="2" s="1"/>
  <c r="P863" i="2"/>
  <c r="L863" i="2"/>
  <c r="N863" i="2" s="1"/>
  <c r="J863" i="2"/>
  <c r="Q862" i="2"/>
  <c r="P862" i="2"/>
  <c r="R862" i="2" s="1"/>
  <c r="L862" i="2"/>
  <c r="J862" i="2"/>
  <c r="N862" i="2" s="1"/>
  <c r="R861" i="2"/>
  <c r="Q861" i="2"/>
  <c r="P861" i="2"/>
  <c r="L861" i="2"/>
  <c r="J861" i="2"/>
  <c r="Q860" i="2"/>
  <c r="P860" i="2"/>
  <c r="R860" i="2" s="1"/>
  <c r="L860" i="2"/>
  <c r="J860" i="2"/>
  <c r="N860" i="2" s="1"/>
  <c r="Q859" i="2"/>
  <c r="R859" i="2" s="1"/>
  <c r="P859" i="2"/>
  <c r="L859" i="2"/>
  <c r="J859" i="2"/>
  <c r="Q858" i="2"/>
  <c r="P858" i="2"/>
  <c r="L858" i="2"/>
  <c r="J858" i="2"/>
  <c r="Q857" i="2"/>
  <c r="P857" i="2"/>
  <c r="R857" i="2" s="1"/>
  <c r="L857" i="2"/>
  <c r="J857" i="2"/>
  <c r="R856" i="2"/>
  <c r="Q856" i="2"/>
  <c r="P856" i="2"/>
  <c r="L856" i="2"/>
  <c r="J856" i="2"/>
  <c r="Q855" i="2"/>
  <c r="P855" i="2"/>
  <c r="R855" i="2" s="1"/>
  <c r="L855" i="2"/>
  <c r="J855" i="2"/>
  <c r="N855" i="2" s="1"/>
  <c r="R854" i="2"/>
  <c r="Q854" i="2"/>
  <c r="P854" i="2"/>
  <c r="L854" i="2"/>
  <c r="J854" i="2"/>
  <c r="Q853" i="2"/>
  <c r="P853" i="2"/>
  <c r="R853" i="2" s="1"/>
  <c r="L853" i="2"/>
  <c r="J853" i="2"/>
  <c r="R852" i="2"/>
  <c r="Q852" i="2"/>
  <c r="P852" i="2"/>
  <c r="L852" i="2"/>
  <c r="J852" i="2"/>
  <c r="Q851" i="2"/>
  <c r="P851" i="2"/>
  <c r="R851" i="2" s="1"/>
  <c r="L851" i="2"/>
  <c r="J851" i="2"/>
  <c r="N851" i="2" s="1"/>
  <c r="Q850" i="2"/>
  <c r="P850" i="2"/>
  <c r="R850" i="2" s="1"/>
  <c r="N850" i="2"/>
  <c r="L850" i="2"/>
  <c r="J850" i="2"/>
  <c r="Q849" i="2"/>
  <c r="P849" i="2"/>
  <c r="R849" i="2" s="1"/>
  <c r="L849" i="2"/>
  <c r="J849" i="2"/>
  <c r="N849" i="2" s="1"/>
  <c r="Q848" i="2"/>
  <c r="P848" i="2"/>
  <c r="R848" i="2" s="1"/>
  <c r="N848" i="2"/>
  <c r="L848" i="2"/>
  <c r="J848" i="2"/>
  <c r="Q847" i="2"/>
  <c r="P847" i="2"/>
  <c r="L847" i="2"/>
  <c r="J847" i="2"/>
  <c r="N847" i="2" s="1"/>
  <c r="Q846" i="2"/>
  <c r="P846" i="2"/>
  <c r="R846" i="2" s="1"/>
  <c r="L846" i="2"/>
  <c r="J846" i="2"/>
  <c r="R845" i="2"/>
  <c r="Q845" i="2"/>
  <c r="P845" i="2"/>
  <c r="L845" i="2"/>
  <c r="J845" i="2"/>
  <c r="N845" i="2" s="1"/>
  <c r="Q844" i="2"/>
  <c r="P844" i="2"/>
  <c r="L844" i="2"/>
  <c r="J844" i="2"/>
  <c r="N844" i="2" s="1"/>
  <c r="Q843" i="2"/>
  <c r="P843" i="2"/>
  <c r="L843" i="2"/>
  <c r="J843" i="2"/>
  <c r="Q842" i="2"/>
  <c r="P842" i="2"/>
  <c r="L842" i="2"/>
  <c r="J842" i="2"/>
  <c r="N842" i="2" s="1"/>
  <c r="Q841" i="2"/>
  <c r="P841" i="2"/>
  <c r="R841" i="2" s="1"/>
  <c r="L841" i="2"/>
  <c r="J841" i="2"/>
  <c r="Q840" i="2"/>
  <c r="P840" i="2"/>
  <c r="L840" i="2"/>
  <c r="J840" i="2"/>
  <c r="N840" i="2" s="1"/>
  <c r="Q839" i="2"/>
  <c r="P839" i="2"/>
  <c r="R839" i="2" s="1"/>
  <c r="L839" i="2"/>
  <c r="J839" i="2"/>
  <c r="N839" i="2" s="1"/>
  <c r="Q838" i="2"/>
  <c r="P838" i="2"/>
  <c r="L838" i="2"/>
  <c r="J838" i="2"/>
  <c r="Q837" i="2"/>
  <c r="P837" i="2"/>
  <c r="L837" i="2"/>
  <c r="J837" i="2"/>
  <c r="N837" i="2" s="1"/>
  <c r="Q836" i="2"/>
  <c r="P836" i="2"/>
  <c r="L836" i="2"/>
  <c r="J836" i="2"/>
  <c r="Q835" i="2"/>
  <c r="P835" i="2"/>
  <c r="R835" i="2" s="1"/>
  <c r="L835" i="2"/>
  <c r="J835" i="2"/>
  <c r="N835" i="2" s="1"/>
  <c r="Q834" i="2"/>
  <c r="P834" i="2"/>
  <c r="R834" i="2" s="1"/>
  <c r="L834" i="2"/>
  <c r="J834" i="2"/>
  <c r="Q833" i="2"/>
  <c r="P833" i="2"/>
  <c r="R833" i="2" s="1"/>
  <c r="L833" i="2"/>
  <c r="J833" i="2"/>
  <c r="Q832" i="2"/>
  <c r="P832" i="2"/>
  <c r="R832" i="2" s="1"/>
  <c r="L832" i="2"/>
  <c r="N832" i="2" s="1"/>
  <c r="J832" i="2"/>
  <c r="Q831" i="2"/>
  <c r="P831" i="2"/>
  <c r="R831" i="2" s="1"/>
  <c r="L831" i="2"/>
  <c r="J831" i="2"/>
  <c r="Q830" i="2"/>
  <c r="P830" i="2"/>
  <c r="R830" i="2" s="1"/>
  <c r="L830" i="2"/>
  <c r="N830" i="2" s="1"/>
  <c r="J830" i="2"/>
  <c r="Q829" i="2"/>
  <c r="P829" i="2"/>
  <c r="R829" i="2" s="1"/>
  <c r="L829" i="2"/>
  <c r="J829" i="2"/>
  <c r="N829" i="2" s="1"/>
  <c r="Q828" i="2"/>
  <c r="P828" i="2"/>
  <c r="L828" i="2"/>
  <c r="N828" i="2" s="1"/>
  <c r="J828" i="2"/>
  <c r="Q827" i="2"/>
  <c r="P827" i="2"/>
  <c r="L827" i="2"/>
  <c r="J827" i="2"/>
  <c r="N827" i="2" s="1"/>
  <c r="Q826" i="2"/>
  <c r="P826" i="2"/>
  <c r="R826" i="2" s="1"/>
  <c r="L826" i="2"/>
  <c r="J826" i="2"/>
  <c r="N826" i="2" s="1"/>
  <c r="Q825" i="2"/>
  <c r="P825" i="2"/>
  <c r="L825" i="2"/>
  <c r="J825" i="2"/>
  <c r="N825" i="2" s="1"/>
  <c r="Q824" i="2"/>
  <c r="P824" i="2"/>
  <c r="L824" i="2"/>
  <c r="J824" i="2"/>
  <c r="N824" i="2" s="1"/>
  <c r="Q823" i="2"/>
  <c r="P823" i="2"/>
  <c r="R823" i="2" s="1"/>
  <c r="L823" i="2"/>
  <c r="N823" i="2" s="1"/>
  <c r="J823" i="2"/>
  <c r="Q822" i="2"/>
  <c r="P822" i="2"/>
  <c r="R822" i="2" s="1"/>
  <c r="L822" i="2"/>
  <c r="J822" i="2"/>
  <c r="Q821" i="2"/>
  <c r="P821" i="2"/>
  <c r="L821" i="2"/>
  <c r="J821" i="2"/>
  <c r="Q820" i="2"/>
  <c r="P820" i="2"/>
  <c r="R820" i="2" s="1"/>
  <c r="L820" i="2"/>
  <c r="J820" i="2"/>
  <c r="N820" i="2" s="1"/>
  <c r="Q819" i="2"/>
  <c r="P819" i="2"/>
  <c r="R819" i="2" s="1"/>
  <c r="L819" i="2"/>
  <c r="J819" i="2"/>
  <c r="Q818" i="2"/>
  <c r="P818" i="2"/>
  <c r="L818" i="2"/>
  <c r="J818" i="2"/>
  <c r="N818" i="2" s="1"/>
  <c r="Q817" i="2"/>
  <c r="P817" i="2"/>
  <c r="L817" i="2"/>
  <c r="J817" i="2"/>
  <c r="N817" i="2" s="1"/>
  <c r="R816" i="2"/>
  <c r="Q816" i="2"/>
  <c r="P816" i="2"/>
  <c r="L816" i="2"/>
  <c r="J816" i="2"/>
  <c r="N816" i="2" s="1"/>
  <c r="Q815" i="2"/>
  <c r="P815" i="2"/>
  <c r="L815" i="2"/>
  <c r="J815" i="2"/>
  <c r="Q814" i="2"/>
  <c r="P814" i="2"/>
  <c r="R814" i="2" s="1"/>
  <c r="L814" i="2"/>
  <c r="N814" i="2" s="1"/>
  <c r="J814" i="2"/>
  <c r="Q813" i="2"/>
  <c r="P813" i="2"/>
  <c r="R813" i="2" s="1"/>
  <c r="N813" i="2"/>
  <c r="L813" i="2"/>
  <c r="J813" i="2"/>
  <c r="Q812" i="2"/>
  <c r="P812" i="2"/>
  <c r="N812" i="2"/>
  <c r="L812" i="2"/>
  <c r="J812" i="2"/>
  <c r="Q811" i="2"/>
  <c r="P811" i="2"/>
  <c r="L811" i="2"/>
  <c r="J811" i="2"/>
  <c r="Q810" i="2"/>
  <c r="R810" i="2" s="1"/>
  <c r="P810" i="2"/>
  <c r="L810" i="2"/>
  <c r="N810" i="2" s="1"/>
  <c r="J810" i="2"/>
  <c r="Q809" i="2"/>
  <c r="P809" i="2"/>
  <c r="R809" i="2" s="1"/>
  <c r="L809" i="2"/>
  <c r="J809" i="2"/>
  <c r="N809" i="2" s="1"/>
  <c r="R808" i="2"/>
  <c r="Q808" i="2"/>
  <c r="P808" i="2"/>
  <c r="L808" i="2"/>
  <c r="N808" i="2" s="1"/>
  <c r="J808" i="2"/>
  <c r="Q807" i="2"/>
  <c r="P807" i="2"/>
  <c r="L807" i="2"/>
  <c r="J807" i="2"/>
  <c r="N807" i="2" s="1"/>
  <c r="R806" i="2"/>
  <c r="Q806" i="2"/>
  <c r="P806" i="2"/>
  <c r="L806" i="2"/>
  <c r="J806" i="2"/>
  <c r="N806" i="2" s="1"/>
  <c r="Q805" i="2"/>
  <c r="P805" i="2"/>
  <c r="L805" i="2"/>
  <c r="J805" i="2"/>
  <c r="Q804" i="2"/>
  <c r="P804" i="2"/>
  <c r="L804" i="2"/>
  <c r="J804" i="2"/>
  <c r="Q803" i="2"/>
  <c r="P803" i="2"/>
  <c r="R803" i="2" s="1"/>
  <c r="L803" i="2"/>
  <c r="J803" i="2"/>
  <c r="N803" i="2" s="1"/>
  <c r="Q802" i="2"/>
  <c r="P802" i="2"/>
  <c r="R802" i="2" s="1"/>
  <c r="L802" i="2"/>
  <c r="J802" i="2"/>
  <c r="R801" i="2"/>
  <c r="Q801" i="2"/>
  <c r="P801" i="2"/>
  <c r="L801" i="2"/>
  <c r="J801" i="2"/>
  <c r="Q800" i="2"/>
  <c r="P800" i="2"/>
  <c r="R800" i="2" s="1"/>
  <c r="L800" i="2"/>
  <c r="J800" i="2"/>
  <c r="N800" i="2" s="1"/>
  <c r="Q799" i="2"/>
  <c r="P799" i="2"/>
  <c r="L799" i="2"/>
  <c r="N799" i="2" s="1"/>
  <c r="J799" i="2"/>
  <c r="Q798" i="2"/>
  <c r="P798" i="2"/>
  <c r="R798" i="2" s="1"/>
  <c r="L798" i="2"/>
  <c r="J798" i="2"/>
  <c r="Q797" i="2"/>
  <c r="P797" i="2"/>
  <c r="N797" i="2"/>
  <c r="L797" i="2"/>
  <c r="J797" i="2"/>
  <c r="Q796" i="2"/>
  <c r="P796" i="2"/>
  <c r="L796" i="2"/>
  <c r="J796" i="2"/>
  <c r="N796" i="2" s="1"/>
  <c r="Q795" i="2"/>
  <c r="P795" i="2"/>
  <c r="L795" i="2"/>
  <c r="J795" i="2"/>
  <c r="Q794" i="2"/>
  <c r="P794" i="2"/>
  <c r="L794" i="2"/>
  <c r="J794" i="2"/>
  <c r="N794" i="2" s="1"/>
  <c r="Q793" i="2"/>
  <c r="P793" i="2"/>
  <c r="L793" i="2"/>
  <c r="N793" i="2" s="1"/>
  <c r="J793" i="2"/>
  <c r="Q792" i="2"/>
  <c r="P792" i="2"/>
  <c r="L792" i="2"/>
  <c r="J792" i="2"/>
  <c r="N792" i="2" s="1"/>
  <c r="Q791" i="2"/>
  <c r="P791" i="2"/>
  <c r="R791" i="2" s="1"/>
  <c r="L791" i="2"/>
  <c r="J791" i="2"/>
  <c r="R790" i="2"/>
  <c r="Q790" i="2"/>
  <c r="P790" i="2"/>
  <c r="L790" i="2"/>
  <c r="J790" i="2"/>
  <c r="Q789" i="2"/>
  <c r="P789" i="2"/>
  <c r="R789" i="2" s="1"/>
  <c r="L789" i="2"/>
  <c r="J789" i="2"/>
  <c r="Q788" i="2"/>
  <c r="R788" i="2" s="1"/>
  <c r="P788" i="2"/>
  <c r="L788" i="2"/>
  <c r="J788" i="2"/>
  <c r="N788" i="2" s="1"/>
  <c r="Q787" i="2"/>
  <c r="P787" i="2"/>
  <c r="R787" i="2" s="1"/>
  <c r="L787" i="2"/>
  <c r="N787" i="2" s="1"/>
  <c r="J787" i="2"/>
  <c r="Q786" i="2"/>
  <c r="P786" i="2"/>
  <c r="L786" i="2"/>
  <c r="J786" i="2"/>
  <c r="Q785" i="2"/>
  <c r="P785" i="2"/>
  <c r="L785" i="2"/>
  <c r="J785" i="2"/>
  <c r="N785" i="2" s="1"/>
  <c r="Q784" i="2"/>
  <c r="P784" i="2"/>
  <c r="N784" i="2"/>
  <c r="L784" i="2"/>
  <c r="J784" i="2"/>
  <c r="Q783" i="2"/>
  <c r="P783" i="2"/>
  <c r="R783" i="2" s="1"/>
  <c r="L783" i="2"/>
  <c r="J783" i="2"/>
  <c r="N783" i="2" s="1"/>
  <c r="Q782" i="2"/>
  <c r="P782" i="2"/>
  <c r="L782" i="2"/>
  <c r="J782" i="2"/>
  <c r="Q781" i="2"/>
  <c r="P781" i="2"/>
  <c r="L781" i="2"/>
  <c r="J781" i="2"/>
  <c r="N781" i="2" s="1"/>
  <c r="Q780" i="2"/>
  <c r="R780" i="2" s="1"/>
  <c r="P780" i="2"/>
  <c r="L780" i="2"/>
  <c r="J780" i="2"/>
  <c r="N780" i="2" s="1"/>
  <c r="Q779" i="2"/>
  <c r="P779" i="2"/>
  <c r="L779" i="2"/>
  <c r="J779" i="2"/>
  <c r="N779" i="2" s="1"/>
  <c r="Q778" i="2"/>
  <c r="P778" i="2"/>
  <c r="R778" i="2" s="1"/>
  <c r="N778" i="2"/>
  <c r="L778" i="2"/>
  <c r="J778" i="2"/>
  <c r="Q777" i="2"/>
  <c r="P777" i="2"/>
  <c r="R777" i="2" s="1"/>
  <c r="L777" i="2"/>
  <c r="J777" i="2"/>
  <c r="N777" i="2" s="1"/>
  <c r="Q776" i="2"/>
  <c r="P776" i="2"/>
  <c r="L776" i="2"/>
  <c r="J776" i="2"/>
  <c r="Q775" i="2"/>
  <c r="P775" i="2"/>
  <c r="L775" i="2"/>
  <c r="J775" i="2"/>
  <c r="N775" i="2" s="1"/>
  <c r="Q774" i="2"/>
  <c r="P774" i="2"/>
  <c r="R774" i="2" s="1"/>
  <c r="L774" i="2"/>
  <c r="J774" i="2"/>
  <c r="N774" i="2" s="1"/>
  <c r="Q773" i="2"/>
  <c r="P773" i="2"/>
  <c r="L773" i="2"/>
  <c r="J773" i="2"/>
  <c r="N773" i="2" s="1"/>
  <c r="Q772" i="2"/>
  <c r="P772" i="2"/>
  <c r="L772" i="2"/>
  <c r="J772" i="2"/>
  <c r="N772" i="2" s="1"/>
  <c r="Q771" i="2"/>
  <c r="P771" i="2"/>
  <c r="L771" i="2"/>
  <c r="J771" i="2"/>
  <c r="Q770" i="2"/>
  <c r="P770" i="2"/>
  <c r="R770" i="2" s="1"/>
  <c r="L770" i="2"/>
  <c r="J770" i="2"/>
  <c r="Q769" i="2"/>
  <c r="P769" i="2"/>
  <c r="R769" i="2" s="1"/>
  <c r="L769" i="2"/>
  <c r="J769" i="2"/>
  <c r="N769" i="2" s="1"/>
  <c r="Q768" i="2"/>
  <c r="P768" i="2"/>
  <c r="L768" i="2"/>
  <c r="J768" i="2"/>
  <c r="N768" i="2" s="1"/>
  <c r="Q767" i="2"/>
  <c r="P767" i="2"/>
  <c r="L767" i="2"/>
  <c r="J767" i="2"/>
  <c r="N767" i="2" s="1"/>
  <c r="Q766" i="2"/>
  <c r="R766" i="2" s="1"/>
  <c r="P766" i="2"/>
  <c r="L766" i="2"/>
  <c r="J766" i="2"/>
  <c r="N766" i="2" s="1"/>
  <c r="Q765" i="2"/>
  <c r="P765" i="2"/>
  <c r="R765" i="2" s="1"/>
  <c r="L765" i="2"/>
  <c r="J765" i="2"/>
  <c r="Q764" i="2"/>
  <c r="P764" i="2"/>
  <c r="R764" i="2" s="1"/>
  <c r="L764" i="2"/>
  <c r="N764" i="2" s="1"/>
  <c r="J764" i="2"/>
  <c r="Q763" i="2"/>
  <c r="P763" i="2"/>
  <c r="L763" i="2"/>
  <c r="N763" i="2" s="1"/>
  <c r="J763" i="2"/>
  <c r="Q762" i="2"/>
  <c r="P762" i="2"/>
  <c r="N762" i="2"/>
  <c r="L762" i="2"/>
  <c r="J762" i="2"/>
  <c r="Q761" i="2"/>
  <c r="R761" i="2" s="1"/>
  <c r="P761" i="2"/>
  <c r="L761" i="2"/>
  <c r="J761" i="2"/>
  <c r="N761" i="2" s="1"/>
  <c r="R760" i="2"/>
  <c r="Q760" i="2"/>
  <c r="P760" i="2"/>
  <c r="N760" i="2"/>
  <c r="L760" i="2"/>
  <c r="J760" i="2"/>
  <c r="Q759" i="2"/>
  <c r="P759" i="2"/>
  <c r="R759" i="2" s="1"/>
  <c r="L759" i="2"/>
  <c r="J759" i="2"/>
  <c r="Q758" i="2"/>
  <c r="R758" i="2" s="1"/>
  <c r="P758" i="2"/>
  <c r="L758" i="2"/>
  <c r="N758" i="2" s="1"/>
  <c r="J758" i="2"/>
  <c r="Q757" i="2"/>
  <c r="P757" i="2"/>
  <c r="L757" i="2"/>
  <c r="J757" i="2"/>
  <c r="R756" i="2"/>
  <c r="Q756" i="2"/>
  <c r="P756" i="2"/>
  <c r="L756" i="2"/>
  <c r="J756" i="2"/>
  <c r="Q755" i="2"/>
  <c r="P755" i="2"/>
  <c r="R755" i="2" s="1"/>
  <c r="L755" i="2"/>
  <c r="N755" i="2" s="1"/>
  <c r="J755" i="2"/>
  <c r="Q754" i="2"/>
  <c r="P754" i="2"/>
  <c r="L754" i="2"/>
  <c r="J754" i="2"/>
  <c r="Q753" i="2"/>
  <c r="P753" i="2"/>
  <c r="R753" i="2" s="1"/>
  <c r="N753" i="2"/>
  <c r="L753" i="2"/>
  <c r="J753" i="2"/>
  <c r="Q752" i="2"/>
  <c r="P752" i="2"/>
  <c r="L752" i="2"/>
  <c r="J752" i="2"/>
  <c r="Q751" i="2"/>
  <c r="P751" i="2"/>
  <c r="R751" i="2" s="1"/>
  <c r="L751" i="2"/>
  <c r="J751" i="2"/>
  <c r="Q750" i="2"/>
  <c r="P750" i="2"/>
  <c r="R750" i="2" s="1"/>
  <c r="L750" i="2"/>
  <c r="J750" i="2"/>
  <c r="Q749" i="2"/>
  <c r="P749" i="2"/>
  <c r="L749" i="2"/>
  <c r="J749" i="2"/>
  <c r="N749" i="2" s="1"/>
  <c r="Q748" i="2"/>
  <c r="P748" i="2"/>
  <c r="L748" i="2"/>
  <c r="N748" i="2" s="1"/>
  <c r="J748" i="2"/>
  <c r="Q747" i="2"/>
  <c r="P747" i="2"/>
  <c r="L747" i="2"/>
  <c r="J747" i="2"/>
  <c r="N747" i="2" s="1"/>
  <c r="Q746" i="2"/>
  <c r="P746" i="2"/>
  <c r="L746" i="2"/>
  <c r="J746" i="2"/>
  <c r="R745" i="2"/>
  <c r="Q745" i="2"/>
  <c r="P745" i="2"/>
  <c r="L745" i="2"/>
  <c r="J745" i="2"/>
  <c r="N745" i="2" s="1"/>
  <c r="Q744" i="2"/>
  <c r="P744" i="2"/>
  <c r="R744" i="2" s="1"/>
  <c r="L744" i="2"/>
  <c r="J744" i="2"/>
  <c r="Q743" i="2"/>
  <c r="R743" i="2" s="1"/>
  <c r="P743" i="2"/>
  <c r="L743" i="2"/>
  <c r="J743" i="2"/>
  <c r="N743" i="2" s="1"/>
  <c r="Q742" i="2"/>
  <c r="P742" i="2"/>
  <c r="L742" i="2"/>
  <c r="J742" i="2"/>
  <c r="N742" i="2" s="1"/>
  <c r="R741" i="2"/>
  <c r="Q741" i="2"/>
  <c r="P741" i="2"/>
  <c r="L741" i="2"/>
  <c r="J741" i="2"/>
  <c r="N741" i="2" s="1"/>
  <c r="Q740" i="2"/>
  <c r="P740" i="2"/>
  <c r="R740" i="2" s="1"/>
  <c r="L740" i="2"/>
  <c r="J740" i="2"/>
  <c r="Q739" i="2"/>
  <c r="P739" i="2"/>
  <c r="L739" i="2"/>
  <c r="J739" i="2"/>
  <c r="Q738" i="2"/>
  <c r="P738" i="2"/>
  <c r="R738" i="2" s="1"/>
  <c r="L738" i="2"/>
  <c r="J738" i="2"/>
  <c r="Q737" i="2"/>
  <c r="P737" i="2"/>
  <c r="R737" i="2" s="1"/>
  <c r="N737" i="2"/>
  <c r="L737" i="2"/>
  <c r="J737" i="2"/>
  <c r="Q736" i="2"/>
  <c r="P736" i="2"/>
  <c r="L736" i="2"/>
  <c r="J736" i="2"/>
  <c r="N736" i="2" s="1"/>
  <c r="Q735" i="2"/>
  <c r="P735" i="2"/>
  <c r="L735" i="2"/>
  <c r="J735" i="2"/>
  <c r="N735" i="2" s="1"/>
  <c r="Q734" i="2"/>
  <c r="P734" i="2"/>
  <c r="L734" i="2"/>
  <c r="J734" i="2"/>
  <c r="N734" i="2" s="1"/>
  <c r="Q733" i="2"/>
  <c r="P733" i="2"/>
  <c r="L733" i="2"/>
  <c r="J733" i="2"/>
  <c r="N733" i="2" s="1"/>
  <c r="Q732" i="2"/>
  <c r="P732" i="2"/>
  <c r="L732" i="2"/>
  <c r="J732" i="2"/>
  <c r="N732" i="2" s="1"/>
  <c r="Q731" i="2"/>
  <c r="R731" i="2" s="1"/>
  <c r="P731" i="2"/>
  <c r="L731" i="2"/>
  <c r="J731" i="2"/>
  <c r="Q730" i="2"/>
  <c r="R730" i="2" s="1"/>
  <c r="P730" i="2"/>
  <c r="L730" i="2"/>
  <c r="J730" i="2"/>
  <c r="N730" i="2" s="1"/>
  <c r="Q729" i="2"/>
  <c r="P729" i="2"/>
  <c r="R729" i="2" s="1"/>
  <c r="N729" i="2"/>
  <c r="L729" i="2"/>
  <c r="J729" i="2"/>
  <c r="Q728" i="2"/>
  <c r="R728" i="2" s="1"/>
  <c r="P728" i="2"/>
  <c r="L728" i="2"/>
  <c r="J728" i="2"/>
  <c r="N728" i="2" s="1"/>
  <c r="Q727" i="2"/>
  <c r="P727" i="2"/>
  <c r="N727" i="2"/>
  <c r="L727" i="2"/>
  <c r="J727" i="2"/>
  <c r="Q726" i="2"/>
  <c r="R726" i="2" s="1"/>
  <c r="P726" i="2"/>
  <c r="L726" i="2"/>
  <c r="J726" i="2"/>
  <c r="N726" i="2" s="1"/>
  <c r="Q725" i="2"/>
  <c r="P725" i="2"/>
  <c r="R725" i="2" s="1"/>
  <c r="N725" i="2"/>
  <c r="L725" i="2"/>
  <c r="J725" i="2"/>
  <c r="Q724" i="2"/>
  <c r="P724" i="2"/>
  <c r="R724" i="2" s="1"/>
  <c r="L724" i="2"/>
  <c r="J724" i="2"/>
  <c r="Q723" i="2"/>
  <c r="R723" i="2" s="1"/>
  <c r="P723" i="2"/>
  <c r="N723" i="2"/>
  <c r="L723" i="2"/>
  <c r="J723" i="2"/>
  <c r="Q722" i="2"/>
  <c r="P722" i="2"/>
  <c r="L722" i="2"/>
  <c r="J722" i="2"/>
  <c r="Q721" i="2"/>
  <c r="P721" i="2"/>
  <c r="R721" i="2" s="1"/>
  <c r="L721" i="2"/>
  <c r="J721" i="2"/>
  <c r="N721" i="2" s="1"/>
  <c r="Q720" i="2"/>
  <c r="P720" i="2"/>
  <c r="L720" i="2"/>
  <c r="J720" i="2"/>
  <c r="Q719" i="2"/>
  <c r="P719" i="2"/>
  <c r="L719" i="2"/>
  <c r="J719" i="2"/>
  <c r="Q718" i="2"/>
  <c r="P718" i="2"/>
  <c r="R718" i="2" s="1"/>
  <c r="N718" i="2"/>
  <c r="L718" i="2"/>
  <c r="J718" i="2"/>
  <c r="Q717" i="2"/>
  <c r="P717" i="2"/>
  <c r="L717" i="2"/>
  <c r="J717" i="2"/>
  <c r="N717" i="2" s="1"/>
  <c r="Q716" i="2"/>
  <c r="P716" i="2"/>
  <c r="L716" i="2"/>
  <c r="J716" i="2"/>
  <c r="R715" i="2"/>
  <c r="Q715" i="2"/>
  <c r="P715" i="2"/>
  <c r="L715" i="2"/>
  <c r="J715" i="2"/>
  <c r="Q714" i="2"/>
  <c r="P714" i="2"/>
  <c r="R714" i="2" s="1"/>
  <c r="L714" i="2"/>
  <c r="N714" i="2" s="1"/>
  <c r="J714" i="2"/>
  <c r="Q713" i="2"/>
  <c r="P713" i="2"/>
  <c r="N713" i="2"/>
  <c r="L713" i="2"/>
  <c r="J713" i="2"/>
  <c r="Q712" i="2"/>
  <c r="P712" i="2"/>
  <c r="R712" i="2" s="1"/>
  <c r="L712" i="2"/>
  <c r="N712" i="2" s="1"/>
  <c r="J712" i="2"/>
  <c r="Q711" i="2"/>
  <c r="R711" i="2" s="1"/>
  <c r="P711" i="2"/>
  <c r="L711" i="2"/>
  <c r="J711" i="2"/>
  <c r="Q710" i="2"/>
  <c r="P710" i="2"/>
  <c r="R710" i="2" s="1"/>
  <c r="L710" i="2"/>
  <c r="J710" i="2"/>
  <c r="N710" i="2" s="1"/>
  <c r="Q709" i="2"/>
  <c r="P709" i="2"/>
  <c r="N709" i="2"/>
  <c r="L709" i="2"/>
  <c r="J709" i="2"/>
  <c r="Q708" i="2"/>
  <c r="P708" i="2"/>
  <c r="L708" i="2"/>
  <c r="J708" i="2"/>
  <c r="N708" i="2" s="1"/>
  <c r="Q707" i="2"/>
  <c r="P707" i="2"/>
  <c r="L707" i="2"/>
  <c r="J707" i="2"/>
  <c r="R706" i="2"/>
  <c r="Q706" i="2"/>
  <c r="P706" i="2"/>
  <c r="L706" i="2"/>
  <c r="J706" i="2"/>
  <c r="N706" i="2" s="1"/>
  <c r="Q705" i="2"/>
  <c r="P705" i="2"/>
  <c r="R705" i="2" s="1"/>
  <c r="L705" i="2"/>
  <c r="J705" i="2"/>
  <c r="Q704" i="2"/>
  <c r="P704" i="2"/>
  <c r="L704" i="2"/>
  <c r="J704" i="2"/>
  <c r="N704" i="2" s="1"/>
  <c r="Q703" i="2"/>
  <c r="P703" i="2"/>
  <c r="L703" i="2"/>
  <c r="N703" i="2" s="1"/>
  <c r="J703" i="2"/>
  <c r="Q702" i="2"/>
  <c r="P702" i="2"/>
  <c r="L702" i="2"/>
  <c r="J702" i="2"/>
  <c r="N702" i="2" s="1"/>
  <c r="Q701" i="2"/>
  <c r="P701" i="2"/>
  <c r="R701" i="2" s="1"/>
  <c r="L701" i="2"/>
  <c r="J701" i="2"/>
  <c r="N701" i="2" s="1"/>
  <c r="Q700" i="2"/>
  <c r="P700" i="2"/>
  <c r="L700" i="2"/>
  <c r="J700" i="2"/>
  <c r="N700" i="2" s="1"/>
  <c r="Q699" i="2"/>
  <c r="P699" i="2"/>
  <c r="R699" i="2" s="1"/>
  <c r="L699" i="2"/>
  <c r="J699" i="2"/>
  <c r="N699" i="2" s="1"/>
  <c r="Q698" i="2"/>
  <c r="P698" i="2"/>
  <c r="L698" i="2"/>
  <c r="J698" i="2"/>
  <c r="N698" i="2" s="1"/>
  <c r="Q697" i="2"/>
  <c r="P697" i="2"/>
  <c r="L697" i="2"/>
  <c r="J697" i="2"/>
  <c r="N697" i="2" s="1"/>
  <c r="Q696" i="2"/>
  <c r="R696" i="2" s="1"/>
  <c r="P696" i="2"/>
  <c r="L696" i="2"/>
  <c r="J696" i="2"/>
  <c r="Q695" i="2"/>
  <c r="P695" i="2"/>
  <c r="R695" i="2" s="1"/>
  <c r="L695" i="2"/>
  <c r="J695" i="2"/>
  <c r="N695" i="2" s="1"/>
  <c r="Q694" i="2"/>
  <c r="P694" i="2"/>
  <c r="R694" i="2" s="1"/>
  <c r="L694" i="2"/>
  <c r="J694" i="2"/>
  <c r="Q693" i="2"/>
  <c r="P693" i="2"/>
  <c r="R693" i="2" s="1"/>
  <c r="L693" i="2"/>
  <c r="J693" i="2"/>
  <c r="N693" i="2" s="1"/>
  <c r="Q692" i="2"/>
  <c r="P692" i="2"/>
  <c r="R692" i="2" s="1"/>
  <c r="L692" i="2"/>
  <c r="J692" i="2"/>
  <c r="Q691" i="2"/>
  <c r="P691" i="2"/>
  <c r="R691" i="2" s="1"/>
  <c r="L691" i="2"/>
  <c r="J691" i="2"/>
  <c r="Q690" i="2"/>
  <c r="P690" i="2"/>
  <c r="L690" i="2"/>
  <c r="J690" i="2"/>
  <c r="Q689" i="2"/>
  <c r="P689" i="2"/>
  <c r="L689" i="2"/>
  <c r="J689" i="2"/>
  <c r="Q688" i="2"/>
  <c r="P688" i="2"/>
  <c r="L688" i="2"/>
  <c r="J688" i="2"/>
  <c r="Q687" i="2"/>
  <c r="P687" i="2"/>
  <c r="L687" i="2"/>
  <c r="J687" i="2"/>
  <c r="N687" i="2" s="1"/>
  <c r="Q686" i="2"/>
  <c r="P686" i="2"/>
  <c r="L686" i="2"/>
  <c r="J686" i="2"/>
  <c r="N686" i="2" s="1"/>
  <c r="Q685" i="2"/>
  <c r="P685" i="2"/>
  <c r="L685" i="2"/>
  <c r="J685" i="2"/>
  <c r="Q684" i="2"/>
  <c r="P684" i="2"/>
  <c r="R684" i="2" s="1"/>
  <c r="L684" i="2"/>
  <c r="J684" i="2"/>
  <c r="Q683" i="2"/>
  <c r="P683" i="2"/>
  <c r="N683" i="2"/>
  <c r="L683" i="2"/>
  <c r="J683" i="2"/>
  <c r="Q682" i="2"/>
  <c r="P682" i="2"/>
  <c r="L682" i="2"/>
  <c r="J682" i="2"/>
  <c r="N682" i="2" s="1"/>
  <c r="R681" i="2"/>
  <c r="Q681" i="2"/>
  <c r="P681" i="2"/>
  <c r="L681" i="2"/>
  <c r="J681" i="2"/>
  <c r="Q680" i="2"/>
  <c r="P680" i="2"/>
  <c r="R680" i="2" s="1"/>
  <c r="L680" i="2"/>
  <c r="J680" i="2"/>
  <c r="N680" i="2" s="1"/>
  <c r="Q679" i="2"/>
  <c r="P679" i="2"/>
  <c r="L679" i="2"/>
  <c r="J679" i="2"/>
  <c r="N679" i="2" s="1"/>
  <c r="R678" i="2"/>
  <c r="Q678" i="2"/>
  <c r="P678" i="2"/>
  <c r="L678" i="2"/>
  <c r="J678" i="2"/>
  <c r="N678" i="2" s="1"/>
  <c r="Q677" i="2"/>
  <c r="P677" i="2"/>
  <c r="L677" i="2"/>
  <c r="N677" i="2" s="1"/>
  <c r="J677" i="2"/>
  <c r="Q676" i="2"/>
  <c r="R676" i="2" s="1"/>
  <c r="P676" i="2"/>
  <c r="L676" i="2"/>
  <c r="J676" i="2"/>
  <c r="N676" i="2" s="1"/>
  <c r="Q675" i="2"/>
  <c r="P675" i="2"/>
  <c r="R675" i="2" s="1"/>
  <c r="N675" i="2"/>
  <c r="L675" i="2"/>
  <c r="J675" i="2"/>
  <c r="Q674" i="2"/>
  <c r="P674" i="2"/>
  <c r="L674" i="2"/>
  <c r="J674" i="2"/>
  <c r="N674" i="2" s="1"/>
  <c r="Q673" i="2"/>
  <c r="P673" i="2"/>
  <c r="R673" i="2" s="1"/>
  <c r="L673" i="2"/>
  <c r="N673" i="2" s="1"/>
  <c r="J673" i="2"/>
  <c r="Q672" i="2"/>
  <c r="P672" i="2"/>
  <c r="L672" i="2"/>
  <c r="J672" i="2"/>
  <c r="Q671" i="2"/>
  <c r="P671" i="2"/>
  <c r="L671" i="2"/>
  <c r="J671" i="2"/>
  <c r="N671" i="2" s="1"/>
  <c r="Q670" i="2"/>
  <c r="P670" i="2"/>
  <c r="L670" i="2"/>
  <c r="N670" i="2" s="1"/>
  <c r="J670" i="2"/>
  <c r="Q669" i="2"/>
  <c r="P669" i="2"/>
  <c r="R669" i="2" s="1"/>
  <c r="L669" i="2"/>
  <c r="J669" i="2"/>
  <c r="N669" i="2" s="1"/>
  <c r="Q668" i="2"/>
  <c r="P668" i="2"/>
  <c r="R668" i="2" s="1"/>
  <c r="N668" i="2"/>
  <c r="L668" i="2"/>
  <c r="J668" i="2"/>
  <c r="Q667" i="2"/>
  <c r="P667" i="2"/>
  <c r="L667" i="2"/>
  <c r="J667" i="2"/>
  <c r="N667" i="2" s="1"/>
  <c r="Q666" i="2"/>
  <c r="P666" i="2"/>
  <c r="R666" i="2" s="1"/>
  <c r="L666" i="2"/>
  <c r="J666" i="2"/>
  <c r="R665" i="2"/>
  <c r="Q665" i="2"/>
  <c r="P665" i="2"/>
  <c r="L665" i="2"/>
  <c r="J665" i="2"/>
  <c r="N665" i="2" s="1"/>
  <c r="Q664" i="2"/>
  <c r="P664" i="2"/>
  <c r="R664" i="2" s="1"/>
  <c r="N664" i="2"/>
  <c r="L664" i="2"/>
  <c r="J664" i="2"/>
  <c r="Q663" i="2"/>
  <c r="P663" i="2"/>
  <c r="L663" i="2"/>
  <c r="J663" i="2"/>
  <c r="N663" i="2" s="1"/>
  <c r="Q662" i="2"/>
  <c r="P662" i="2"/>
  <c r="R662" i="2" s="1"/>
  <c r="N662" i="2"/>
  <c r="L662" i="2"/>
  <c r="J662" i="2"/>
  <c r="Q661" i="2"/>
  <c r="P661" i="2"/>
  <c r="L661" i="2"/>
  <c r="J661" i="2"/>
  <c r="N661" i="2" s="1"/>
  <c r="Q660" i="2"/>
  <c r="P660" i="2"/>
  <c r="R660" i="2" s="1"/>
  <c r="L660" i="2"/>
  <c r="J660" i="2"/>
  <c r="Q659" i="2"/>
  <c r="P659" i="2"/>
  <c r="L659" i="2"/>
  <c r="J659" i="2"/>
  <c r="N659" i="2" s="1"/>
  <c r="Q658" i="2"/>
  <c r="P658" i="2"/>
  <c r="R658" i="2" s="1"/>
  <c r="N658" i="2"/>
  <c r="L658" i="2"/>
  <c r="J658" i="2"/>
  <c r="Q657" i="2"/>
  <c r="P657" i="2"/>
  <c r="L657" i="2"/>
  <c r="N657" i="2" s="1"/>
  <c r="J657" i="2"/>
  <c r="Q656" i="2"/>
  <c r="P656" i="2"/>
  <c r="L656" i="2"/>
  <c r="J656" i="2"/>
  <c r="Q655" i="2"/>
  <c r="P655" i="2"/>
  <c r="L655" i="2"/>
  <c r="J655" i="2"/>
  <c r="N655" i="2" s="1"/>
  <c r="Q654" i="2"/>
  <c r="P654" i="2"/>
  <c r="R654" i="2" s="1"/>
  <c r="L654" i="2"/>
  <c r="J654" i="2"/>
  <c r="N654" i="2" s="1"/>
  <c r="Q653" i="2"/>
  <c r="P653" i="2"/>
  <c r="R653" i="2" s="1"/>
  <c r="L653" i="2"/>
  <c r="J653" i="2"/>
  <c r="N653" i="2" s="1"/>
  <c r="Q652" i="2"/>
  <c r="P652" i="2"/>
  <c r="R652" i="2" s="1"/>
  <c r="L652" i="2"/>
  <c r="J652" i="2"/>
  <c r="N652" i="2" s="1"/>
  <c r="Q651" i="2"/>
  <c r="R651" i="2" s="1"/>
  <c r="P651" i="2"/>
  <c r="L651" i="2"/>
  <c r="J651" i="2"/>
  <c r="N651" i="2" s="1"/>
  <c r="Q650" i="2"/>
  <c r="P650" i="2"/>
  <c r="L650" i="2"/>
  <c r="J650" i="2"/>
  <c r="Q649" i="2"/>
  <c r="P649" i="2"/>
  <c r="L649" i="2"/>
  <c r="J649" i="2"/>
  <c r="Q648" i="2"/>
  <c r="P648" i="2"/>
  <c r="L648" i="2"/>
  <c r="J648" i="2"/>
  <c r="N648" i="2" s="1"/>
  <c r="Q647" i="2"/>
  <c r="P647" i="2"/>
  <c r="L647" i="2"/>
  <c r="J647" i="2"/>
  <c r="R646" i="2"/>
  <c r="Q646" i="2"/>
  <c r="P646" i="2"/>
  <c r="L646" i="2"/>
  <c r="J646" i="2"/>
  <c r="Q645" i="2"/>
  <c r="P645" i="2"/>
  <c r="R645" i="2" s="1"/>
  <c r="L645" i="2"/>
  <c r="J645" i="2"/>
  <c r="N645" i="2" s="1"/>
  <c r="Q644" i="2"/>
  <c r="P644" i="2"/>
  <c r="L644" i="2"/>
  <c r="J644" i="2"/>
  <c r="N644" i="2" s="1"/>
  <c r="Q643" i="2"/>
  <c r="P643" i="2"/>
  <c r="L643" i="2"/>
  <c r="J643" i="2"/>
  <c r="R642" i="2"/>
  <c r="Q642" i="2"/>
  <c r="P642" i="2"/>
  <c r="L642" i="2"/>
  <c r="J642" i="2"/>
  <c r="N642" i="2" s="1"/>
  <c r="Q641" i="2"/>
  <c r="R641" i="2" s="1"/>
  <c r="P641" i="2"/>
  <c r="L641" i="2"/>
  <c r="J641" i="2"/>
  <c r="N641" i="2" s="1"/>
  <c r="R640" i="2"/>
  <c r="Q640" i="2"/>
  <c r="P640" i="2"/>
  <c r="L640" i="2"/>
  <c r="J640" i="2"/>
  <c r="N640" i="2" s="1"/>
  <c r="Q639" i="2"/>
  <c r="P639" i="2"/>
  <c r="R639" i="2" s="1"/>
  <c r="L639" i="2"/>
  <c r="J639" i="2"/>
  <c r="Q638" i="2"/>
  <c r="P638" i="2"/>
  <c r="N638" i="2"/>
  <c r="L638" i="2"/>
  <c r="J638" i="2"/>
  <c r="Q637" i="2"/>
  <c r="P637" i="2"/>
  <c r="N637" i="2"/>
  <c r="L637" i="2"/>
  <c r="J637" i="2"/>
  <c r="Q636" i="2"/>
  <c r="R636" i="2" s="1"/>
  <c r="P636" i="2"/>
  <c r="L636" i="2"/>
  <c r="J636" i="2"/>
  <c r="Q635" i="2"/>
  <c r="P635" i="2"/>
  <c r="L635" i="2"/>
  <c r="J635" i="2"/>
  <c r="N635" i="2" s="1"/>
  <c r="Q634" i="2"/>
  <c r="P634" i="2"/>
  <c r="L634" i="2"/>
  <c r="J634" i="2"/>
  <c r="R633" i="2"/>
  <c r="Q633" i="2"/>
  <c r="P633" i="2"/>
  <c r="L633" i="2"/>
  <c r="J633" i="2"/>
  <c r="N633" i="2" s="1"/>
  <c r="R632" i="2"/>
  <c r="Q632" i="2"/>
  <c r="P632" i="2"/>
  <c r="L632" i="2"/>
  <c r="N632" i="2" s="1"/>
  <c r="J632" i="2"/>
  <c r="Q631" i="2"/>
  <c r="R631" i="2" s="1"/>
  <c r="P631" i="2"/>
  <c r="L631" i="2"/>
  <c r="J631" i="2"/>
  <c r="N631" i="2" s="1"/>
  <c r="R630" i="2"/>
  <c r="Q630" i="2"/>
  <c r="P630" i="2"/>
  <c r="L630" i="2"/>
  <c r="J630" i="2"/>
  <c r="Q629" i="2"/>
  <c r="P629" i="2"/>
  <c r="L629" i="2"/>
  <c r="N629" i="2" s="1"/>
  <c r="J629" i="2"/>
  <c r="Q628" i="2"/>
  <c r="R628" i="2" s="1"/>
  <c r="P628" i="2"/>
  <c r="L628" i="2"/>
  <c r="J628" i="2"/>
  <c r="N628" i="2" s="1"/>
  <c r="Q627" i="2"/>
  <c r="R627" i="2" s="1"/>
  <c r="P627" i="2"/>
  <c r="L627" i="2"/>
  <c r="J627" i="2"/>
  <c r="N627" i="2" s="1"/>
  <c r="Q626" i="2"/>
  <c r="P626" i="2"/>
  <c r="L626" i="2"/>
  <c r="J626" i="2"/>
  <c r="Q625" i="2"/>
  <c r="R625" i="2" s="1"/>
  <c r="P625" i="2"/>
  <c r="L625" i="2"/>
  <c r="J625" i="2"/>
  <c r="N625" i="2" s="1"/>
  <c r="Q624" i="2"/>
  <c r="P624" i="2"/>
  <c r="L624" i="2"/>
  <c r="J624" i="2"/>
  <c r="R623" i="2"/>
  <c r="Q623" i="2"/>
  <c r="P623" i="2"/>
  <c r="L623" i="2"/>
  <c r="J623" i="2"/>
  <c r="N623" i="2" s="1"/>
  <c r="Q622" i="2"/>
  <c r="P622" i="2"/>
  <c r="L622" i="2"/>
  <c r="J622" i="2"/>
  <c r="R621" i="2"/>
  <c r="Q621" i="2"/>
  <c r="P621" i="2"/>
  <c r="L621" i="2"/>
  <c r="J621" i="2"/>
  <c r="N621" i="2" s="1"/>
  <c r="Q620" i="2"/>
  <c r="P620" i="2"/>
  <c r="R620" i="2" s="1"/>
  <c r="L620" i="2"/>
  <c r="N620" i="2" s="1"/>
  <c r="J620" i="2"/>
  <c r="Q619" i="2"/>
  <c r="P619" i="2"/>
  <c r="L619" i="2"/>
  <c r="J619" i="2"/>
  <c r="Q618" i="2"/>
  <c r="P618" i="2"/>
  <c r="R618" i="2" s="1"/>
  <c r="L618" i="2"/>
  <c r="J618" i="2"/>
  <c r="Q617" i="2"/>
  <c r="P617" i="2"/>
  <c r="L617" i="2"/>
  <c r="J617" i="2"/>
  <c r="Q616" i="2"/>
  <c r="R616" i="2" s="1"/>
  <c r="P616" i="2"/>
  <c r="L616" i="2"/>
  <c r="J616" i="2"/>
  <c r="R615" i="2"/>
  <c r="Q615" i="2"/>
  <c r="P615" i="2"/>
  <c r="L615" i="2"/>
  <c r="J615" i="2"/>
  <c r="N615" i="2" s="1"/>
  <c r="Q614" i="2"/>
  <c r="P614" i="2"/>
  <c r="L614" i="2"/>
  <c r="J614" i="2"/>
  <c r="N614" i="2" s="1"/>
  <c r="Q613" i="2"/>
  <c r="P613" i="2"/>
  <c r="N613" i="2"/>
  <c r="L613" i="2"/>
  <c r="J613" i="2"/>
  <c r="Q612" i="2"/>
  <c r="P612" i="2"/>
  <c r="L612" i="2"/>
  <c r="J612" i="2"/>
  <c r="Q611" i="2"/>
  <c r="P611" i="2"/>
  <c r="N611" i="2"/>
  <c r="L611" i="2"/>
  <c r="J611" i="2"/>
  <c r="Q610" i="2"/>
  <c r="P610" i="2"/>
  <c r="R610" i="2" s="1"/>
  <c r="L610" i="2"/>
  <c r="J610" i="2"/>
  <c r="N610" i="2" s="1"/>
  <c r="Q609" i="2"/>
  <c r="P609" i="2"/>
  <c r="L609" i="2"/>
  <c r="J609" i="2"/>
  <c r="Q608" i="2"/>
  <c r="P608" i="2"/>
  <c r="N608" i="2"/>
  <c r="L608" i="2"/>
  <c r="J608" i="2"/>
  <c r="Q607" i="2"/>
  <c r="P607" i="2"/>
  <c r="R607" i="2" s="1"/>
  <c r="L607" i="2"/>
  <c r="J607" i="2"/>
  <c r="N607" i="2" s="1"/>
  <c r="Q606" i="2"/>
  <c r="R606" i="2" s="1"/>
  <c r="P606" i="2"/>
  <c r="N606" i="2"/>
  <c r="L606" i="2"/>
  <c r="J606" i="2"/>
  <c r="Q605" i="2"/>
  <c r="P605" i="2"/>
  <c r="R605" i="2" s="1"/>
  <c r="L605" i="2"/>
  <c r="J605" i="2"/>
  <c r="N605" i="2" s="1"/>
  <c r="Q604" i="2"/>
  <c r="P604" i="2"/>
  <c r="N604" i="2"/>
  <c r="L604" i="2"/>
  <c r="J604" i="2"/>
  <c r="Q603" i="2"/>
  <c r="P603" i="2"/>
  <c r="R603" i="2" s="1"/>
  <c r="L603" i="2"/>
  <c r="J603" i="2"/>
  <c r="N603" i="2" s="1"/>
  <c r="Q602" i="2"/>
  <c r="P602" i="2"/>
  <c r="R602" i="2" s="1"/>
  <c r="L602" i="2"/>
  <c r="J602" i="2"/>
  <c r="Q601" i="2"/>
  <c r="R601" i="2" s="1"/>
  <c r="P601" i="2"/>
  <c r="L601" i="2"/>
  <c r="N601" i="2" s="1"/>
  <c r="J601" i="2"/>
  <c r="Q600" i="2"/>
  <c r="P600" i="2"/>
  <c r="R600" i="2" s="1"/>
  <c r="L600" i="2"/>
  <c r="J600" i="2"/>
  <c r="N600" i="2" s="1"/>
  <c r="Q599" i="2"/>
  <c r="P599" i="2"/>
  <c r="N599" i="2"/>
  <c r="L599" i="2"/>
  <c r="J599" i="2"/>
  <c r="Q598" i="2"/>
  <c r="P598" i="2"/>
  <c r="R598" i="2" s="1"/>
  <c r="L598" i="2"/>
  <c r="J598" i="2"/>
  <c r="N598" i="2" s="1"/>
  <c r="Q597" i="2"/>
  <c r="R597" i="2" s="1"/>
  <c r="P597" i="2"/>
  <c r="L597" i="2"/>
  <c r="J597" i="2"/>
  <c r="Q596" i="2"/>
  <c r="P596" i="2"/>
  <c r="L596" i="2"/>
  <c r="J596" i="2"/>
  <c r="Q595" i="2"/>
  <c r="P595" i="2"/>
  <c r="L595" i="2"/>
  <c r="J595" i="2"/>
  <c r="Q594" i="2"/>
  <c r="P594" i="2"/>
  <c r="L594" i="2"/>
  <c r="N594" i="2" s="1"/>
  <c r="J594" i="2"/>
  <c r="Q593" i="2"/>
  <c r="P593" i="2"/>
  <c r="R593" i="2" s="1"/>
  <c r="L593" i="2"/>
  <c r="J593" i="2"/>
  <c r="N593" i="2" s="1"/>
  <c r="R592" i="2"/>
  <c r="Q592" i="2"/>
  <c r="P592" i="2"/>
  <c r="N592" i="2"/>
  <c r="L592" i="2"/>
  <c r="J592" i="2"/>
  <c r="Q591" i="2"/>
  <c r="P591" i="2"/>
  <c r="L591" i="2"/>
  <c r="N591" i="2" s="1"/>
  <c r="J591" i="2"/>
  <c r="Q590" i="2"/>
  <c r="P590" i="2"/>
  <c r="L590" i="2"/>
  <c r="J590" i="2"/>
  <c r="Q589" i="2"/>
  <c r="P589" i="2"/>
  <c r="R589" i="2" s="1"/>
  <c r="L589" i="2"/>
  <c r="J589" i="2"/>
  <c r="N589" i="2" s="1"/>
  <c r="Q588" i="2"/>
  <c r="P588" i="2"/>
  <c r="L588" i="2"/>
  <c r="J588" i="2"/>
  <c r="Q587" i="2"/>
  <c r="R587" i="2" s="1"/>
  <c r="P587" i="2"/>
  <c r="L587" i="2"/>
  <c r="J587" i="2"/>
  <c r="N587" i="2" s="1"/>
  <c r="Q586" i="2"/>
  <c r="P586" i="2"/>
  <c r="L586" i="2"/>
  <c r="J586" i="2"/>
  <c r="Q585" i="2"/>
  <c r="R585" i="2" s="1"/>
  <c r="P585" i="2"/>
  <c r="L585" i="2"/>
  <c r="J585" i="2"/>
  <c r="N585" i="2" s="1"/>
  <c r="Q584" i="2"/>
  <c r="P584" i="2"/>
  <c r="R584" i="2" s="1"/>
  <c r="L584" i="2"/>
  <c r="J584" i="2"/>
  <c r="N584" i="2" s="1"/>
  <c r="R583" i="2"/>
  <c r="Q583" i="2"/>
  <c r="P583" i="2"/>
  <c r="L583" i="2"/>
  <c r="J583" i="2"/>
  <c r="Q582" i="2"/>
  <c r="P582" i="2"/>
  <c r="R582" i="2" s="1"/>
  <c r="L582" i="2"/>
  <c r="N582" i="2" s="1"/>
  <c r="J582" i="2"/>
  <c r="Q581" i="2"/>
  <c r="R581" i="2" s="1"/>
  <c r="P581" i="2"/>
  <c r="N581" i="2"/>
  <c r="L581" i="2"/>
  <c r="J581" i="2"/>
  <c r="Q580" i="2"/>
  <c r="P580" i="2"/>
  <c r="R580" i="2" s="1"/>
  <c r="L580" i="2"/>
  <c r="N580" i="2" s="1"/>
  <c r="J580" i="2"/>
  <c r="Q579" i="2"/>
  <c r="P579" i="2"/>
  <c r="L579" i="2"/>
  <c r="J579" i="2"/>
  <c r="Q578" i="2"/>
  <c r="R578" i="2" s="1"/>
  <c r="P578" i="2"/>
  <c r="L578" i="2"/>
  <c r="J578" i="2"/>
  <c r="N578" i="2" s="1"/>
  <c r="Q577" i="2"/>
  <c r="P577" i="2"/>
  <c r="R577" i="2" s="1"/>
  <c r="L577" i="2"/>
  <c r="J577" i="2"/>
  <c r="R576" i="2"/>
  <c r="Q576" i="2"/>
  <c r="P576" i="2"/>
  <c r="L576" i="2"/>
  <c r="J576" i="2"/>
  <c r="N576" i="2" s="1"/>
  <c r="Q575" i="2"/>
  <c r="P575" i="2"/>
  <c r="R575" i="2" s="1"/>
  <c r="N575" i="2"/>
  <c r="L575" i="2"/>
  <c r="J575" i="2"/>
  <c r="Q574" i="2"/>
  <c r="P574" i="2"/>
  <c r="L574" i="2"/>
  <c r="J574" i="2"/>
  <c r="Q573" i="2"/>
  <c r="P573" i="2"/>
  <c r="N573" i="2"/>
  <c r="L573" i="2"/>
  <c r="J573" i="2"/>
  <c r="Q572" i="2"/>
  <c r="P572" i="2"/>
  <c r="L572" i="2"/>
  <c r="J572" i="2"/>
  <c r="N572" i="2" s="1"/>
  <c r="Q571" i="2"/>
  <c r="P571" i="2"/>
  <c r="R571" i="2" s="1"/>
  <c r="L571" i="2"/>
  <c r="J571" i="2"/>
  <c r="R570" i="2"/>
  <c r="Q570" i="2"/>
  <c r="P570" i="2"/>
  <c r="L570" i="2"/>
  <c r="J570" i="2"/>
  <c r="Q569" i="2"/>
  <c r="P569" i="2"/>
  <c r="R569" i="2" s="1"/>
  <c r="L569" i="2"/>
  <c r="J569" i="2"/>
  <c r="N569" i="2" s="1"/>
  <c r="R568" i="2"/>
  <c r="Q568" i="2"/>
  <c r="P568" i="2"/>
  <c r="L568" i="2"/>
  <c r="J568" i="2"/>
  <c r="N568" i="2" s="1"/>
  <c r="Q567" i="2"/>
  <c r="P567" i="2"/>
  <c r="R567" i="2" s="1"/>
  <c r="L567" i="2"/>
  <c r="N567" i="2" s="1"/>
  <c r="J567" i="2"/>
  <c r="Q566" i="2"/>
  <c r="R566" i="2" s="1"/>
  <c r="P566" i="2"/>
  <c r="L566" i="2"/>
  <c r="J566" i="2"/>
  <c r="N566" i="2" s="1"/>
  <c r="Q565" i="2"/>
  <c r="P565" i="2"/>
  <c r="R565" i="2" s="1"/>
  <c r="L565" i="2"/>
  <c r="J565" i="2"/>
  <c r="Q564" i="2"/>
  <c r="P564" i="2"/>
  <c r="L564" i="2"/>
  <c r="J564" i="2"/>
  <c r="Q563" i="2"/>
  <c r="P563" i="2"/>
  <c r="R563" i="2" s="1"/>
  <c r="L563" i="2"/>
  <c r="N563" i="2" s="1"/>
  <c r="J563" i="2"/>
  <c r="Q562" i="2"/>
  <c r="P562" i="2"/>
  <c r="R562" i="2" s="1"/>
  <c r="L562" i="2"/>
  <c r="J562" i="2"/>
  <c r="Q561" i="2"/>
  <c r="R561" i="2" s="1"/>
  <c r="P561" i="2"/>
  <c r="L561" i="2"/>
  <c r="J561" i="2"/>
  <c r="Q560" i="2"/>
  <c r="P560" i="2"/>
  <c r="L560" i="2"/>
  <c r="J560" i="2"/>
  <c r="N560" i="2" s="1"/>
  <c r="Q559" i="2"/>
  <c r="P559" i="2"/>
  <c r="L559" i="2"/>
  <c r="J559" i="2"/>
  <c r="N559" i="2" s="1"/>
  <c r="R558" i="2"/>
  <c r="Q558" i="2"/>
  <c r="P558" i="2"/>
  <c r="L558" i="2"/>
  <c r="J558" i="2"/>
  <c r="N558" i="2" s="1"/>
  <c r="Q557" i="2"/>
  <c r="R557" i="2" s="1"/>
  <c r="P557" i="2"/>
  <c r="L557" i="2"/>
  <c r="J557" i="2"/>
  <c r="N557" i="2" s="1"/>
  <c r="R556" i="2"/>
  <c r="Q556" i="2"/>
  <c r="P556" i="2"/>
  <c r="L556" i="2"/>
  <c r="J556" i="2"/>
  <c r="N556" i="2" s="1"/>
  <c r="Q555" i="2"/>
  <c r="P555" i="2"/>
  <c r="L555" i="2"/>
  <c r="J555" i="2"/>
  <c r="Q554" i="2"/>
  <c r="P554" i="2"/>
  <c r="L554" i="2"/>
  <c r="J554" i="2"/>
  <c r="Q553" i="2"/>
  <c r="P553" i="2"/>
  <c r="R553" i="2" s="1"/>
  <c r="N553" i="2"/>
  <c r="L553" i="2"/>
  <c r="J553" i="2"/>
  <c r="Q552" i="2"/>
  <c r="R552" i="2" s="1"/>
  <c r="P552" i="2"/>
  <c r="L552" i="2"/>
  <c r="J552" i="2"/>
  <c r="N552" i="2" s="1"/>
  <c r="Q551" i="2"/>
  <c r="P551" i="2"/>
  <c r="N551" i="2"/>
  <c r="L551" i="2"/>
  <c r="J551" i="2"/>
  <c r="Q550" i="2"/>
  <c r="P550" i="2"/>
  <c r="R550" i="2" s="1"/>
  <c r="L550" i="2"/>
  <c r="J550" i="2"/>
  <c r="N550" i="2" s="1"/>
  <c r="Q549" i="2"/>
  <c r="P549" i="2"/>
  <c r="L549" i="2"/>
  <c r="N549" i="2" s="1"/>
  <c r="J549" i="2"/>
  <c r="Q548" i="2"/>
  <c r="P548" i="2"/>
  <c r="R548" i="2" s="1"/>
  <c r="L548" i="2"/>
  <c r="J548" i="2"/>
  <c r="Q547" i="2"/>
  <c r="P547" i="2"/>
  <c r="L547" i="2"/>
  <c r="J547" i="2"/>
  <c r="N547" i="2" s="1"/>
  <c r="Q546" i="2"/>
  <c r="R546" i="2" s="1"/>
  <c r="P546" i="2"/>
  <c r="L546" i="2"/>
  <c r="J546" i="2"/>
  <c r="N546" i="2" s="1"/>
  <c r="Q545" i="2"/>
  <c r="P545" i="2"/>
  <c r="L545" i="2"/>
  <c r="J545" i="2"/>
  <c r="N545" i="2" s="1"/>
  <c r="Q544" i="2"/>
  <c r="P544" i="2"/>
  <c r="R544" i="2" s="1"/>
  <c r="N544" i="2"/>
  <c r="L544" i="2"/>
  <c r="J544" i="2"/>
  <c r="Q543" i="2"/>
  <c r="P543" i="2"/>
  <c r="R543" i="2" s="1"/>
  <c r="N543" i="2"/>
  <c r="L543" i="2"/>
  <c r="J543" i="2"/>
  <c r="Q542" i="2"/>
  <c r="P542" i="2"/>
  <c r="R542" i="2" s="1"/>
  <c r="N542" i="2"/>
  <c r="L542" i="2"/>
  <c r="J542" i="2"/>
  <c r="Q541" i="2"/>
  <c r="P541" i="2"/>
  <c r="L541" i="2"/>
  <c r="J541" i="2"/>
  <c r="Q540" i="2"/>
  <c r="P540" i="2"/>
  <c r="R540" i="2" s="1"/>
  <c r="L540" i="2"/>
  <c r="J540" i="2"/>
  <c r="Q539" i="2"/>
  <c r="P539" i="2"/>
  <c r="L539" i="2"/>
  <c r="J539" i="2"/>
  <c r="Q538" i="2"/>
  <c r="P538" i="2"/>
  <c r="R538" i="2" s="1"/>
  <c r="L538" i="2"/>
  <c r="J538" i="2"/>
  <c r="Q537" i="2"/>
  <c r="R537" i="2" s="1"/>
  <c r="P537" i="2"/>
  <c r="L537" i="2"/>
  <c r="N537" i="2" s="1"/>
  <c r="J537" i="2"/>
  <c r="Q536" i="2"/>
  <c r="P536" i="2"/>
  <c r="L536" i="2"/>
  <c r="N536" i="2" s="1"/>
  <c r="J536" i="2"/>
  <c r="Q535" i="2"/>
  <c r="R535" i="2" s="1"/>
  <c r="P535" i="2"/>
  <c r="L535" i="2"/>
  <c r="J535" i="2"/>
  <c r="N535" i="2" s="1"/>
  <c r="Q534" i="2"/>
  <c r="P534" i="2"/>
  <c r="L534" i="2"/>
  <c r="J534" i="2"/>
  <c r="Q533" i="2"/>
  <c r="P533" i="2"/>
  <c r="R533" i="2" s="1"/>
  <c r="L533" i="2"/>
  <c r="J533" i="2"/>
  <c r="N533" i="2" s="1"/>
  <c r="Q532" i="2"/>
  <c r="P532" i="2"/>
  <c r="R532" i="2" s="1"/>
  <c r="N532" i="2"/>
  <c r="L532" i="2"/>
  <c r="J532" i="2"/>
  <c r="Q531" i="2"/>
  <c r="R531" i="2" s="1"/>
  <c r="P531" i="2"/>
  <c r="L531" i="2"/>
  <c r="J531" i="2"/>
  <c r="Q530" i="2"/>
  <c r="P530" i="2"/>
  <c r="R530" i="2" s="1"/>
  <c r="L530" i="2"/>
  <c r="N530" i="2" s="1"/>
  <c r="J530" i="2"/>
  <c r="Q529" i="2"/>
  <c r="P529" i="2"/>
  <c r="L529" i="2"/>
  <c r="J529" i="2"/>
  <c r="N529" i="2" s="1"/>
  <c r="Q528" i="2"/>
  <c r="P528" i="2"/>
  <c r="L528" i="2"/>
  <c r="J528" i="2"/>
  <c r="N528" i="2" s="1"/>
  <c r="Q527" i="2"/>
  <c r="P527" i="2"/>
  <c r="L527" i="2"/>
  <c r="J527" i="2"/>
  <c r="Q526" i="2"/>
  <c r="R526" i="2" s="1"/>
  <c r="P526" i="2"/>
  <c r="L526" i="2"/>
  <c r="J526" i="2"/>
  <c r="N526" i="2" s="1"/>
  <c r="Q525" i="2"/>
  <c r="P525" i="2"/>
  <c r="R525" i="2" s="1"/>
  <c r="N525" i="2"/>
  <c r="L525" i="2"/>
  <c r="J525" i="2"/>
  <c r="Q524" i="2"/>
  <c r="P524" i="2"/>
  <c r="R524" i="2" s="1"/>
  <c r="L524" i="2"/>
  <c r="J524" i="2"/>
  <c r="N524" i="2" s="1"/>
  <c r="Q523" i="2"/>
  <c r="P523" i="2"/>
  <c r="L523" i="2"/>
  <c r="N523" i="2" s="1"/>
  <c r="J523" i="2"/>
  <c r="Q522" i="2"/>
  <c r="P522" i="2"/>
  <c r="L522" i="2"/>
  <c r="J522" i="2"/>
  <c r="Q521" i="2"/>
  <c r="P521" i="2"/>
  <c r="R521" i="2" s="1"/>
  <c r="L521" i="2"/>
  <c r="J521" i="2"/>
  <c r="N521" i="2" s="1"/>
  <c r="R520" i="2"/>
  <c r="Q520" i="2"/>
  <c r="P520" i="2"/>
  <c r="L520" i="2"/>
  <c r="N520" i="2" s="1"/>
  <c r="J520" i="2"/>
  <c r="Q519" i="2"/>
  <c r="P519" i="2"/>
  <c r="R519" i="2" s="1"/>
  <c r="L519" i="2"/>
  <c r="J519" i="2"/>
  <c r="N519" i="2" s="1"/>
  <c r="R518" i="2"/>
  <c r="Q518" i="2"/>
  <c r="P518" i="2"/>
  <c r="L518" i="2"/>
  <c r="N518" i="2" s="1"/>
  <c r="J518" i="2"/>
  <c r="Q517" i="2"/>
  <c r="P517" i="2"/>
  <c r="R517" i="2" s="1"/>
  <c r="L517" i="2"/>
  <c r="J517" i="2"/>
  <c r="Q516" i="2"/>
  <c r="P516" i="2"/>
  <c r="L516" i="2"/>
  <c r="J516" i="2"/>
  <c r="Q515" i="2"/>
  <c r="R515" i="2" s="1"/>
  <c r="P515" i="2"/>
  <c r="L515" i="2"/>
  <c r="J515" i="2"/>
  <c r="N515" i="2" s="1"/>
  <c r="Q514" i="2"/>
  <c r="P514" i="2"/>
  <c r="L514" i="2"/>
  <c r="J514" i="2"/>
  <c r="Q513" i="2"/>
  <c r="P513" i="2"/>
  <c r="L513" i="2"/>
  <c r="J513" i="2"/>
  <c r="N513" i="2" s="1"/>
  <c r="Q512" i="2"/>
  <c r="P512" i="2"/>
  <c r="R512" i="2" s="1"/>
  <c r="L512" i="2"/>
  <c r="J512" i="2"/>
  <c r="Q511" i="2"/>
  <c r="R511" i="2" s="1"/>
  <c r="P511" i="2"/>
  <c r="L511" i="2"/>
  <c r="J511" i="2"/>
  <c r="N511" i="2" s="1"/>
  <c r="Q510" i="2"/>
  <c r="P510" i="2"/>
  <c r="R510" i="2" s="1"/>
  <c r="L510" i="2"/>
  <c r="J510" i="2"/>
  <c r="R509" i="2"/>
  <c r="Q509" i="2"/>
  <c r="P509" i="2"/>
  <c r="L509" i="2"/>
  <c r="J509" i="2"/>
  <c r="N509" i="2" s="1"/>
  <c r="Q508" i="2"/>
  <c r="P508" i="2"/>
  <c r="R508" i="2" s="1"/>
  <c r="L508" i="2"/>
  <c r="J508" i="2"/>
  <c r="Q507" i="2"/>
  <c r="P507" i="2"/>
  <c r="L507" i="2"/>
  <c r="J507" i="2"/>
  <c r="Q506" i="2"/>
  <c r="P506" i="2"/>
  <c r="L506" i="2"/>
  <c r="J506" i="2"/>
  <c r="N506" i="2" s="1"/>
  <c r="Q505" i="2"/>
  <c r="P505" i="2"/>
  <c r="L505" i="2"/>
  <c r="J505" i="2"/>
  <c r="Q504" i="2"/>
  <c r="P504" i="2"/>
  <c r="R504" i="2" s="1"/>
  <c r="L504" i="2"/>
  <c r="J504" i="2"/>
  <c r="N504" i="2" s="1"/>
  <c r="Q503" i="2"/>
  <c r="P503" i="2"/>
  <c r="L503" i="2"/>
  <c r="N503" i="2" s="1"/>
  <c r="J503" i="2"/>
  <c r="Q502" i="2"/>
  <c r="P502" i="2"/>
  <c r="R502" i="2" s="1"/>
  <c r="L502" i="2"/>
  <c r="N502" i="2" s="1"/>
  <c r="J502" i="2"/>
  <c r="Q501" i="2"/>
  <c r="P501" i="2"/>
  <c r="R501" i="2" s="1"/>
  <c r="L501" i="2"/>
  <c r="J501" i="2"/>
  <c r="N501" i="2" s="1"/>
  <c r="Q500" i="2"/>
  <c r="P500" i="2"/>
  <c r="L500" i="2"/>
  <c r="J500" i="2"/>
  <c r="N500" i="2" s="1"/>
  <c r="Q499" i="2"/>
  <c r="P499" i="2"/>
  <c r="L499" i="2"/>
  <c r="J499" i="2"/>
  <c r="N499" i="2" s="1"/>
  <c r="Q498" i="2"/>
  <c r="P498" i="2"/>
  <c r="L498" i="2"/>
  <c r="J498" i="2"/>
  <c r="Q497" i="2"/>
  <c r="P497" i="2"/>
  <c r="L497" i="2"/>
  <c r="J497" i="2"/>
  <c r="N497" i="2" s="1"/>
  <c r="Q496" i="2"/>
  <c r="R496" i="2" s="1"/>
  <c r="P496" i="2"/>
  <c r="L496" i="2"/>
  <c r="J496" i="2"/>
  <c r="Q495" i="2"/>
  <c r="P495" i="2"/>
  <c r="R495" i="2" s="1"/>
  <c r="L495" i="2"/>
  <c r="J495" i="2"/>
  <c r="N495" i="2" s="1"/>
  <c r="R494" i="2"/>
  <c r="Q494" i="2"/>
  <c r="P494" i="2"/>
  <c r="L494" i="2"/>
  <c r="J494" i="2"/>
  <c r="N494" i="2" s="1"/>
  <c r="Q493" i="2"/>
  <c r="P493" i="2"/>
  <c r="L493" i="2"/>
  <c r="N493" i="2" s="1"/>
  <c r="J493" i="2"/>
  <c r="Q492" i="2"/>
  <c r="P492" i="2"/>
  <c r="L492" i="2"/>
  <c r="J492" i="2"/>
  <c r="Q491" i="2"/>
  <c r="P491" i="2"/>
  <c r="L491" i="2"/>
  <c r="J491" i="2"/>
  <c r="N491" i="2" s="1"/>
  <c r="Q490" i="2"/>
  <c r="P490" i="2"/>
  <c r="R490" i="2" s="1"/>
  <c r="L490" i="2"/>
  <c r="J490" i="2"/>
  <c r="Q489" i="2"/>
  <c r="P489" i="2"/>
  <c r="R489" i="2" s="1"/>
  <c r="L489" i="2"/>
  <c r="J489" i="2"/>
  <c r="Q488" i="2"/>
  <c r="P488" i="2"/>
  <c r="R488" i="2" s="1"/>
  <c r="L488" i="2"/>
  <c r="J488" i="2"/>
  <c r="Q487" i="2"/>
  <c r="P487" i="2"/>
  <c r="L487" i="2"/>
  <c r="J487" i="2"/>
  <c r="N487" i="2" s="1"/>
  <c r="Q486" i="2"/>
  <c r="P486" i="2"/>
  <c r="L486" i="2"/>
  <c r="J486" i="2"/>
  <c r="N486" i="2" s="1"/>
  <c r="Q485" i="2"/>
  <c r="P485" i="2"/>
  <c r="L485" i="2"/>
  <c r="J485" i="2"/>
  <c r="N485" i="2" s="1"/>
  <c r="Q484" i="2"/>
  <c r="R484" i="2" s="1"/>
  <c r="P484" i="2"/>
  <c r="L484" i="2"/>
  <c r="J484" i="2"/>
  <c r="N484" i="2" s="1"/>
  <c r="Q483" i="2"/>
  <c r="R483" i="2" s="1"/>
  <c r="P483" i="2"/>
  <c r="L483" i="2"/>
  <c r="J483" i="2"/>
  <c r="Q482" i="2"/>
  <c r="P482" i="2"/>
  <c r="R482" i="2" s="1"/>
  <c r="L482" i="2"/>
  <c r="J482" i="2"/>
  <c r="Q481" i="2"/>
  <c r="P481" i="2"/>
  <c r="R481" i="2" s="1"/>
  <c r="L481" i="2"/>
  <c r="J481" i="2"/>
  <c r="Q480" i="2"/>
  <c r="P480" i="2"/>
  <c r="R480" i="2" s="1"/>
  <c r="L480" i="2"/>
  <c r="J480" i="2"/>
  <c r="N480" i="2" s="1"/>
  <c r="Q479" i="2"/>
  <c r="P479" i="2"/>
  <c r="R479" i="2" s="1"/>
  <c r="L479" i="2"/>
  <c r="J479" i="2"/>
  <c r="N479" i="2" s="1"/>
  <c r="Q478" i="2"/>
  <c r="P478" i="2"/>
  <c r="R478" i="2" s="1"/>
  <c r="L478" i="2"/>
  <c r="N478" i="2" s="1"/>
  <c r="J478" i="2"/>
  <c r="Q477" i="2"/>
  <c r="P477" i="2"/>
  <c r="L477" i="2"/>
  <c r="J477" i="2"/>
  <c r="N477" i="2" s="1"/>
  <c r="Q476" i="2"/>
  <c r="P476" i="2"/>
  <c r="R476" i="2" s="1"/>
  <c r="L476" i="2"/>
  <c r="J476" i="2"/>
  <c r="Q475" i="2"/>
  <c r="P475" i="2"/>
  <c r="L475" i="2"/>
  <c r="J475" i="2"/>
  <c r="R474" i="2"/>
  <c r="Q474" i="2"/>
  <c r="P474" i="2"/>
  <c r="L474" i="2"/>
  <c r="J474" i="2"/>
  <c r="N474" i="2" s="1"/>
  <c r="Q473" i="2"/>
  <c r="P473" i="2"/>
  <c r="N473" i="2"/>
  <c r="L473" i="2"/>
  <c r="J473" i="2"/>
  <c r="Q472" i="2"/>
  <c r="P472" i="2"/>
  <c r="L472" i="2"/>
  <c r="J472" i="2"/>
  <c r="N472" i="2" s="1"/>
  <c r="Q471" i="2"/>
  <c r="P471" i="2"/>
  <c r="N471" i="2"/>
  <c r="L471" i="2"/>
  <c r="J471" i="2"/>
  <c r="Q470" i="2"/>
  <c r="P470" i="2"/>
  <c r="L470" i="2"/>
  <c r="J470" i="2"/>
  <c r="Q469" i="2"/>
  <c r="R469" i="2" s="1"/>
  <c r="P469" i="2"/>
  <c r="L469" i="2"/>
  <c r="J469" i="2"/>
  <c r="R468" i="2"/>
  <c r="Q468" i="2"/>
  <c r="P468" i="2"/>
  <c r="L468" i="2"/>
  <c r="N468" i="2" s="1"/>
  <c r="J468" i="2"/>
  <c r="Q467" i="2"/>
  <c r="P467" i="2"/>
  <c r="R467" i="2" s="1"/>
  <c r="N467" i="2"/>
  <c r="L467" i="2"/>
  <c r="J467" i="2"/>
  <c r="R466" i="2"/>
  <c r="Q466" i="2"/>
  <c r="P466" i="2"/>
  <c r="L466" i="2"/>
  <c r="J466" i="2"/>
  <c r="N466" i="2" s="1"/>
  <c r="Q465" i="2"/>
  <c r="P465" i="2"/>
  <c r="R465" i="2" s="1"/>
  <c r="N465" i="2"/>
  <c r="L465" i="2"/>
  <c r="J465" i="2"/>
  <c r="Q464" i="2"/>
  <c r="P464" i="2"/>
  <c r="R464" i="2" s="1"/>
  <c r="L464" i="2"/>
  <c r="J464" i="2"/>
  <c r="N464" i="2" s="1"/>
  <c r="Q463" i="2"/>
  <c r="R463" i="2" s="1"/>
  <c r="P463" i="2"/>
  <c r="N463" i="2"/>
  <c r="L463" i="2"/>
  <c r="J463" i="2"/>
  <c r="Q462" i="2"/>
  <c r="P462" i="2"/>
  <c r="L462" i="2"/>
  <c r="J462" i="2"/>
  <c r="Q461" i="2"/>
  <c r="P461" i="2"/>
  <c r="L461" i="2"/>
  <c r="N461" i="2" s="1"/>
  <c r="J461" i="2"/>
  <c r="Q460" i="2"/>
  <c r="P460" i="2"/>
  <c r="L460" i="2"/>
  <c r="J460" i="2"/>
  <c r="N460" i="2" s="1"/>
  <c r="Q459" i="2"/>
  <c r="P459" i="2"/>
  <c r="R459" i="2" s="1"/>
  <c r="L459" i="2"/>
  <c r="J459" i="2"/>
  <c r="Q458" i="2"/>
  <c r="P458" i="2"/>
  <c r="L458" i="2"/>
  <c r="N458" i="2" s="1"/>
  <c r="J458" i="2"/>
  <c r="Q457" i="2"/>
  <c r="P457" i="2"/>
  <c r="L457" i="2"/>
  <c r="J457" i="2"/>
  <c r="N457" i="2" s="1"/>
  <c r="Q456" i="2"/>
  <c r="P456" i="2"/>
  <c r="N456" i="2"/>
  <c r="L456" i="2"/>
  <c r="J456" i="2"/>
  <c r="Q455" i="2"/>
  <c r="P455" i="2"/>
  <c r="L455" i="2"/>
  <c r="J455" i="2"/>
  <c r="N455" i="2" s="1"/>
  <c r="Q454" i="2"/>
  <c r="P454" i="2"/>
  <c r="R454" i="2" s="1"/>
  <c r="L454" i="2"/>
  <c r="J454" i="2"/>
  <c r="R453" i="2"/>
  <c r="Q453" i="2"/>
  <c r="P453" i="2"/>
  <c r="L453" i="2"/>
  <c r="J453" i="2"/>
  <c r="Q452" i="2"/>
  <c r="P452" i="2"/>
  <c r="R452" i="2" s="1"/>
  <c r="L452" i="2"/>
  <c r="J452" i="2"/>
  <c r="Q451" i="2"/>
  <c r="P451" i="2"/>
  <c r="L451" i="2"/>
  <c r="J451" i="2"/>
  <c r="N451" i="2" s="1"/>
  <c r="Q450" i="2"/>
  <c r="P450" i="2"/>
  <c r="R450" i="2" s="1"/>
  <c r="L450" i="2"/>
  <c r="J450" i="2"/>
  <c r="N450" i="2" s="1"/>
  <c r="R449" i="2"/>
  <c r="Q449" i="2"/>
  <c r="P449" i="2"/>
  <c r="L449" i="2"/>
  <c r="J449" i="2"/>
  <c r="N449" i="2" s="1"/>
  <c r="Q448" i="2"/>
  <c r="P448" i="2"/>
  <c r="R448" i="2" s="1"/>
  <c r="L448" i="2"/>
  <c r="J448" i="2"/>
  <c r="N448" i="2" s="1"/>
  <c r="Q447" i="2"/>
  <c r="P447" i="2"/>
  <c r="L447" i="2"/>
  <c r="J447" i="2"/>
  <c r="Q446" i="2"/>
  <c r="R446" i="2" s="1"/>
  <c r="P446" i="2"/>
  <c r="L446" i="2"/>
  <c r="J446" i="2"/>
  <c r="N446" i="2" s="1"/>
  <c r="Q445" i="2"/>
  <c r="P445" i="2"/>
  <c r="R445" i="2" s="1"/>
  <c r="L445" i="2"/>
  <c r="J445" i="2"/>
  <c r="N445" i="2" s="1"/>
  <c r="Q444" i="2"/>
  <c r="R444" i="2" s="1"/>
  <c r="P444" i="2"/>
  <c r="L444" i="2"/>
  <c r="J444" i="2"/>
  <c r="N444" i="2" s="1"/>
  <c r="Q443" i="2"/>
  <c r="P443" i="2"/>
  <c r="L443" i="2"/>
  <c r="N443" i="2" s="1"/>
  <c r="J443" i="2"/>
  <c r="Q442" i="2"/>
  <c r="P442" i="2"/>
  <c r="L442" i="2"/>
  <c r="J442" i="2"/>
  <c r="Q441" i="2"/>
  <c r="P441" i="2"/>
  <c r="R441" i="2" s="1"/>
  <c r="L441" i="2"/>
  <c r="N441" i="2" s="1"/>
  <c r="J441" i="2"/>
  <c r="Q440" i="2"/>
  <c r="P440" i="2"/>
  <c r="L440" i="2"/>
  <c r="J440" i="2"/>
  <c r="Q439" i="2"/>
  <c r="P439" i="2"/>
  <c r="R439" i="2" s="1"/>
  <c r="L439" i="2"/>
  <c r="J439" i="2"/>
  <c r="N439" i="2" s="1"/>
  <c r="Q438" i="2"/>
  <c r="P438" i="2"/>
  <c r="R438" i="2" s="1"/>
  <c r="L438" i="2"/>
  <c r="J438" i="2"/>
  <c r="Q437" i="2"/>
  <c r="P437" i="2"/>
  <c r="R437" i="2" s="1"/>
  <c r="L437" i="2"/>
  <c r="J437" i="2"/>
  <c r="N437" i="2" s="1"/>
  <c r="Q436" i="2"/>
  <c r="P436" i="2"/>
  <c r="N436" i="2"/>
  <c r="L436" i="2"/>
  <c r="J436" i="2"/>
  <c r="Q435" i="2"/>
  <c r="P435" i="2"/>
  <c r="R435" i="2" s="1"/>
  <c r="L435" i="2"/>
  <c r="J435" i="2"/>
  <c r="R434" i="2"/>
  <c r="Q434" i="2"/>
  <c r="P434" i="2"/>
  <c r="L434" i="2"/>
  <c r="J434" i="2"/>
  <c r="N434" i="2" s="1"/>
  <c r="Q433" i="2"/>
  <c r="P433" i="2"/>
  <c r="L433" i="2"/>
  <c r="J433" i="2"/>
  <c r="Q432" i="2"/>
  <c r="P432" i="2"/>
  <c r="R432" i="2" s="1"/>
  <c r="L432" i="2"/>
  <c r="J432" i="2"/>
  <c r="N432" i="2" s="1"/>
  <c r="Q431" i="2"/>
  <c r="R431" i="2" s="1"/>
  <c r="P431" i="2"/>
  <c r="L431" i="2"/>
  <c r="J431" i="2"/>
  <c r="N431" i="2" s="1"/>
  <c r="Q430" i="2"/>
  <c r="P430" i="2"/>
  <c r="R430" i="2" s="1"/>
  <c r="L430" i="2"/>
  <c r="J430" i="2"/>
  <c r="Q429" i="2"/>
  <c r="R429" i="2" s="1"/>
  <c r="P429" i="2"/>
  <c r="L429" i="2"/>
  <c r="J429" i="2"/>
  <c r="Q428" i="2"/>
  <c r="P428" i="2"/>
  <c r="R428" i="2" s="1"/>
  <c r="L428" i="2"/>
  <c r="N428" i="2" s="1"/>
  <c r="J428" i="2"/>
  <c r="Q427" i="2"/>
  <c r="P427" i="2"/>
  <c r="L427" i="2"/>
  <c r="J427" i="2"/>
  <c r="Q426" i="2"/>
  <c r="P426" i="2"/>
  <c r="L426" i="2"/>
  <c r="J426" i="2"/>
  <c r="N426" i="2" s="1"/>
  <c r="Q425" i="2"/>
  <c r="P425" i="2"/>
  <c r="R425" i="2" s="1"/>
  <c r="L425" i="2"/>
  <c r="J425" i="2"/>
  <c r="N425" i="2" s="1"/>
  <c r="Q424" i="2"/>
  <c r="P424" i="2"/>
  <c r="R424" i="2" s="1"/>
  <c r="L424" i="2"/>
  <c r="J424" i="2"/>
  <c r="N424" i="2" s="1"/>
  <c r="Q423" i="2"/>
  <c r="P423" i="2"/>
  <c r="N423" i="2"/>
  <c r="L423" i="2"/>
  <c r="J423" i="2"/>
  <c r="Q422" i="2"/>
  <c r="P422" i="2"/>
  <c r="R422" i="2" s="1"/>
  <c r="L422" i="2"/>
  <c r="J422" i="2"/>
  <c r="N422" i="2" s="1"/>
  <c r="Q421" i="2"/>
  <c r="P421" i="2"/>
  <c r="N421" i="2"/>
  <c r="L421" i="2"/>
  <c r="J421" i="2"/>
  <c r="Q420" i="2"/>
  <c r="P420" i="2"/>
  <c r="L420" i="2"/>
  <c r="J420" i="2"/>
  <c r="Q419" i="2"/>
  <c r="R419" i="2" s="1"/>
  <c r="P419" i="2"/>
  <c r="L419" i="2"/>
  <c r="J419" i="2"/>
  <c r="Q418" i="2"/>
  <c r="P418" i="2"/>
  <c r="R418" i="2" s="1"/>
  <c r="L418" i="2"/>
  <c r="N418" i="2" s="1"/>
  <c r="J418" i="2"/>
  <c r="Q417" i="2"/>
  <c r="P417" i="2"/>
  <c r="R417" i="2" s="1"/>
  <c r="L417" i="2"/>
  <c r="J417" i="2"/>
  <c r="R416" i="2"/>
  <c r="Q416" i="2"/>
  <c r="P416" i="2"/>
  <c r="L416" i="2"/>
  <c r="J416" i="2"/>
  <c r="Q415" i="2"/>
  <c r="P415" i="2"/>
  <c r="L415" i="2"/>
  <c r="N415" i="2" s="1"/>
  <c r="J415" i="2"/>
  <c r="Q414" i="2"/>
  <c r="P414" i="2"/>
  <c r="R414" i="2" s="1"/>
  <c r="L414" i="2"/>
  <c r="J414" i="2"/>
  <c r="N414" i="2" s="1"/>
  <c r="R413" i="2"/>
  <c r="Q413" i="2"/>
  <c r="P413" i="2"/>
  <c r="N413" i="2"/>
  <c r="L413" i="2"/>
  <c r="J413" i="2"/>
  <c r="Q412" i="2"/>
  <c r="P412" i="2"/>
  <c r="R412" i="2" s="1"/>
  <c r="L412" i="2"/>
  <c r="J412" i="2"/>
  <c r="N412" i="2" s="1"/>
  <c r="R411" i="2"/>
  <c r="Q411" i="2"/>
  <c r="P411" i="2"/>
  <c r="N411" i="2"/>
  <c r="L411" i="2"/>
  <c r="J411" i="2"/>
  <c r="Q410" i="2"/>
  <c r="P410" i="2"/>
  <c r="R410" i="2" s="1"/>
  <c r="L410" i="2"/>
  <c r="J410" i="2"/>
  <c r="N410" i="2" s="1"/>
  <c r="R409" i="2"/>
  <c r="Q409" i="2"/>
  <c r="P409" i="2"/>
  <c r="L409" i="2"/>
  <c r="J409" i="2"/>
  <c r="Q408" i="2"/>
  <c r="P408" i="2"/>
  <c r="L408" i="2"/>
  <c r="J408" i="2"/>
  <c r="Q407" i="2"/>
  <c r="P407" i="2"/>
  <c r="L407" i="2"/>
  <c r="J407" i="2"/>
  <c r="N407" i="2" s="1"/>
  <c r="Q406" i="2"/>
  <c r="P406" i="2"/>
  <c r="L406" i="2"/>
  <c r="J406" i="2"/>
  <c r="N406" i="2" s="1"/>
  <c r="Q405" i="2"/>
  <c r="P405" i="2"/>
  <c r="L405" i="2"/>
  <c r="J405" i="2"/>
  <c r="R404" i="2"/>
  <c r="Q404" i="2"/>
  <c r="P404" i="2"/>
  <c r="L404" i="2"/>
  <c r="J404" i="2"/>
  <c r="Q403" i="2"/>
  <c r="P403" i="2"/>
  <c r="L403" i="2"/>
  <c r="N403" i="2" s="1"/>
  <c r="J403" i="2"/>
  <c r="Q402" i="2"/>
  <c r="P402" i="2"/>
  <c r="L402" i="2"/>
  <c r="N402" i="2" s="1"/>
  <c r="J402" i="2"/>
  <c r="Q401" i="2"/>
  <c r="P401" i="2"/>
  <c r="R401" i="2" s="1"/>
  <c r="N401" i="2"/>
  <c r="L401" i="2"/>
  <c r="J401" i="2"/>
  <c r="Q400" i="2"/>
  <c r="P400" i="2"/>
  <c r="R400" i="2" s="1"/>
  <c r="N400" i="2"/>
  <c r="L400" i="2"/>
  <c r="J400" i="2"/>
  <c r="Q399" i="2"/>
  <c r="P399" i="2"/>
  <c r="L399" i="2"/>
  <c r="J399" i="2"/>
  <c r="Q398" i="2"/>
  <c r="P398" i="2"/>
  <c r="R398" i="2" s="1"/>
  <c r="N398" i="2"/>
  <c r="L398" i="2"/>
  <c r="J398" i="2"/>
  <c r="Q397" i="2"/>
  <c r="P397" i="2"/>
  <c r="R397" i="2" s="1"/>
  <c r="L397" i="2"/>
  <c r="J397" i="2"/>
  <c r="Q396" i="2"/>
  <c r="P396" i="2"/>
  <c r="N396" i="2"/>
  <c r="L396" i="2"/>
  <c r="J396" i="2"/>
  <c r="Q395" i="2"/>
  <c r="P395" i="2"/>
  <c r="R395" i="2" s="1"/>
  <c r="L395" i="2"/>
  <c r="J395" i="2"/>
  <c r="N395" i="2" s="1"/>
  <c r="R394" i="2"/>
  <c r="Q394" i="2"/>
  <c r="P394" i="2"/>
  <c r="L394" i="2"/>
  <c r="J394" i="2"/>
  <c r="Q393" i="2"/>
  <c r="P393" i="2"/>
  <c r="L393" i="2"/>
  <c r="N393" i="2" s="1"/>
  <c r="J393" i="2"/>
  <c r="Q392" i="2"/>
  <c r="P392" i="2"/>
  <c r="L392" i="2"/>
  <c r="J392" i="2"/>
  <c r="N392" i="2" s="1"/>
  <c r="R391" i="2"/>
  <c r="Q391" i="2"/>
  <c r="P391" i="2"/>
  <c r="L391" i="2"/>
  <c r="J391" i="2"/>
  <c r="N391" i="2" s="1"/>
  <c r="Q390" i="2"/>
  <c r="P390" i="2"/>
  <c r="R390" i="2" s="1"/>
  <c r="L390" i="2"/>
  <c r="J390" i="2"/>
  <c r="N390" i="2" s="1"/>
  <c r="Q389" i="2"/>
  <c r="R389" i="2" s="1"/>
  <c r="P389" i="2"/>
  <c r="L389" i="2"/>
  <c r="J389" i="2"/>
  <c r="N389" i="2" s="1"/>
  <c r="Q388" i="2"/>
  <c r="P388" i="2"/>
  <c r="L388" i="2"/>
  <c r="N388" i="2" s="1"/>
  <c r="J388" i="2"/>
  <c r="Q387" i="2"/>
  <c r="P387" i="2"/>
  <c r="R387" i="2" s="1"/>
  <c r="N387" i="2"/>
  <c r="L387" i="2"/>
  <c r="J387" i="2"/>
  <c r="Q386" i="2"/>
  <c r="P386" i="2"/>
  <c r="R386" i="2" s="1"/>
  <c r="L386" i="2"/>
  <c r="N386" i="2" s="1"/>
  <c r="J386" i="2"/>
  <c r="Q385" i="2"/>
  <c r="P385" i="2"/>
  <c r="L385" i="2"/>
  <c r="N385" i="2" s="1"/>
  <c r="J385" i="2"/>
  <c r="Q384" i="2"/>
  <c r="P384" i="2"/>
  <c r="R384" i="2" s="1"/>
  <c r="L384" i="2"/>
  <c r="J384" i="2"/>
  <c r="R383" i="2"/>
  <c r="Q383" i="2"/>
  <c r="P383" i="2"/>
  <c r="L383" i="2"/>
  <c r="N383" i="2" s="1"/>
  <c r="J383" i="2"/>
  <c r="Q382" i="2"/>
  <c r="P382" i="2"/>
  <c r="R382" i="2" s="1"/>
  <c r="L382" i="2"/>
  <c r="J382" i="2"/>
  <c r="N382" i="2" s="1"/>
  <c r="Q381" i="2"/>
  <c r="P381" i="2"/>
  <c r="R381" i="2" s="1"/>
  <c r="N381" i="2"/>
  <c r="L381" i="2"/>
  <c r="J381" i="2"/>
  <c r="Q380" i="2"/>
  <c r="P380" i="2"/>
  <c r="R380" i="2" s="1"/>
  <c r="L380" i="2"/>
  <c r="N380" i="2" s="1"/>
  <c r="J380" i="2"/>
  <c r="Q379" i="2"/>
  <c r="P379" i="2"/>
  <c r="R379" i="2" s="1"/>
  <c r="L379" i="2"/>
  <c r="J379" i="2"/>
  <c r="Q378" i="2"/>
  <c r="P378" i="2"/>
  <c r="R378" i="2" s="1"/>
  <c r="L378" i="2"/>
  <c r="J378" i="2"/>
  <c r="Q377" i="2"/>
  <c r="P377" i="2"/>
  <c r="L377" i="2"/>
  <c r="J377" i="2"/>
  <c r="N377" i="2" s="1"/>
  <c r="Q376" i="2"/>
  <c r="P376" i="2"/>
  <c r="L376" i="2"/>
  <c r="N376" i="2" s="1"/>
  <c r="J376" i="2"/>
  <c r="Q375" i="2"/>
  <c r="P375" i="2"/>
  <c r="R375" i="2" s="1"/>
  <c r="L375" i="2"/>
  <c r="J375" i="2"/>
  <c r="N375" i="2" s="1"/>
  <c r="Q374" i="2"/>
  <c r="R374" i="2" s="1"/>
  <c r="P374" i="2"/>
  <c r="L374" i="2"/>
  <c r="J374" i="2"/>
  <c r="N374" i="2" s="1"/>
  <c r="Q373" i="2"/>
  <c r="P373" i="2"/>
  <c r="R373" i="2" s="1"/>
  <c r="L373" i="2"/>
  <c r="J373" i="2"/>
  <c r="N373" i="2" s="1"/>
  <c r="Q372" i="2"/>
  <c r="P372" i="2"/>
  <c r="R372" i="2" s="1"/>
  <c r="N372" i="2"/>
  <c r="L372" i="2"/>
  <c r="J372" i="2"/>
  <c r="Q371" i="2"/>
  <c r="P371" i="2"/>
  <c r="R371" i="2" s="1"/>
  <c r="L371" i="2"/>
  <c r="J371" i="2"/>
  <c r="N371" i="2" s="1"/>
  <c r="Q370" i="2"/>
  <c r="P370" i="2"/>
  <c r="L370" i="2"/>
  <c r="J370" i="2"/>
  <c r="N370" i="2" s="1"/>
  <c r="R369" i="2"/>
  <c r="Q369" i="2"/>
  <c r="P369" i="2"/>
  <c r="L369" i="2"/>
  <c r="J369" i="2"/>
  <c r="Q368" i="2"/>
  <c r="P368" i="2"/>
  <c r="R368" i="2" s="1"/>
  <c r="L368" i="2"/>
  <c r="N368" i="2" s="1"/>
  <c r="J368" i="2"/>
  <c r="Q367" i="2"/>
  <c r="P367" i="2"/>
  <c r="L367" i="2"/>
  <c r="N367" i="2" s="1"/>
  <c r="J367" i="2"/>
  <c r="R366" i="2"/>
  <c r="Q366" i="2"/>
  <c r="P366" i="2"/>
  <c r="L366" i="2"/>
  <c r="J366" i="2"/>
  <c r="Q365" i="2"/>
  <c r="P365" i="2"/>
  <c r="L365" i="2"/>
  <c r="J365" i="2"/>
  <c r="N365" i="2" s="1"/>
  <c r="R364" i="2"/>
  <c r="Q364" i="2"/>
  <c r="P364" i="2"/>
  <c r="L364" i="2"/>
  <c r="J364" i="2"/>
  <c r="N364" i="2" s="1"/>
  <c r="Q363" i="2"/>
  <c r="P363" i="2"/>
  <c r="L363" i="2"/>
  <c r="J363" i="2"/>
  <c r="Q362" i="2"/>
  <c r="P362" i="2"/>
  <c r="L362" i="2"/>
  <c r="J362" i="2"/>
  <c r="R361" i="2"/>
  <c r="Q361" i="2"/>
  <c r="P361" i="2"/>
  <c r="L361" i="2"/>
  <c r="J361" i="2"/>
  <c r="N361" i="2" s="1"/>
  <c r="Q360" i="2"/>
  <c r="P360" i="2"/>
  <c r="R360" i="2" s="1"/>
  <c r="L360" i="2"/>
  <c r="J360" i="2"/>
  <c r="Q359" i="2"/>
  <c r="R359" i="2" s="1"/>
  <c r="P359" i="2"/>
  <c r="L359" i="2"/>
  <c r="J359" i="2"/>
  <c r="N359" i="2" s="1"/>
  <c r="Q358" i="2"/>
  <c r="P358" i="2"/>
  <c r="L358" i="2"/>
  <c r="N358" i="2" s="1"/>
  <c r="J358" i="2"/>
  <c r="Q357" i="2"/>
  <c r="P357" i="2"/>
  <c r="L357" i="2"/>
  <c r="J357" i="2"/>
  <c r="Q356" i="2"/>
  <c r="P356" i="2"/>
  <c r="R356" i="2" s="1"/>
  <c r="L356" i="2"/>
  <c r="J356" i="2"/>
  <c r="N356" i="2" s="1"/>
  <c r="Q355" i="2"/>
  <c r="P355" i="2"/>
  <c r="L355" i="2"/>
  <c r="J355" i="2"/>
  <c r="Q354" i="2"/>
  <c r="P354" i="2"/>
  <c r="R354" i="2" s="1"/>
  <c r="L354" i="2"/>
  <c r="J354" i="2"/>
  <c r="N354" i="2" s="1"/>
  <c r="Q353" i="2"/>
  <c r="P353" i="2"/>
  <c r="R353" i="2" s="1"/>
  <c r="L353" i="2"/>
  <c r="N353" i="2" s="1"/>
  <c r="J353" i="2"/>
  <c r="Q352" i="2"/>
  <c r="P352" i="2"/>
  <c r="L352" i="2"/>
  <c r="N352" i="2" s="1"/>
  <c r="J352" i="2"/>
  <c r="Q351" i="2"/>
  <c r="P351" i="2"/>
  <c r="L351" i="2"/>
  <c r="N351" i="2" s="1"/>
  <c r="J351" i="2"/>
  <c r="Q350" i="2"/>
  <c r="P350" i="2"/>
  <c r="L350" i="2"/>
  <c r="J350" i="2"/>
  <c r="Q349" i="2"/>
  <c r="P349" i="2"/>
  <c r="R349" i="2" s="1"/>
  <c r="L349" i="2"/>
  <c r="J349" i="2"/>
  <c r="Q348" i="2"/>
  <c r="P348" i="2"/>
  <c r="L348" i="2"/>
  <c r="J348" i="2"/>
  <c r="N348" i="2" s="1"/>
  <c r="Q347" i="2"/>
  <c r="P347" i="2"/>
  <c r="L347" i="2"/>
  <c r="J347" i="2"/>
  <c r="N347" i="2" s="1"/>
  <c r="Q346" i="2"/>
  <c r="R346" i="2" s="1"/>
  <c r="P346" i="2"/>
  <c r="L346" i="2"/>
  <c r="J346" i="2"/>
  <c r="Q345" i="2"/>
  <c r="P345" i="2"/>
  <c r="L345" i="2"/>
  <c r="J345" i="2"/>
  <c r="N345" i="2" s="1"/>
  <c r="Q344" i="2"/>
  <c r="P344" i="2"/>
  <c r="L344" i="2"/>
  <c r="J344" i="2"/>
  <c r="N344" i="2" s="1"/>
  <c r="Q343" i="2"/>
  <c r="P343" i="2"/>
  <c r="L343" i="2"/>
  <c r="N343" i="2" s="1"/>
  <c r="J343" i="2"/>
  <c r="Q342" i="2"/>
  <c r="P342" i="2"/>
  <c r="L342" i="2"/>
  <c r="J342" i="2"/>
  <c r="Q341" i="2"/>
  <c r="P341" i="2"/>
  <c r="L341" i="2"/>
  <c r="J341" i="2"/>
  <c r="Q340" i="2"/>
  <c r="P340" i="2"/>
  <c r="L340" i="2"/>
  <c r="J340" i="2"/>
  <c r="R339" i="2"/>
  <c r="Q339" i="2"/>
  <c r="P339" i="2"/>
  <c r="L339" i="2"/>
  <c r="J339" i="2"/>
  <c r="N339" i="2" s="1"/>
  <c r="Q338" i="2"/>
  <c r="P338" i="2"/>
  <c r="L338" i="2"/>
  <c r="J338" i="2"/>
  <c r="Q337" i="2"/>
  <c r="P337" i="2"/>
  <c r="R337" i="2" s="1"/>
  <c r="L337" i="2"/>
  <c r="J337" i="2"/>
  <c r="Q336" i="2"/>
  <c r="P336" i="2"/>
  <c r="R336" i="2" s="1"/>
  <c r="N336" i="2"/>
  <c r="L336" i="2"/>
  <c r="J336" i="2"/>
  <c r="Q335" i="2"/>
  <c r="P335" i="2"/>
  <c r="L335" i="2"/>
  <c r="J335" i="2"/>
  <c r="R334" i="2"/>
  <c r="Q334" i="2"/>
  <c r="P334" i="2"/>
  <c r="L334" i="2"/>
  <c r="J334" i="2"/>
  <c r="Q333" i="2"/>
  <c r="P333" i="2"/>
  <c r="L333" i="2"/>
  <c r="J333" i="2"/>
  <c r="Q332" i="2"/>
  <c r="P332" i="2"/>
  <c r="L332" i="2"/>
  <c r="J332" i="2"/>
  <c r="R331" i="2"/>
  <c r="Q331" i="2"/>
  <c r="P331" i="2"/>
  <c r="L331" i="2"/>
  <c r="J331" i="2"/>
  <c r="N331" i="2" s="1"/>
  <c r="Q330" i="2"/>
  <c r="P330" i="2"/>
  <c r="L330" i="2"/>
  <c r="J330" i="2"/>
  <c r="R329" i="2"/>
  <c r="Q329" i="2"/>
  <c r="P329" i="2"/>
  <c r="L329" i="2"/>
  <c r="J329" i="2"/>
  <c r="N329" i="2" s="1"/>
  <c r="Q328" i="2"/>
  <c r="P328" i="2"/>
  <c r="R328" i="2" s="1"/>
  <c r="L328" i="2"/>
  <c r="J328" i="2"/>
  <c r="Q327" i="2"/>
  <c r="P327" i="2"/>
  <c r="R327" i="2" s="1"/>
  <c r="L327" i="2"/>
  <c r="J327" i="2"/>
  <c r="Q326" i="2"/>
  <c r="P326" i="2"/>
  <c r="L326" i="2"/>
  <c r="J326" i="2"/>
  <c r="N326" i="2" s="1"/>
  <c r="Q325" i="2"/>
  <c r="P325" i="2"/>
  <c r="L325" i="2"/>
  <c r="J325" i="2"/>
  <c r="Q324" i="2"/>
  <c r="P324" i="2"/>
  <c r="R324" i="2" s="1"/>
  <c r="L324" i="2"/>
  <c r="J324" i="2"/>
  <c r="N324" i="2" s="1"/>
  <c r="Q323" i="2"/>
  <c r="P323" i="2"/>
  <c r="R323" i="2" s="1"/>
  <c r="N323" i="2"/>
  <c r="L323" i="2"/>
  <c r="J323" i="2"/>
  <c r="Q322" i="2"/>
  <c r="P322" i="2"/>
  <c r="R322" i="2" s="1"/>
  <c r="L322" i="2"/>
  <c r="J322" i="2"/>
  <c r="N322" i="2" s="1"/>
  <c r="Q321" i="2"/>
  <c r="P321" i="2"/>
  <c r="R321" i="2" s="1"/>
  <c r="N321" i="2"/>
  <c r="L321" i="2"/>
  <c r="J321" i="2"/>
  <c r="Q320" i="2"/>
  <c r="P320" i="2"/>
  <c r="L320" i="2"/>
  <c r="J320" i="2"/>
  <c r="Q319" i="2"/>
  <c r="P319" i="2"/>
  <c r="R319" i="2" s="1"/>
  <c r="L319" i="2"/>
  <c r="J319" i="2"/>
  <c r="R318" i="2"/>
  <c r="Q318" i="2"/>
  <c r="P318" i="2"/>
  <c r="L318" i="2"/>
  <c r="N318" i="2" s="1"/>
  <c r="J318" i="2"/>
  <c r="Q317" i="2"/>
  <c r="P317" i="2"/>
  <c r="L317" i="2"/>
  <c r="J317" i="2"/>
  <c r="N317" i="2" s="1"/>
  <c r="R316" i="2"/>
  <c r="Q316" i="2"/>
  <c r="P316" i="2"/>
  <c r="L316" i="2"/>
  <c r="J316" i="2"/>
  <c r="N316" i="2" s="1"/>
  <c r="Q315" i="2"/>
  <c r="P315" i="2"/>
  <c r="L315" i="2"/>
  <c r="J315" i="2"/>
  <c r="Q314" i="2"/>
  <c r="P314" i="2"/>
  <c r="L314" i="2"/>
  <c r="J314" i="2"/>
  <c r="Q313" i="2"/>
  <c r="P313" i="2"/>
  <c r="R313" i="2" s="1"/>
  <c r="L313" i="2"/>
  <c r="N313" i="2" s="1"/>
  <c r="J313" i="2"/>
  <c r="Q312" i="2"/>
  <c r="P312" i="2"/>
  <c r="L312" i="2"/>
  <c r="J312" i="2"/>
  <c r="Q311" i="2"/>
  <c r="P311" i="2"/>
  <c r="R311" i="2" s="1"/>
  <c r="L311" i="2"/>
  <c r="N311" i="2" s="1"/>
  <c r="J311" i="2"/>
  <c r="Q310" i="2"/>
  <c r="P310" i="2"/>
  <c r="L310" i="2"/>
  <c r="N310" i="2" s="1"/>
  <c r="J310" i="2"/>
  <c r="Q309" i="2"/>
  <c r="P309" i="2"/>
  <c r="R309" i="2" s="1"/>
  <c r="L309" i="2"/>
  <c r="J309" i="2"/>
  <c r="Q308" i="2"/>
  <c r="P308" i="2"/>
  <c r="R308" i="2" s="1"/>
  <c r="L308" i="2"/>
  <c r="J308" i="2"/>
  <c r="Q307" i="2"/>
  <c r="P307" i="2"/>
  <c r="R307" i="2" s="1"/>
  <c r="L307" i="2"/>
  <c r="J307" i="2"/>
  <c r="N307" i="2" s="1"/>
  <c r="Q306" i="2"/>
  <c r="P306" i="2"/>
  <c r="L306" i="2"/>
  <c r="J306" i="2"/>
  <c r="Q305" i="2"/>
  <c r="P305" i="2"/>
  <c r="L305" i="2"/>
  <c r="J305" i="2"/>
  <c r="N305" i="2" s="1"/>
  <c r="Q304" i="2"/>
  <c r="P304" i="2"/>
  <c r="R304" i="2" s="1"/>
  <c r="L304" i="2"/>
  <c r="J304" i="2"/>
  <c r="N304" i="2" s="1"/>
  <c r="R303" i="2"/>
  <c r="Q303" i="2"/>
  <c r="P303" i="2"/>
  <c r="L303" i="2"/>
  <c r="N303" i="2" s="1"/>
  <c r="J303" i="2"/>
  <c r="Q302" i="2"/>
  <c r="P302" i="2"/>
  <c r="R302" i="2" s="1"/>
  <c r="L302" i="2"/>
  <c r="N302" i="2" s="1"/>
  <c r="J302" i="2"/>
  <c r="Q301" i="2"/>
  <c r="P301" i="2"/>
  <c r="R301" i="2" s="1"/>
  <c r="L301" i="2"/>
  <c r="J301" i="2"/>
  <c r="N301" i="2" s="1"/>
  <c r="Q300" i="2"/>
  <c r="P300" i="2"/>
  <c r="N300" i="2"/>
  <c r="L300" i="2"/>
  <c r="J300" i="2"/>
  <c r="R299" i="2"/>
  <c r="Q299" i="2"/>
  <c r="P299" i="2"/>
  <c r="L299" i="2"/>
  <c r="J299" i="2"/>
  <c r="N299" i="2" s="1"/>
  <c r="Q298" i="2"/>
  <c r="P298" i="2"/>
  <c r="N298" i="2"/>
  <c r="L298" i="2"/>
  <c r="J298" i="2"/>
  <c r="Q297" i="2"/>
  <c r="P297" i="2"/>
  <c r="L297" i="2"/>
  <c r="J297" i="2"/>
  <c r="N297" i="2" s="1"/>
  <c r="Q296" i="2"/>
  <c r="R296" i="2" s="1"/>
  <c r="P296" i="2"/>
  <c r="N296" i="2"/>
  <c r="L296" i="2"/>
  <c r="J296" i="2"/>
  <c r="Q295" i="2"/>
  <c r="P295" i="2"/>
  <c r="L295" i="2"/>
  <c r="J295" i="2"/>
  <c r="R294" i="2"/>
  <c r="Q294" i="2"/>
  <c r="P294" i="2"/>
  <c r="L294" i="2"/>
  <c r="J294" i="2"/>
  <c r="Q293" i="2"/>
  <c r="P293" i="2"/>
  <c r="R293" i="2" s="1"/>
  <c r="L293" i="2"/>
  <c r="N293" i="2" s="1"/>
  <c r="J293" i="2"/>
  <c r="Q292" i="2"/>
  <c r="P292" i="2"/>
  <c r="R292" i="2" s="1"/>
  <c r="L292" i="2"/>
  <c r="J292" i="2"/>
  <c r="R291" i="2"/>
  <c r="Q291" i="2"/>
  <c r="P291" i="2"/>
  <c r="L291" i="2"/>
  <c r="N291" i="2" s="1"/>
  <c r="J291" i="2"/>
  <c r="Q290" i="2"/>
  <c r="P290" i="2"/>
  <c r="R290" i="2" s="1"/>
  <c r="L290" i="2"/>
  <c r="J290" i="2"/>
  <c r="R289" i="2"/>
  <c r="Q289" i="2"/>
  <c r="P289" i="2"/>
  <c r="L289" i="2"/>
  <c r="J289" i="2"/>
  <c r="N289" i="2" s="1"/>
  <c r="Q288" i="2"/>
  <c r="P288" i="2"/>
  <c r="L288" i="2"/>
  <c r="N288" i="2" s="1"/>
  <c r="J288" i="2"/>
  <c r="Q287" i="2"/>
  <c r="P287" i="2"/>
  <c r="R287" i="2" s="1"/>
  <c r="L287" i="2"/>
  <c r="J287" i="2"/>
  <c r="Q286" i="2"/>
  <c r="P286" i="2"/>
  <c r="R286" i="2" s="1"/>
  <c r="L286" i="2"/>
  <c r="J286" i="2"/>
  <c r="N286" i="2" s="1"/>
  <c r="Q285" i="2"/>
  <c r="P285" i="2"/>
  <c r="L285" i="2"/>
  <c r="J285" i="2"/>
  <c r="Q284" i="2"/>
  <c r="P284" i="2"/>
  <c r="R284" i="2" s="1"/>
  <c r="L284" i="2"/>
  <c r="J284" i="2"/>
  <c r="R283" i="2"/>
  <c r="Q283" i="2"/>
  <c r="P283" i="2"/>
  <c r="L283" i="2"/>
  <c r="N283" i="2" s="1"/>
  <c r="J283" i="2"/>
  <c r="Q282" i="2"/>
  <c r="P282" i="2"/>
  <c r="L282" i="2"/>
  <c r="J282" i="2"/>
  <c r="Q281" i="2"/>
  <c r="P281" i="2"/>
  <c r="R281" i="2" s="1"/>
  <c r="L281" i="2"/>
  <c r="J281" i="2"/>
  <c r="N281" i="2" s="1"/>
  <c r="Q280" i="2"/>
  <c r="P280" i="2"/>
  <c r="L280" i="2"/>
  <c r="J280" i="2"/>
  <c r="Q279" i="2"/>
  <c r="P279" i="2"/>
  <c r="R279" i="2" s="1"/>
  <c r="L279" i="2"/>
  <c r="J279" i="2"/>
  <c r="N279" i="2" s="1"/>
  <c r="Q278" i="2"/>
  <c r="P278" i="2"/>
  <c r="R278" i="2" s="1"/>
  <c r="L278" i="2"/>
  <c r="N278" i="2" s="1"/>
  <c r="J278" i="2"/>
  <c r="Q277" i="2"/>
  <c r="P277" i="2"/>
  <c r="L277" i="2"/>
  <c r="J277" i="2"/>
  <c r="N277" i="2" s="1"/>
  <c r="Q276" i="2"/>
  <c r="P276" i="2"/>
  <c r="R276" i="2" s="1"/>
  <c r="L276" i="2"/>
  <c r="J276" i="2"/>
  <c r="N276" i="2" s="1"/>
  <c r="Q275" i="2"/>
  <c r="P275" i="2"/>
  <c r="L275" i="2"/>
  <c r="J275" i="2"/>
  <c r="R274" i="2"/>
  <c r="Q274" i="2"/>
  <c r="P274" i="2"/>
  <c r="L274" i="2"/>
  <c r="J274" i="2"/>
  <c r="N274" i="2" s="1"/>
  <c r="Q273" i="2"/>
  <c r="P273" i="2"/>
  <c r="L273" i="2"/>
  <c r="N273" i="2" s="1"/>
  <c r="J273" i="2"/>
  <c r="Q272" i="2"/>
  <c r="P272" i="2"/>
  <c r="R272" i="2" s="1"/>
  <c r="L272" i="2"/>
  <c r="J272" i="2"/>
  <c r="Q271" i="2"/>
  <c r="P271" i="2"/>
  <c r="R271" i="2" s="1"/>
  <c r="N271" i="2"/>
  <c r="L271" i="2"/>
  <c r="J271" i="2"/>
  <c r="Q270" i="2"/>
  <c r="P270" i="2"/>
  <c r="L270" i="2"/>
  <c r="J270" i="2"/>
  <c r="N270" i="2" s="1"/>
  <c r="R269" i="2"/>
  <c r="Q269" i="2"/>
  <c r="P269" i="2"/>
  <c r="L269" i="2"/>
  <c r="J269" i="2"/>
  <c r="R268" i="2"/>
  <c r="Q268" i="2"/>
  <c r="P268" i="2"/>
  <c r="L268" i="2"/>
  <c r="J268" i="2"/>
  <c r="Q267" i="2"/>
  <c r="P267" i="2"/>
  <c r="L267" i="2"/>
  <c r="J267" i="2"/>
  <c r="N267" i="2" s="1"/>
  <c r="R266" i="2"/>
  <c r="Q266" i="2"/>
  <c r="P266" i="2"/>
  <c r="L266" i="2"/>
  <c r="J266" i="2"/>
  <c r="N266" i="2" s="1"/>
  <c r="Q265" i="2"/>
  <c r="P265" i="2"/>
  <c r="L265" i="2"/>
  <c r="J265" i="2"/>
  <c r="R264" i="2"/>
  <c r="Q264" i="2"/>
  <c r="P264" i="2"/>
  <c r="L264" i="2"/>
  <c r="J264" i="2"/>
  <c r="Q263" i="2"/>
  <c r="P263" i="2"/>
  <c r="R263" i="2" s="1"/>
  <c r="N263" i="2"/>
  <c r="L263" i="2"/>
  <c r="J263" i="2"/>
  <c r="Q262" i="2"/>
  <c r="P262" i="2"/>
  <c r="N262" i="2"/>
  <c r="L262" i="2"/>
  <c r="J262" i="2"/>
  <c r="Q261" i="2"/>
  <c r="P261" i="2"/>
  <c r="R261" i="2" s="1"/>
  <c r="N261" i="2"/>
  <c r="L261" i="2"/>
  <c r="J261" i="2"/>
  <c r="Q260" i="2"/>
  <c r="P260" i="2"/>
  <c r="N260" i="2"/>
  <c r="L260" i="2"/>
  <c r="J260" i="2"/>
  <c r="Q259" i="2"/>
  <c r="P259" i="2"/>
  <c r="R259" i="2" s="1"/>
  <c r="L259" i="2"/>
  <c r="J259" i="2"/>
  <c r="Q258" i="2"/>
  <c r="P258" i="2"/>
  <c r="N258" i="2"/>
  <c r="L258" i="2"/>
  <c r="J258" i="2"/>
  <c r="Q257" i="2"/>
  <c r="P257" i="2"/>
  <c r="R257" i="2" s="1"/>
  <c r="L257" i="2"/>
  <c r="J257" i="2"/>
  <c r="Q256" i="2"/>
  <c r="P256" i="2"/>
  <c r="N256" i="2"/>
  <c r="L256" i="2"/>
  <c r="J256" i="2"/>
  <c r="Q255" i="2"/>
  <c r="P255" i="2"/>
  <c r="L255" i="2"/>
  <c r="J255" i="2"/>
  <c r="N255" i="2" s="1"/>
  <c r="R254" i="2"/>
  <c r="Q254" i="2"/>
  <c r="P254" i="2"/>
  <c r="L254" i="2"/>
  <c r="J254" i="2"/>
  <c r="Q253" i="2"/>
  <c r="P253" i="2"/>
  <c r="R253" i="2" s="1"/>
  <c r="L253" i="2"/>
  <c r="J253" i="2"/>
  <c r="Q252" i="2"/>
  <c r="P252" i="2"/>
  <c r="L252" i="2"/>
  <c r="N252" i="2" s="1"/>
  <c r="J252" i="2"/>
  <c r="Q251" i="2"/>
  <c r="P251" i="2"/>
  <c r="L251" i="2"/>
  <c r="J251" i="2"/>
  <c r="N251" i="2" s="1"/>
  <c r="Q250" i="2"/>
  <c r="P250" i="2"/>
  <c r="N250" i="2"/>
  <c r="L250" i="2"/>
  <c r="J250" i="2"/>
  <c r="Q249" i="2"/>
  <c r="P249" i="2"/>
  <c r="R249" i="2" s="1"/>
  <c r="L249" i="2"/>
  <c r="J249" i="2"/>
  <c r="Q248" i="2"/>
  <c r="P248" i="2"/>
  <c r="N248" i="2"/>
  <c r="L248" i="2"/>
  <c r="J248" i="2"/>
  <c r="Q247" i="2"/>
  <c r="P247" i="2"/>
  <c r="L247" i="2"/>
  <c r="J247" i="2"/>
  <c r="N247" i="2" s="1"/>
  <c r="Q246" i="2"/>
  <c r="P246" i="2"/>
  <c r="R246" i="2" s="1"/>
  <c r="N246" i="2"/>
  <c r="L246" i="2"/>
  <c r="J246" i="2"/>
  <c r="Q245" i="2"/>
  <c r="P245" i="2"/>
  <c r="L245" i="2"/>
  <c r="J245" i="2"/>
  <c r="N245" i="2" s="1"/>
  <c r="Q244" i="2"/>
  <c r="P244" i="2"/>
  <c r="R244" i="2" s="1"/>
  <c r="L244" i="2"/>
  <c r="J244" i="2"/>
  <c r="N244" i="2" s="1"/>
  <c r="Q243" i="2"/>
  <c r="P243" i="2"/>
  <c r="L243" i="2"/>
  <c r="J243" i="2"/>
  <c r="Q242" i="2"/>
  <c r="P242" i="2"/>
  <c r="L242" i="2"/>
  <c r="J242" i="2"/>
  <c r="N242" i="2" s="1"/>
  <c r="Q241" i="2"/>
  <c r="P241" i="2"/>
  <c r="N241" i="2"/>
  <c r="L241" i="2"/>
  <c r="J241" i="2"/>
  <c r="Q240" i="2"/>
  <c r="P240" i="2"/>
  <c r="R240" i="2" s="1"/>
  <c r="L240" i="2"/>
  <c r="J240" i="2"/>
  <c r="N240" i="2" s="1"/>
  <c r="Q239" i="2"/>
  <c r="P239" i="2"/>
  <c r="R239" i="2" s="1"/>
  <c r="L239" i="2"/>
  <c r="J239" i="2"/>
  <c r="Q238" i="2"/>
  <c r="P238" i="2"/>
  <c r="R238" i="2" s="1"/>
  <c r="L238" i="2"/>
  <c r="N238" i="2" s="1"/>
  <c r="J238" i="2"/>
  <c r="Q237" i="2"/>
  <c r="P237" i="2"/>
  <c r="R237" i="2" s="1"/>
  <c r="L237" i="2"/>
  <c r="N237" i="2" s="1"/>
  <c r="J237" i="2"/>
  <c r="Q236" i="2"/>
  <c r="P236" i="2"/>
  <c r="L236" i="2"/>
  <c r="J236" i="2"/>
  <c r="Q235" i="2"/>
  <c r="P235" i="2"/>
  <c r="R235" i="2" s="1"/>
  <c r="L235" i="2"/>
  <c r="N235" i="2" s="1"/>
  <c r="J235" i="2"/>
  <c r="Q234" i="2"/>
  <c r="P234" i="2"/>
  <c r="R234" i="2" s="1"/>
  <c r="L234" i="2"/>
  <c r="J234" i="2"/>
  <c r="Q233" i="2"/>
  <c r="R233" i="2" s="1"/>
  <c r="P233" i="2"/>
  <c r="L233" i="2"/>
  <c r="J233" i="2"/>
  <c r="Q232" i="2"/>
  <c r="P232" i="2"/>
  <c r="L232" i="2"/>
  <c r="J232" i="2"/>
  <c r="N232" i="2" s="1"/>
  <c r="R231" i="2"/>
  <c r="Q231" i="2"/>
  <c r="P231" i="2"/>
  <c r="L231" i="2"/>
  <c r="J231" i="2"/>
  <c r="N231" i="2" s="1"/>
  <c r="Q230" i="2"/>
  <c r="P230" i="2"/>
  <c r="L230" i="2"/>
  <c r="J230" i="2"/>
  <c r="N230" i="2" s="1"/>
  <c r="R229" i="2"/>
  <c r="Q229" i="2"/>
  <c r="P229" i="2"/>
  <c r="L229" i="2"/>
  <c r="J229" i="2"/>
  <c r="N229" i="2" s="1"/>
  <c r="R228" i="2"/>
  <c r="Q228" i="2"/>
  <c r="P228" i="2"/>
  <c r="L228" i="2"/>
  <c r="J228" i="2"/>
  <c r="Q227" i="2"/>
  <c r="P227" i="2"/>
  <c r="L227" i="2"/>
  <c r="J227" i="2"/>
  <c r="Q226" i="2"/>
  <c r="R226" i="2" s="1"/>
  <c r="P226" i="2"/>
  <c r="L226" i="2"/>
  <c r="J226" i="2"/>
  <c r="N226" i="2" s="1"/>
  <c r="Q225" i="2"/>
  <c r="P225" i="2"/>
  <c r="L225" i="2"/>
  <c r="N225" i="2" s="1"/>
  <c r="J225" i="2"/>
  <c r="Q224" i="2"/>
  <c r="R224" i="2" s="1"/>
  <c r="P224" i="2"/>
  <c r="L224" i="2"/>
  <c r="J224" i="2"/>
  <c r="Q223" i="2"/>
  <c r="P223" i="2"/>
  <c r="R223" i="2" s="1"/>
  <c r="L223" i="2"/>
  <c r="N223" i="2" s="1"/>
  <c r="J223" i="2"/>
  <c r="Q222" i="2"/>
  <c r="P222" i="2"/>
  <c r="N222" i="2"/>
  <c r="L222" i="2"/>
  <c r="J222" i="2"/>
  <c r="Q221" i="2"/>
  <c r="P221" i="2"/>
  <c r="L221" i="2"/>
  <c r="N221" i="2" s="1"/>
  <c r="J221" i="2"/>
  <c r="Q220" i="2"/>
  <c r="P220" i="2"/>
  <c r="L220" i="2"/>
  <c r="J220" i="2"/>
  <c r="Q219" i="2"/>
  <c r="P219" i="2"/>
  <c r="R219" i="2" s="1"/>
  <c r="L219" i="2"/>
  <c r="J219" i="2"/>
  <c r="N219" i="2" s="1"/>
  <c r="R218" i="2"/>
  <c r="Q218" i="2"/>
  <c r="P218" i="2"/>
  <c r="L218" i="2"/>
  <c r="N218" i="2" s="1"/>
  <c r="J218" i="2"/>
  <c r="Q217" i="2"/>
  <c r="P217" i="2"/>
  <c r="L217" i="2"/>
  <c r="J217" i="2"/>
  <c r="N217" i="2" s="1"/>
  <c r="Q216" i="2"/>
  <c r="R216" i="2" s="1"/>
  <c r="P216" i="2"/>
  <c r="N216" i="2"/>
  <c r="L216" i="2"/>
  <c r="J216" i="2"/>
  <c r="Q215" i="2"/>
  <c r="P215" i="2"/>
  <c r="L215" i="2"/>
  <c r="J215" i="2"/>
  <c r="Q214" i="2"/>
  <c r="R214" i="2" s="1"/>
  <c r="P214" i="2"/>
  <c r="L214" i="2"/>
  <c r="J214" i="2"/>
  <c r="R213" i="2"/>
  <c r="Q213" i="2"/>
  <c r="P213" i="2"/>
  <c r="L213" i="2"/>
  <c r="J213" i="2"/>
  <c r="N213" i="2" s="1"/>
  <c r="Q212" i="2"/>
  <c r="P212" i="2"/>
  <c r="R212" i="2" s="1"/>
  <c r="L212" i="2"/>
  <c r="J212" i="2"/>
  <c r="R211" i="2"/>
  <c r="Q211" i="2"/>
  <c r="P211" i="2"/>
  <c r="L211" i="2"/>
  <c r="J211" i="2"/>
  <c r="N211" i="2" s="1"/>
  <c r="Q210" i="2"/>
  <c r="P210" i="2"/>
  <c r="R210" i="2" s="1"/>
  <c r="N210" i="2"/>
  <c r="L210" i="2"/>
  <c r="J210" i="2"/>
  <c r="Q209" i="2"/>
  <c r="P209" i="2"/>
  <c r="R209" i="2" s="1"/>
  <c r="L209" i="2"/>
  <c r="J209" i="2"/>
  <c r="N209" i="2" s="1"/>
  <c r="Q208" i="2"/>
  <c r="P208" i="2"/>
  <c r="R208" i="2" s="1"/>
  <c r="L208" i="2"/>
  <c r="N208" i="2" s="1"/>
  <c r="J208" i="2"/>
  <c r="Q207" i="2"/>
  <c r="P207" i="2"/>
  <c r="L207" i="2"/>
  <c r="J207" i="2"/>
  <c r="N207" i="2" s="1"/>
  <c r="Q206" i="2"/>
  <c r="P206" i="2"/>
  <c r="R206" i="2" s="1"/>
  <c r="L206" i="2"/>
  <c r="J206" i="2"/>
  <c r="N206" i="2" s="1"/>
  <c r="Q205" i="2"/>
  <c r="P205" i="2"/>
  <c r="L205" i="2"/>
  <c r="J205" i="2"/>
  <c r="N205" i="2" s="1"/>
  <c r="Q204" i="2"/>
  <c r="P204" i="2"/>
  <c r="L204" i="2"/>
  <c r="J204" i="2"/>
  <c r="Q203" i="2"/>
  <c r="P203" i="2"/>
  <c r="L203" i="2"/>
  <c r="N203" i="2" s="1"/>
  <c r="J203" i="2"/>
  <c r="Q202" i="2"/>
  <c r="P202" i="2"/>
  <c r="R202" i="2" s="1"/>
  <c r="N202" i="2"/>
  <c r="L202" i="2"/>
  <c r="J202" i="2"/>
  <c r="Q201" i="2"/>
  <c r="P201" i="2"/>
  <c r="N201" i="2"/>
  <c r="L201" i="2"/>
  <c r="J201" i="2"/>
  <c r="Q200" i="2"/>
  <c r="P200" i="2"/>
  <c r="R200" i="2" s="1"/>
  <c r="L200" i="2"/>
  <c r="J200" i="2"/>
  <c r="Q199" i="2"/>
  <c r="R199" i="2" s="1"/>
  <c r="P199" i="2"/>
  <c r="L199" i="2"/>
  <c r="J199" i="2"/>
  <c r="Q198" i="2"/>
  <c r="P198" i="2"/>
  <c r="R198" i="2" s="1"/>
  <c r="L198" i="2"/>
  <c r="J198" i="2"/>
  <c r="Q197" i="2"/>
  <c r="P197" i="2"/>
  <c r="R197" i="2" s="1"/>
  <c r="L197" i="2"/>
  <c r="N197" i="2" s="1"/>
  <c r="J197" i="2"/>
  <c r="Q196" i="2"/>
  <c r="P196" i="2"/>
  <c r="R196" i="2" s="1"/>
  <c r="L196" i="2"/>
  <c r="J196" i="2"/>
  <c r="N196" i="2" s="1"/>
  <c r="Q195" i="2"/>
  <c r="P195" i="2"/>
  <c r="N195" i="2"/>
  <c r="L195" i="2"/>
  <c r="J195" i="2"/>
  <c r="Q194" i="2"/>
  <c r="P194" i="2"/>
  <c r="L194" i="2"/>
  <c r="J194" i="2"/>
  <c r="N194" i="2" s="1"/>
  <c r="Q193" i="2"/>
  <c r="R193" i="2" s="1"/>
  <c r="P193" i="2"/>
  <c r="L193" i="2"/>
  <c r="N193" i="2" s="1"/>
  <c r="J193" i="2"/>
  <c r="Q192" i="2"/>
  <c r="P192" i="2"/>
  <c r="R192" i="2" s="1"/>
  <c r="L192" i="2"/>
  <c r="J192" i="2"/>
  <c r="N192" i="2" s="1"/>
  <c r="Q191" i="2"/>
  <c r="P191" i="2"/>
  <c r="R191" i="2" s="1"/>
  <c r="N191" i="2"/>
  <c r="L191" i="2"/>
  <c r="J191" i="2"/>
  <c r="Q190" i="2"/>
  <c r="P190" i="2"/>
  <c r="R190" i="2" s="1"/>
  <c r="L190" i="2"/>
  <c r="J190" i="2"/>
  <c r="N190" i="2" s="1"/>
  <c r="Q189" i="2"/>
  <c r="R189" i="2" s="1"/>
  <c r="P189" i="2"/>
  <c r="L189" i="2"/>
  <c r="J189" i="2"/>
  <c r="Q188" i="2"/>
  <c r="P188" i="2"/>
  <c r="R188" i="2" s="1"/>
  <c r="L188" i="2"/>
  <c r="J188" i="2"/>
  <c r="N188" i="2" s="1"/>
  <c r="Q187" i="2"/>
  <c r="P187" i="2"/>
  <c r="R187" i="2" s="1"/>
  <c r="L187" i="2"/>
  <c r="J187" i="2"/>
  <c r="Q186" i="2"/>
  <c r="P186" i="2"/>
  <c r="L186" i="2"/>
  <c r="J186" i="2"/>
  <c r="N186" i="2" s="1"/>
  <c r="Q185" i="2"/>
  <c r="P185" i="2"/>
  <c r="L185" i="2"/>
  <c r="J185" i="2"/>
  <c r="Q184" i="2"/>
  <c r="P184" i="2"/>
  <c r="R184" i="2" s="1"/>
  <c r="L184" i="2"/>
  <c r="J184" i="2"/>
  <c r="Q183" i="2"/>
  <c r="P183" i="2"/>
  <c r="R183" i="2" s="1"/>
  <c r="L183" i="2"/>
  <c r="N183" i="2" s="1"/>
  <c r="J183" i="2"/>
  <c r="Q182" i="2"/>
  <c r="P182" i="2"/>
  <c r="L182" i="2"/>
  <c r="J182" i="2"/>
  <c r="Q181" i="2"/>
  <c r="P181" i="2"/>
  <c r="L181" i="2"/>
  <c r="J181" i="2"/>
  <c r="N181" i="2" s="1"/>
  <c r="Q180" i="2"/>
  <c r="P180" i="2"/>
  <c r="L180" i="2"/>
  <c r="J180" i="2"/>
  <c r="N180" i="2" s="1"/>
  <c r="Q179" i="2"/>
  <c r="P179" i="2"/>
  <c r="L179" i="2"/>
  <c r="J179" i="2"/>
  <c r="Q178" i="2"/>
  <c r="P178" i="2"/>
  <c r="R178" i="2" s="1"/>
  <c r="L178" i="2"/>
  <c r="N178" i="2" s="1"/>
  <c r="J178" i="2"/>
  <c r="Q177" i="2"/>
  <c r="P177" i="2"/>
  <c r="N177" i="2"/>
  <c r="L177" i="2"/>
  <c r="J177" i="2"/>
  <c r="Q176" i="2"/>
  <c r="P176" i="2"/>
  <c r="N176" i="2"/>
  <c r="L176" i="2"/>
  <c r="J176" i="2"/>
  <c r="Q175" i="2"/>
  <c r="P175" i="2"/>
  <c r="R175" i="2" s="1"/>
  <c r="L175" i="2"/>
  <c r="J175" i="2"/>
  <c r="Q174" i="2"/>
  <c r="P174" i="2"/>
  <c r="R174" i="2" s="1"/>
  <c r="L174" i="2"/>
  <c r="J174" i="2"/>
  <c r="Q173" i="2"/>
  <c r="P173" i="2"/>
  <c r="R173" i="2" s="1"/>
  <c r="L173" i="2"/>
  <c r="J173" i="2"/>
  <c r="Q172" i="2"/>
  <c r="P172" i="2"/>
  <c r="L172" i="2"/>
  <c r="N172" i="2" s="1"/>
  <c r="J172" i="2"/>
  <c r="Q171" i="2"/>
  <c r="P171" i="2"/>
  <c r="R171" i="2" s="1"/>
  <c r="L171" i="2"/>
  <c r="J171" i="2"/>
  <c r="Q170" i="2"/>
  <c r="R170" i="2" s="1"/>
  <c r="P170" i="2"/>
  <c r="N170" i="2"/>
  <c r="L170" i="2"/>
  <c r="J170" i="2"/>
  <c r="Q169" i="2"/>
  <c r="P169" i="2"/>
  <c r="R169" i="2" s="1"/>
  <c r="L169" i="2"/>
  <c r="J169" i="2"/>
  <c r="Q168" i="2"/>
  <c r="P168" i="2"/>
  <c r="L168" i="2"/>
  <c r="N168" i="2" s="1"/>
  <c r="J168" i="2"/>
  <c r="Q167" i="2"/>
  <c r="P167" i="2"/>
  <c r="R167" i="2" s="1"/>
  <c r="L167" i="2"/>
  <c r="J167" i="2"/>
  <c r="R166" i="2"/>
  <c r="Q166" i="2"/>
  <c r="P166" i="2"/>
  <c r="N166" i="2"/>
  <c r="L166" i="2"/>
  <c r="J166" i="2"/>
  <c r="Q165" i="2"/>
  <c r="P165" i="2"/>
  <c r="R165" i="2" s="1"/>
  <c r="N165" i="2"/>
  <c r="L165" i="2"/>
  <c r="J165" i="2"/>
  <c r="R164" i="2"/>
  <c r="Q164" i="2"/>
  <c r="P164" i="2"/>
  <c r="L164" i="2"/>
  <c r="J164" i="2"/>
  <c r="N164" i="2" s="1"/>
  <c r="Q163" i="2"/>
  <c r="P163" i="2"/>
  <c r="R163" i="2" s="1"/>
  <c r="N163" i="2"/>
  <c r="L163" i="2"/>
  <c r="J163" i="2"/>
  <c r="Q162" i="2"/>
  <c r="P162" i="2"/>
  <c r="L162" i="2"/>
  <c r="J162" i="2"/>
  <c r="Q161" i="2"/>
  <c r="P161" i="2"/>
  <c r="L161" i="2"/>
  <c r="J161" i="2"/>
  <c r="Q160" i="2"/>
  <c r="P160" i="2"/>
  <c r="L160" i="2"/>
  <c r="J160" i="2"/>
  <c r="N160" i="2" s="1"/>
  <c r="R159" i="2"/>
  <c r="Q159" i="2"/>
  <c r="P159" i="2"/>
  <c r="L159" i="2"/>
  <c r="J159" i="2"/>
  <c r="N159" i="2" s="1"/>
  <c r="Q158" i="2"/>
  <c r="P158" i="2"/>
  <c r="L158" i="2"/>
  <c r="J158" i="2"/>
  <c r="N158" i="2" s="1"/>
  <c r="Q157" i="2"/>
  <c r="P157" i="2"/>
  <c r="L157" i="2"/>
  <c r="J157" i="2"/>
  <c r="Q156" i="2"/>
  <c r="P156" i="2"/>
  <c r="R156" i="2" s="1"/>
  <c r="N156" i="2"/>
  <c r="L156" i="2"/>
  <c r="J156" i="2"/>
  <c r="Q155" i="2"/>
  <c r="P155" i="2"/>
  <c r="R155" i="2" s="1"/>
  <c r="L155" i="2"/>
  <c r="J155" i="2"/>
  <c r="Q154" i="2"/>
  <c r="P154" i="2"/>
  <c r="R154" i="2" s="1"/>
  <c r="L154" i="2"/>
  <c r="J154" i="2"/>
  <c r="Q153" i="2"/>
  <c r="P153" i="2"/>
  <c r="L153" i="2"/>
  <c r="N153" i="2" s="1"/>
  <c r="J153" i="2"/>
  <c r="Q152" i="2"/>
  <c r="P152" i="2"/>
  <c r="L152" i="2"/>
  <c r="J152" i="2"/>
  <c r="Q151" i="2"/>
  <c r="P151" i="2"/>
  <c r="R151" i="2" s="1"/>
  <c r="L151" i="2"/>
  <c r="J151" i="2"/>
  <c r="R150" i="2"/>
  <c r="Q150" i="2"/>
  <c r="P150" i="2"/>
  <c r="L150" i="2"/>
  <c r="J150" i="2"/>
  <c r="N150" i="2" s="1"/>
  <c r="Q149" i="2"/>
  <c r="P149" i="2"/>
  <c r="R149" i="2" s="1"/>
  <c r="L149" i="2"/>
  <c r="J149" i="2"/>
  <c r="R148" i="2"/>
  <c r="Q148" i="2"/>
  <c r="P148" i="2"/>
  <c r="L148" i="2"/>
  <c r="J148" i="2"/>
  <c r="Q147" i="2"/>
  <c r="P147" i="2"/>
  <c r="R147" i="2" s="1"/>
  <c r="L147" i="2"/>
  <c r="J147" i="2"/>
  <c r="Q146" i="2"/>
  <c r="P146" i="2"/>
  <c r="N146" i="2"/>
  <c r="L146" i="2"/>
  <c r="J146" i="2"/>
  <c r="Q145" i="2"/>
  <c r="P145" i="2"/>
  <c r="L145" i="2"/>
  <c r="J145" i="2"/>
  <c r="N145" i="2" s="1"/>
  <c r="Q144" i="2"/>
  <c r="R144" i="2" s="1"/>
  <c r="P144" i="2"/>
  <c r="L144" i="2"/>
  <c r="J144" i="2"/>
  <c r="Q143" i="2"/>
  <c r="R143" i="2" s="1"/>
  <c r="P143" i="2"/>
  <c r="L143" i="2"/>
  <c r="J143" i="2"/>
  <c r="N143" i="2" s="1"/>
  <c r="Q142" i="2"/>
  <c r="P142" i="2"/>
  <c r="R142" i="2" s="1"/>
  <c r="L142" i="2"/>
  <c r="N142" i="2" s="1"/>
  <c r="J142" i="2"/>
  <c r="R141" i="2"/>
  <c r="Q141" i="2"/>
  <c r="P141" i="2"/>
  <c r="N141" i="2"/>
  <c r="L141" i="2"/>
  <c r="J141" i="2"/>
  <c r="Q140" i="2"/>
  <c r="P140" i="2"/>
  <c r="R140" i="2" s="1"/>
  <c r="N140" i="2"/>
  <c r="L140" i="2"/>
  <c r="J140" i="2"/>
  <c r="Q139" i="2"/>
  <c r="R139" i="2" s="1"/>
  <c r="P139" i="2"/>
  <c r="L139" i="2"/>
  <c r="J139" i="2"/>
  <c r="Q138" i="2"/>
  <c r="P138" i="2"/>
  <c r="N138" i="2"/>
  <c r="L138" i="2"/>
  <c r="J138" i="2"/>
  <c r="Q137" i="2"/>
  <c r="P137" i="2"/>
  <c r="L137" i="2"/>
  <c r="J137" i="2"/>
  <c r="Q136" i="2"/>
  <c r="P136" i="2"/>
  <c r="L136" i="2"/>
  <c r="J136" i="2"/>
  <c r="N136" i="2" s="1"/>
  <c r="Q135" i="2"/>
  <c r="P135" i="2"/>
  <c r="L135" i="2"/>
  <c r="J135" i="2"/>
  <c r="R134" i="2"/>
  <c r="Q134" i="2"/>
  <c r="P134" i="2"/>
  <c r="L134" i="2"/>
  <c r="J134" i="2"/>
  <c r="N134" i="2" s="1"/>
  <c r="Q133" i="2"/>
  <c r="P133" i="2"/>
  <c r="L133" i="2"/>
  <c r="J133" i="2"/>
  <c r="Q132" i="2"/>
  <c r="P132" i="2"/>
  <c r="L132" i="2"/>
  <c r="J132" i="2"/>
  <c r="N132" i="2" s="1"/>
  <c r="Q131" i="2"/>
  <c r="P131" i="2"/>
  <c r="N131" i="2"/>
  <c r="L131" i="2"/>
  <c r="J131" i="2"/>
  <c r="Q130" i="2"/>
  <c r="P130" i="2"/>
  <c r="L130" i="2"/>
  <c r="J130" i="2"/>
  <c r="N130" i="2" s="1"/>
  <c r="Q129" i="2"/>
  <c r="P129" i="2"/>
  <c r="R129" i="2" s="1"/>
  <c r="L129" i="2"/>
  <c r="J129" i="2"/>
  <c r="Q128" i="2"/>
  <c r="P128" i="2"/>
  <c r="L128" i="2"/>
  <c r="J128" i="2"/>
  <c r="Q127" i="2"/>
  <c r="P127" i="2"/>
  <c r="L127" i="2"/>
  <c r="J127" i="2"/>
  <c r="N127" i="2" s="1"/>
  <c r="Q126" i="2"/>
  <c r="P126" i="2"/>
  <c r="N126" i="2"/>
  <c r="L126" i="2"/>
  <c r="J126" i="2"/>
  <c r="Q125" i="2"/>
  <c r="P125" i="2"/>
  <c r="R125" i="2" s="1"/>
  <c r="L125" i="2"/>
  <c r="J125" i="2"/>
  <c r="N125" i="2" s="1"/>
  <c r="Q124" i="2"/>
  <c r="P124" i="2"/>
  <c r="R124" i="2" s="1"/>
  <c r="L124" i="2"/>
  <c r="J124" i="2"/>
  <c r="Q123" i="2"/>
  <c r="P123" i="2"/>
  <c r="R123" i="2" s="1"/>
  <c r="L123" i="2"/>
  <c r="J123" i="2"/>
  <c r="N123" i="2" s="1"/>
  <c r="Q122" i="2"/>
  <c r="P122" i="2"/>
  <c r="R122" i="2" s="1"/>
  <c r="L122" i="2"/>
  <c r="J122" i="2"/>
  <c r="Q121" i="2"/>
  <c r="P121" i="2"/>
  <c r="R121" i="2" s="1"/>
  <c r="L121" i="2"/>
  <c r="J121" i="2"/>
  <c r="Q120" i="2"/>
  <c r="P120" i="2"/>
  <c r="R120" i="2" s="1"/>
  <c r="L120" i="2"/>
  <c r="N120" i="2" s="1"/>
  <c r="J120" i="2"/>
  <c r="Q119" i="2"/>
  <c r="R119" i="2" s="1"/>
  <c r="P119" i="2"/>
  <c r="L119" i="2"/>
  <c r="J119" i="2"/>
  <c r="Q118" i="2"/>
  <c r="P118" i="2"/>
  <c r="R118" i="2" s="1"/>
  <c r="L118" i="2"/>
  <c r="J118" i="2"/>
  <c r="Q117" i="2"/>
  <c r="P117" i="2"/>
  <c r="R117" i="2" s="1"/>
  <c r="L117" i="2"/>
  <c r="J117" i="2"/>
  <c r="Q116" i="2"/>
  <c r="P116" i="2"/>
  <c r="R116" i="2" s="1"/>
  <c r="N116" i="2"/>
  <c r="L116" i="2"/>
  <c r="J116" i="2"/>
  <c r="Q115" i="2"/>
  <c r="P115" i="2"/>
  <c r="R115" i="2" s="1"/>
  <c r="N115" i="2"/>
  <c r="L115" i="2"/>
  <c r="J115" i="2"/>
  <c r="Q114" i="2"/>
  <c r="P114" i="2"/>
  <c r="L114" i="2"/>
  <c r="J114" i="2"/>
  <c r="Q113" i="2"/>
  <c r="P113" i="2"/>
  <c r="R113" i="2" s="1"/>
  <c r="L113" i="2"/>
  <c r="N113" i="2" s="1"/>
  <c r="J113" i="2"/>
  <c r="Q112" i="2"/>
  <c r="P112" i="2"/>
  <c r="L112" i="2"/>
  <c r="J112" i="2"/>
  <c r="Q111" i="2"/>
  <c r="P111" i="2"/>
  <c r="R111" i="2" s="1"/>
  <c r="L111" i="2"/>
  <c r="J111" i="2"/>
  <c r="N111" i="2" s="1"/>
  <c r="Q110" i="2"/>
  <c r="P110" i="2"/>
  <c r="L110" i="2"/>
  <c r="N110" i="2" s="1"/>
  <c r="J110" i="2"/>
  <c r="Q109" i="2"/>
  <c r="P109" i="2"/>
  <c r="R109" i="2" s="1"/>
  <c r="L109" i="2"/>
  <c r="J109" i="2"/>
  <c r="N109" i="2" s="1"/>
  <c r="Q108" i="2"/>
  <c r="P108" i="2"/>
  <c r="R108" i="2" s="1"/>
  <c r="L108" i="2"/>
  <c r="N108" i="2" s="1"/>
  <c r="J108" i="2"/>
  <c r="Q107" i="2"/>
  <c r="P107" i="2"/>
  <c r="R107" i="2" s="1"/>
  <c r="L107" i="2"/>
  <c r="J107" i="2"/>
  <c r="N107" i="2" s="1"/>
  <c r="Q106" i="2"/>
  <c r="P106" i="2"/>
  <c r="R106" i="2" s="1"/>
  <c r="L106" i="2"/>
  <c r="N106" i="2" s="1"/>
  <c r="J106" i="2"/>
  <c r="Q105" i="2"/>
  <c r="P105" i="2"/>
  <c r="L105" i="2"/>
  <c r="J105" i="2"/>
  <c r="Q104" i="2"/>
  <c r="P104" i="2"/>
  <c r="L104" i="2"/>
  <c r="J104" i="2"/>
  <c r="Q103" i="2"/>
  <c r="P103" i="2"/>
  <c r="L103" i="2"/>
  <c r="J103" i="2"/>
  <c r="Q102" i="2"/>
  <c r="P102" i="2"/>
  <c r="L102" i="2"/>
  <c r="J102" i="2"/>
  <c r="N102" i="2" s="1"/>
  <c r="Q101" i="2"/>
  <c r="P101" i="2"/>
  <c r="N101" i="2"/>
  <c r="L101" i="2"/>
  <c r="J101" i="2"/>
  <c r="Q100" i="2"/>
  <c r="P100" i="2"/>
  <c r="R100" i="2" s="1"/>
  <c r="L100" i="2"/>
  <c r="J100" i="2"/>
  <c r="N100" i="2" s="1"/>
  <c r="Q99" i="2"/>
  <c r="R99" i="2" s="1"/>
  <c r="P99" i="2"/>
  <c r="L99" i="2"/>
  <c r="J99" i="2"/>
  <c r="Q98" i="2"/>
  <c r="P98" i="2"/>
  <c r="R98" i="2" s="1"/>
  <c r="L98" i="2"/>
  <c r="J98" i="2"/>
  <c r="Q97" i="2"/>
  <c r="P97" i="2"/>
  <c r="L97" i="2"/>
  <c r="N97" i="2" s="1"/>
  <c r="J97" i="2"/>
  <c r="Q96" i="2"/>
  <c r="P96" i="2"/>
  <c r="R96" i="2" s="1"/>
  <c r="L96" i="2"/>
  <c r="J96" i="2"/>
  <c r="N96" i="2" s="1"/>
  <c r="R95" i="2"/>
  <c r="Q95" i="2"/>
  <c r="P95" i="2"/>
  <c r="N95" i="2"/>
  <c r="L95" i="2"/>
  <c r="J95" i="2"/>
  <c r="Q94" i="2"/>
  <c r="P94" i="2"/>
  <c r="L94" i="2"/>
  <c r="J94" i="2"/>
  <c r="N94" i="2" s="1"/>
  <c r="R93" i="2"/>
  <c r="Q93" i="2"/>
  <c r="P93" i="2"/>
  <c r="L93" i="2"/>
  <c r="J93" i="2"/>
  <c r="Q92" i="2"/>
  <c r="P92" i="2"/>
  <c r="L92" i="2"/>
  <c r="J92" i="2"/>
  <c r="R91" i="2"/>
  <c r="Q91" i="2"/>
  <c r="P91" i="2"/>
  <c r="L91" i="2"/>
  <c r="J91" i="2"/>
  <c r="N91" i="2" s="1"/>
  <c r="Q90" i="2"/>
  <c r="P90" i="2"/>
  <c r="L90" i="2"/>
  <c r="J90" i="2"/>
  <c r="N90" i="2" s="1"/>
  <c r="Q89" i="2"/>
  <c r="R89" i="2" s="1"/>
  <c r="P89" i="2"/>
  <c r="L89" i="2"/>
  <c r="J89" i="2"/>
  <c r="Q88" i="2"/>
  <c r="P88" i="2"/>
  <c r="L88" i="2"/>
  <c r="J88" i="2"/>
  <c r="Q87" i="2"/>
  <c r="P87" i="2"/>
  <c r="L87" i="2"/>
  <c r="J87" i="2"/>
  <c r="R86" i="2"/>
  <c r="Q86" i="2"/>
  <c r="P86" i="2"/>
  <c r="L86" i="2"/>
  <c r="J86" i="2"/>
  <c r="Q85" i="2"/>
  <c r="P85" i="2"/>
  <c r="R85" i="2" s="1"/>
  <c r="L85" i="2"/>
  <c r="J85" i="2"/>
  <c r="N85" i="2" s="1"/>
  <c r="Q84" i="2"/>
  <c r="R84" i="2" s="1"/>
  <c r="P84" i="2"/>
  <c r="L84" i="2"/>
  <c r="J84" i="2"/>
  <c r="N84" i="2" s="1"/>
  <c r="Q83" i="2"/>
  <c r="P83" i="2"/>
  <c r="R83" i="2" s="1"/>
  <c r="L83" i="2"/>
  <c r="J83" i="2"/>
  <c r="N83" i="2" s="1"/>
  <c r="Q82" i="2"/>
  <c r="P82" i="2"/>
  <c r="R82" i="2" s="1"/>
  <c r="N82" i="2"/>
  <c r="L82" i="2"/>
  <c r="J82" i="2"/>
  <c r="Q81" i="2"/>
  <c r="P81" i="2"/>
  <c r="L81" i="2"/>
  <c r="J81" i="2"/>
  <c r="N81" i="2" s="1"/>
  <c r="Q80" i="2"/>
  <c r="P80" i="2"/>
  <c r="R80" i="2" s="1"/>
  <c r="L80" i="2"/>
  <c r="J80" i="2"/>
  <c r="R79" i="2"/>
  <c r="Q79" i="2"/>
  <c r="P79" i="2"/>
  <c r="L79" i="2"/>
  <c r="J79" i="2"/>
  <c r="Q78" i="2"/>
  <c r="P78" i="2"/>
  <c r="R78" i="2" s="1"/>
  <c r="L78" i="2"/>
  <c r="N78" i="2" s="1"/>
  <c r="J78" i="2"/>
  <c r="Q77" i="2"/>
  <c r="P77" i="2"/>
  <c r="R77" i="2" s="1"/>
  <c r="L77" i="2"/>
  <c r="J77" i="2"/>
  <c r="Q76" i="2"/>
  <c r="P76" i="2"/>
  <c r="R76" i="2" s="1"/>
  <c r="L76" i="2"/>
  <c r="N76" i="2" s="1"/>
  <c r="J76" i="2"/>
  <c r="Q75" i="2"/>
  <c r="P75" i="2"/>
  <c r="L75" i="2"/>
  <c r="J75" i="2"/>
  <c r="N75" i="2" s="1"/>
  <c r="R74" i="2"/>
  <c r="Q74" i="2"/>
  <c r="P74" i="2"/>
  <c r="L74" i="2"/>
  <c r="J74" i="2"/>
  <c r="Q73" i="2"/>
  <c r="R73" i="2" s="1"/>
  <c r="P73" i="2"/>
  <c r="L73" i="2"/>
  <c r="J73" i="2"/>
  <c r="N73" i="2" s="1"/>
  <c r="Q72" i="2"/>
  <c r="P72" i="2"/>
  <c r="R72" i="2" s="1"/>
  <c r="L72" i="2"/>
  <c r="J72" i="2"/>
  <c r="N72" i="2" s="1"/>
  <c r="Q71" i="2"/>
  <c r="P71" i="2"/>
  <c r="R71" i="2" s="1"/>
  <c r="N71" i="2"/>
  <c r="L71" i="2"/>
  <c r="J71" i="2"/>
  <c r="Q70" i="2"/>
  <c r="P70" i="2"/>
  <c r="R70" i="2" s="1"/>
  <c r="L70" i="2"/>
  <c r="J70" i="2"/>
  <c r="Q69" i="2"/>
  <c r="P69" i="2"/>
  <c r="R69" i="2" s="1"/>
  <c r="L69" i="2"/>
  <c r="J69" i="2"/>
  <c r="Q68" i="2"/>
  <c r="P68" i="2"/>
  <c r="L68" i="2"/>
  <c r="J68" i="2"/>
  <c r="Q67" i="2"/>
  <c r="P67" i="2"/>
  <c r="L67" i="2"/>
  <c r="J67" i="2"/>
  <c r="N67" i="2" s="1"/>
  <c r="R66" i="2"/>
  <c r="Q66" i="2"/>
  <c r="P66" i="2"/>
  <c r="L66" i="2"/>
  <c r="J66" i="2"/>
  <c r="N66" i="2" s="1"/>
  <c r="Q65" i="2"/>
  <c r="P65" i="2"/>
  <c r="L65" i="2"/>
  <c r="J65" i="2"/>
  <c r="N65" i="2" s="1"/>
  <c r="R64" i="2"/>
  <c r="Q64" i="2"/>
  <c r="P64" i="2"/>
  <c r="L64" i="2"/>
  <c r="J64" i="2"/>
  <c r="N64" i="2" s="1"/>
  <c r="Q63" i="2"/>
  <c r="R63" i="2" s="1"/>
  <c r="P63" i="2"/>
  <c r="L63" i="2"/>
  <c r="N63" i="2" s="1"/>
  <c r="J63" i="2"/>
  <c r="Q62" i="2"/>
  <c r="P62" i="2"/>
  <c r="L62" i="2"/>
  <c r="N62" i="2" s="1"/>
  <c r="J62" i="2"/>
  <c r="Q61" i="2"/>
  <c r="P61" i="2"/>
  <c r="R61" i="2" s="1"/>
  <c r="L61" i="2"/>
  <c r="J61" i="2"/>
  <c r="N61" i="2" s="1"/>
  <c r="Q60" i="2"/>
  <c r="P60" i="2"/>
  <c r="N60" i="2"/>
  <c r="L60" i="2"/>
  <c r="J60" i="2"/>
  <c r="Q59" i="2"/>
  <c r="P59" i="2"/>
  <c r="R59" i="2" s="1"/>
  <c r="L59" i="2"/>
  <c r="J59" i="2"/>
  <c r="N59" i="2" s="1"/>
  <c r="R58" i="2"/>
  <c r="Q58" i="2"/>
  <c r="P58" i="2"/>
  <c r="L58" i="2"/>
  <c r="J58" i="2"/>
  <c r="N58" i="2" s="1"/>
  <c r="Q57" i="2"/>
  <c r="P57" i="2"/>
  <c r="L57" i="2"/>
  <c r="J57" i="2"/>
  <c r="N57" i="2" s="1"/>
  <c r="R56" i="2"/>
  <c r="Q56" i="2"/>
  <c r="P56" i="2"/>
  <c r="L56" i="2"/>
  <c r="J56" i="2"/>
  <c r="N56" i="2" s="1"/>
  <c r="Q55" i="2"/>
  <c r="P55" i="2"/>
  <c r="L55" i="2"/>
  <c r="J55" i="2"/>
  <c r="N55" i="2" s="1"/>
  <c r="Q54" i="2"/>
  <c r="R54" i="2" s="1"/>
  <c r="P54" i="2"/>
  <c r="L54" i="2"/>
  <c r="J54" i="2"/>
  <c r="Q53" i="2"/>
  <c r="P53" i="2"/>
  <c r="R53" i="2" s="1"/>
  <c r="N53" i="2"/>
  <c r="L53" i="2"/>
  <c r="J53" i="2"/>
  <c r="Q52" i="2"/>
  <c r="P52" i="2"/>
  <c r="R52" i="2" s="1"/>
  <c r="L52" i="2"/>
  <c r="J52" i="2"/>
  <c r="Q51" i="2"/>
  <c r="P51" i="2"/>
  <c r="R51" i="2" s="1"/>
  <c r="N51" i="2"/>
  <c r="L51" i="2"/>
  <c r="J51" i="2"/>
  <c r="Q50" i="2"/>
  <c r="P50" i="2"/>
  <c r="L50" i="2"/>
  <c r="J50" i="2"/>
  <c r="Q49" i="2"/>
  <c r="P49" i="2"/>
  <c r="R49" i="2" s="1"/>
  <c r="L49" i="2"/>
  <c r="J49" i="2"/>
  <c r="N49" i="2" s="1"/>
  <c r="Q48" i="2"/>
  <c r="P48" i="2"/>
  <c r="R48" i="2" s="1"/>
  <c r="N48" i="2"/>
  <c r="L48" i="2"/>
  <c r="J48" i="2"/>
  <c r="Q47" i="2"/>
  <c r="P47" i="2"/>
  <c r="L47" i="2"/>
  <c r="J47" i="2"/>
  <c r="Q46" i="2"/>
  <c r="P46" i="2"/>
  <c r="R46" i="2" s="1"/>
  <c r="L46" i="2"/>
  <c r="N46" i="2" s="1"/>
  <c r="J46" i="2"/>
  <c r="Q45" i="2"/>
  <c r="P45" i="2"/>
  <c r="L45" i="2"/>
  <c r="J45" i="2"/>
  <c r="Q44" i="2"/>
  <c r="P44" i="2"/>
  <c r="L44" i="2"/>
  <c r="J44" i="2"/>
  <c r="R43" i="2"/>
  <c r="Q43" i="2"/>
  <c r="P43" i="2"/>
  <c r="L43" i="2"/>
  <c r="J43" i="2"/>
  <c r="Q42" i="2"/>
  <c r="P42" i="2"/>
  <c r="R42" i="2" s="1"/>
  <c r="N42" i="2"/>
  <c r="L42" i="2"/>
  <c r="J42" i="2"/>
  <c r="R41" i="2"/>
  <c r="Q41" i="2"/>
  <c r="P41" i="2"/>
  <c r="L41" i="2"/>
  <c r="N41" i="2" s="1"/>
  <c r="J41" i="2"/>
  <c r="Q40" i="2"/>
  <c r="P40" i="2"/>
  <c r="N40" i="2"/>
  <c r="L40" i="2"/>
  <c r="J40" i="2"/>
  <c r="Q39" i="2"/>
  <c r="P39" i="2"/>
  <c r="R39" i="2" s="1"/>
  <c r="L39" i="2"/>
  <c r="J39" i="2"/>
  <c r="Q38" i="2"/>
  <c r="R38" i="2" s="1"/>
  <c r="P38" i="2"/>
  <c r="N38" i="2"/>
  <c r="L38" i="2"/>
  <c r="J38" i="2"/>
  <c r="Q37" i="2"/>
  <c r="P37" i="2"/>
  <c r="L37" i="2"/>
  <c r="J37" i="2"/>
  <c r="Q36" i="2"/>
  <c r="P36" i="2"/>
  <c r="N36" i="2"/>
  <c r="L36" i="2"/>
  <c r="J36" i="2"/>
  <c r="Q35" i="2"/>
  <c r="P35" i="2"/>
  <c r="L35" i="2"/>
  <c r="J35" i="2"/>
  <c r="N35" i="2" s="1"/>
  <c r="Q34" i="2"/>
  <c r="P34" i="2"/>
  <c r="R34" i="2" s="1"/>
  <c r="L34" i="2"/>
  <c r="J34" i="2"/>
  <c r="Q33" i="2"/>
  <c r="P33" i="2"/>
  <c r="L33" i="2"/>
  <c r="J33" i="2"/>
  <c r="N33" i="2" s="1"/>
  <c r="Q32" i="2"/>
  <c r="P32" i="2"/>
  <c r="N32" i="2"/>
  <c r="L32" i="2"/>
  <c r="J32" i="2"/>
  <c r="Q31" i="2"/>
  <c r="P31" i="2"/>
  <c r="L31" i="2"/>
  <c r="J31" i="2"/>
  <c r="N31" i="2" s="1"/>
  <c r="Q30" i="2"/>
  <c r="P30" i="2"/>
  <c r="L30" i="2"/>
  <c r="J30" i="2"/>
  <c r="N30" i="2" s="1"/>
  <c r="R29" i="2"/>
  <c r="Q29" i="2"/>
  <c r="P29" i="2"/>
  <c r="L29" i="2"/>
  <c r="J29" i="2"/>
  <c r="Q28" i="2"/>
  <c r="R28" i="2" s="1"/>
  <c r="P28" i="2"/>
  <c r="L28" i="2"/>
  <c r="J28" i="2"/>
  <c r="Q27" i="2"/>
  <c r="P27" i="2"/>
  <c r="L27" i="2"/>
  <c r="J27" i="2"/>
  <c r="Q26" i="2"/>
  <c r="P26" i="2"/>
  <c r="R26" i="2" s="1"/>
  <c r="L26" i="2"/>
  <c r="J26" i="2"/>
  <c r="N26" i="2" s="1"/>
  <c r="Q25" i="2"/>
  <c r="P25" i="2"/>
  <c r="R25" i="2" s="1"/>
  <c r="N25" i="2"/>
  <c r="L25" i="2"/>
  <c r="J25" i="2"/>
  <c r="Q24" i="2"/>
  <c r="R24" i="2" s="1"/>
  <c r="P24" i="2"/>
  <c r="L24" i="2"/>
  <c r="J24" i="2"/>
  <c r="Q23" i="2"/>
  <c r="P23" i="2"/>
  <c r="R23" i="2" s="1"/>
  <c r="N23" i="2"/>
  <c r="L23" i="2"/>
  <c r="J23" i="2"/>
  <c r="Q22" i="2"/>
  <c r="P22" i="2"/>
  <c r="R22" i="2" s="1"/>
  <c r="L22" i="2"/>
  <c r="J22" i="2"/>
  <c r="N22" i="2" s="1"/>
  <c r="Q21" i="2"/>
  <c r="P21" i="2"/>
  <c r="R21" i="2" s="1"/>
  <c r="L21" i="2"/>
  <c r="N21" i="2" s="1"/>
  <c r="J21" i="2"/>
  <c r="Q20" i="2"/>
  <c r="P20" i="2"/>
  <c r="L20" i="2"/>
  <c r="J20" i="2"/>
  <c r="R19" i="2"/>
  <c r="Q19" i="2"/>
  <c r="P19" i="2"/>
  <c r="L19" i="2"/>
  <c r="J19" i="2"/>
  <c r="N19" i="2" s="1"/>
  <c r="Q18" i="2"/>
  <c r="P18" i="2"/>
  <c r="L18" i="2"/>
  <c r="J18" i="2"/>
  <c r="Q17" i="2"/>
  <c r="P17" i="2"/>
  <c r="R17" i="2" s="1"/>
  <c r="L17" i="2"/>
  <c r="J17" i="2"/>
  <c r="N17" i="2" s="1"/>
  <c r="Q16" i="2"/>
  <c r="R16" i="2" s="1"/>
  <c r="P16" i="2"/>
  <c r="L16" i="2"/>
  <c r="J16" i="2"/>
  <c r="N16" i="2" s="1"/>
  <c r="Q15" i="2"/>
  <c r="P15" i="2"/>
  <c r="L15" i="2"/>
  <c r="J15" i="2"/>
  <c r="Q14" i="2"/>
  <c r="R14" i="2" s="1"/>
  <c r="P14" i="2"/>
  <c r="L14" i="2"/>
  <c r="J14" i="2"/>
  <c r="Q13" i="2"/>
  <c r="P13" i="2"/>
  <c r="R13" i="2" s="1"/>
  <c r="L13" i="2"/>
  <c r="N13" i="2" s="1"/>
  <c r="J13" i="2"/>
  <c r="Q12" i="2"/>
  <c r="P12" i="2"/>
  <c r="R12" i="2" s="1"/>
  <c r="N12" i="2"/>
  <c r="L12" i="2"/>
  <c r="J12" i="2"/>
  <c r="Q11" i="2"/>
  <c r="P11" i="2"/>
  <c r="N11" i="2"/>
  <c r="L11" i="2"/>
  <c r="J11" i="2"/>
  <c r="Q10" i="2"/>
  <c r="P10" i="2"/>
  <c r="N10" i="2"/>
  <c r="L10" i="2"/>
  <c r="J10" i="2"/>
  <c r="Q9" i="2"/>
  <c r="P9" i="2"/>
  <c r="R9" i="2" s="1"/>
  <c r="L9" i="2"/>
  <c r="J9" i="2"/>
  <c r="R8" i="2"/>
  <c r="Q8" i="2"/>
  <c r="P8" i="2"/>
  <c r="L8" i="2"/>
  <c r="J8" i="2"/>
  <c r="N8" i="2" s="1"/>
  <c r="D1494" i="1"/>
  <c r="D1493" i="1"/>
  <c r="Q1492" i="1"/>
  <c r="P1492" i="1"/>
  <c r="R1492" i="1" s="1"/>
  <c r="N1492" i="1"/>
  <c r="L1492" i="1"/>
  <c r="J1492" i="1"/>
  <c r="Q1491" i="1"/>
  <c r="P1491" i="1"/>
  <c r="R1491" i="1" s="1"/>
  <c r="L1491" i="1"/>
  <c r="J1491" i="1"/>
  <c r="N1491" i="1" s="1"/>
  <c r="Q1490" i="1"/>
  <c r="P1490" i="1"/>
  <c r="N1490" i="1"/>
  <c r="L1490" i="1"/>
  <c r="J1490" i="1"/>
  <c r="Q1489" i="1"/>
  <c r="P1489" i="1"/>
  <c r="R1489" i="1" s="1"/>
  <c r="L1489" i="1"/>
  <c r="J1489" i="1"/>
  <c r="N1489" i="1" s="1"/>
  <c r="Q1488" i="1"/>
  <c r="P1488" i="1"/>
  <c r="R1488" i="1" s="1"/>
  <c r="L1488" i="1"/>
  <c r="J1488" i="1"/>
  <c r="Q1487" i="1"/>
  <c r="P1487" i="1"/>
  <c r="L1487" i="1"/>
  <c r="J1487" i="1"/>
  <c r="N1487" i="1" s="1"/>
  <c r="Q1486" i="1"/>
  <c r="P1486" i="1"/>
  <c r="R1486" i="1" s="1"/>
  <c r="L1486" i="1"/>
  <c r="J1486" i="1"/>
  <c r="N1486" i="1" s="1"/>
  <c r="Q1485" i="1"/>
  <c r="P1485" i="1"/>
  <c r="L1485" i="1"/>
  <c r="J1485" i="1"/>
  <c r="Q1484" i="1"/>
  <c r="P1484" i="1"/>
  <c r="R1484" i="1" s="1"/>
  <c r="L1484" i="1"/>
  <c r="J1484" i="1"/>
  <c r="N1484" i="1" s="1"/>
  <c r="Q1483" i="1"/>
  <c r="P1483" i="1"/>
  <c r="L1483" i="1"/>
  <c r="J1483" i="1"/>
  <c r="Q1482" i="1"/>
  <c r="P1482" i="1"/>
  <c r="L1482" i="1"/>
  <c r="J1482" i="1"/>
  <c r="N1482" i="1" s="1"/>
  <c r="Q1481" i="1"/>
  <c r="P1481" i="1"/>
  <c r="R1481" i="1" s="1"/>
  <c r="L1481" i="1"/>
  <c r="J1481" i="1"/>
  <c r="Q1480" i="1"/>
  <c r="P1480" i="1"/>
  <c r="R1480" i="1" s="1"/>
  <c r="L1480" i="1"/>
  <c r="J1480" i="1"/>
  <c r="Q1479" i="1"/>
  <c r="P1479" i="1"/>
  <c r="R1479" i="1" s="1"/>
  <c r="L1479" i="1"/>
  <c r="N1479" i="1" s="1"/>
  <c r="J1479" i="1"/>
  <c r="Q1478" i="1"/>
  <c r="P1478" i="1"/>
  <c r="R1478" i="1" s="1"/>
  <c r="L1478" i="1"/>
  <c r="J1478" i="1"/>
  <c r="N1478" i="1" s="1"/>
  <c r="Q1477" i="1"/>
  <c r="P1477" i="1"/>
  <c r="R1477" i="1" s="1"/>
  <c r="L1477" i="1"/>
  <c r="J1477" i="1"/>
  <c r="R1476" i="1"/>
  <c r="Q1476" i="1"/>
  <c r="P1476" i="1"/>
  <c r="L1476" i="1"/>
  <c r="J1476" i="1"/>
  <c r="N1476" i="1" s="1"/>
  <c r="Q1475" i="1"/>
  <c r="P1475" i="1"/>
  <c r="L1475" i="1"/>
  <c r="J1475" i="1"/>
  <c r="N1475" i="1" s="1"/>
  <c r="R1474" i="1"/>
  <c r="Q1474" i="1"/>
  <c r="P1474" i="1"/>
  <c r="L1474" i="1"/>
  <c r="J1474" i="1"/>
  <c r="N1474" i="1" s="1"/>
  <c r="Q1473" i="1"/>
  <c r="P1473" i="1"/>
  <c r="R1473" i="1" s="1"/>
  <c r="L1473" i="1"/>
  <c r="J1473" i="1"/>
  <c r="N1473" i="1" s="1"/>
  <c r="Q1472" i="1"/>
  <c r="P1472" i="1"/>
  <c r="L1472" i="1"/>
  <c r="J1472" i="1"/>
  <c r="N1472" i="1" s="1"/>
  <c r="Q1471" i="1"/>
  <c r="P1471" i="1"/>
  <c r="R1471" i="1" s="1"/>
  <c r="L1471" i="1"/>
  <c r="J1471" i="1"/>
  <c r="N1471" i="1" s="1"/>
  <c r="Q1470" i="1"/>
  <c r="P1470" i="1"/>
  <c r="L1470" i="1"/>
  <c r="N1470" i="1" s="1"/>
  <c r="J1470" i="1"/>
  <c r="Q1469" i="1"/>
  <c r="P1469" i="1"/>
  <c r="R1469" i="1" s="1"/>
  <c r="L1469" i="1"/>
  <c r="J1469" i="1"/>
  <c r="N1469" i="1" s="1"/>
  <c r="Q1468" i="1"/>
  <c r="R1468" i="1" s="1"/>
  <c r="P1468" i="1"/>
  <c r="L1468" i="1"/>
  <c r="J1468" i="1"/>
  <c r="Q1467" i="1"/>
  <c r="P1467" i="1"/>
  <c r="L1467" i="1"/>
  <c r="J1467" i="1"/>
  <c r="N1467" i="1" s="1"/>
  <c r="R1466" i="1"/>
  <c r="Q1466" i="1"/>
  <c r="P1466" i="1"/>
  <c r="L1466" i="1"/>
  <c r="J1466" i="1"/>
  <c r="Q1465" i="1"/>
  <c r="P1465" i="1"/>
  <c r="R1465" i="1" s="1"/>
  <c r="L1465" i="1"/>
  <c r="J1465" i="1"/>
  <c r="Q1464" i="1"/>
  <c r="P1464" i="1"/>
  <c r="N1464" i="1"/>
  <c r="L1464" i="1"/>
  <c r="J1464" i="1"/>
  <c r="Q1463" i="1"/>
  <c r="P1463" i="1"/>
  <c r="R1463" i="1" s="1"/>
  <c r="L1463" i="1"/>
  <c r="J1463" i="1"/>
  <c r="N1463" i="1" s="1"/>
  <c r="Q1462" i="1"/>
  <c r="P1462" i="1"/>
  <c r="N1462" i="1"/>
  <c r="L1462" i="1"/>
  <c r="J1462" i="1"/>
  <c r="Q1461" i="1"/>
  <c r="P1461" i="1"/>
  <c r="R1461" i="1" s="1"/>
  <c r="L1461" i="1"/>
  <c r="J1461" i="1"/>
  <c r="Q1460" i="1"/>
  <c r="P1460" i="1"/>
  <c r="R1460" i="1" s="1"/>
  <c r="N1460" i="1"/>
  <c r="L1460" i="1"/>
  <c r="J1460" i="1"/>
  <c r="Q1459" i="1"/>
  <c r="P1459" i="1"/>
  <c r="R1459" i="1" s="1"/>
  <c r="L1459" i="1"/>
  <c r="N1459" i="1" s="1"/>
  <c r="J1459" i="1"/>
  <c r="R1458" i="1"/>
  <c r="Q1458" i="1"/>
  <c r="P1458" i="1"/>
  <c r="L1458" i="1"/>
  <c r="J1458" i="1"/>
  <c r="Q1457" i="1"/>
  <c r="P1457" i="1"/>
  <c r="L1457" i="1"/>
  <c r="N1457" i="1" s="1"/>
  <c r="J1457" i="1"/>
  <c r="Q1456" i="1"/>
  <c r="P1456" i="1"/>
  <c r="R1456" i="1" s="1"/>
  <c r="L1456" i="1"/>
  <c r="J1456" i="1"/>
  <c r="Q1455" i="1"/>
  <c r="P1455" i="1"/>
  <c r="R1455" i="1" s="1"/>
  <c r="L1455" i="1"/>
  <c r="N1455" i="1" s="1"/>
  <c r="J1455" i="1"/>
  <c r="Q1454" i="1"/>
  <c r="R1454" i="1" s="1"/>
  <c r="P1454" i="1"/>
  <c r="L1454" i="1"/>
  <c r="J1454" i="1"/>
  <c r="Q1453" i="1"/>
  <c r="P1453" i="1"/>
  <c r="L1453" i="1"/>
  <c r="J1453" i="1"/>
  <c r="Q1452" i="1"/>
  <c r="P1452" i="1"/>
  <c r="L1452" i="1"/>
  <c r="J1452" i="1"/>
  <c r="Q1451" i="1"/>
  <c r="P1451" i="1"/>
  <c r="R1451" i="1" s="1"/>
  <c r="L1451" i="1"/>
  <c r="J1451" i="1"/>
  <c r="Q1450" i="1"/>
  <c r="P1450" i="1"/>
  <c r="L1450" i="1"/>
  <c r="N1450" i="1" s="1"/>
  <c r="J1450" i="1"/>
  <c r="Q1449" i="1"/>
  <c r="P1449" i="1"/>
  <c r="R1449" i="1" s="1"/>
  <c r="L1449" i="1"/>
  <c r="J1449" i="1"/>
  <c r="N1449" i="1" s="1"/>
  <c r="Q1448" i="1"/>
  <c r="P1448" i="1"/>
  <c r="L1448" i="1"/>
  <c r="J1448" i="1"/>
  <c r="Q1447" i="1"/>
  <c r="P1447" i="1"/>
  <c r="L1447" i="1"/>
  <c r="J1447" i="1"/>
  <c r="N1447" i="1" s="1"/>
  <c r="R1446" i="1"/>
  <c r="Q1446" i="1"/>
  <c r="P1446" i="1"/>
  <c r="L1446" i="1"/>
  <c r="J1446" i="1"/>
  <c r="Q1445" i="1"/>
  <c r="R1445" i="1" s="1"/>
  <c r="P1445" i="1"/>
  <c r="L1445" i="1"/>
  <c r="J1445" i="1"/>
  <c r="Q1444" i="1"/>
  <c r="P1444" i="1"/>
  <c r="R1444" i="1" s="1"/>
  <c r="N1444" i="1"/>
  <c r="L1444" i="1"/>
  <c r="J1444" i="1"/>
  <c r="Q1443" i="1"/>
  <c r="P1443" i="1"/>
  <c r="R1443" i="1" s="1"/>
  <c r="L1443" i="1"/>
  <c r="J1443" i="1"/>
  <c r="N1443" i="1" s="1"/>
  <c r="Q1442" i="1"/>
  <c r="P1442" i="1"/>
  <c r="R1442" i="1" s="1"/>
  <c r="L1442" i="1"/>
  <c r="J1442" i="1"/>
  <c r="R1441" i="1"/>
  <c r="Q1441" i="1"/>
  <c r="P1441" i="1"/>
  <c r="L1441" i="1"/>
  <c r="J1441" i="1"/>
  <c r="N1441" i="1" s="1"/>
  <c r="Q1440" i="1"/>
  <c r="P1440" i="1"/>
  <c r="R1440" i="1" s="1"/>
  <c r="N1440" i="1"/>
  <c r="L1440" i="1"/>
  <c r="J1440" i="1"/>
  <c r="R1439" i="1"/>
  <c r="Q1439" i="1"/>
  <c r="P1439" i="1"/>
  <c r="L1439" i="1"/>
  <c r="J1439" i="1"/>
  <c r="N1439" i="1" s="1"/>
  <c r="Q1438" i="1"/>
  <c r="P1438" i="1"/>
  <c r="R1438" i="1" s="1"/>
  <c r="L1438" i="1"/>
  <c r="J1438" i="1"/>
  <c r="Q1437" i="1"/>
  <c r="P1437" i="1"/>
  <c r="L1437" i="1"/>
  <c r="J1437" i="1"/>
  <c r="Q1436" i="1"/>
  <c r="P1436" i="1"/>
  <c r="R1436" i="1" s="1"/>
  <c r="L1436" i="1"/>
  <c r="J1436" i="1"/>
  <c r="N1436" i="1" s="1"/>
  <c r="Q1435" i="1"/>
  <c r="P1435" i="1"/>
  <c r="N1435" i="1"/>
  <c r="L1435" i="1"/>
  <c r="J1435" i="1"/>
  <c r="Q1434" i="1"/>
  <c r="P1434" i="1"/>
  <c r="L1434" i="1"/>
  <c r="J1434" i="1"/>
  <c r="Q1433" i="1"/>
  <c r="R1433" i="1" s="1"/>
  <c r="P1433" i="1"/>
  <c r="L1433" i="1"/>
  <c r="J1433" i="1"/>
  <c r="Q1432" i="1"/>
  <c r="P1432" i="1"/>
  <c r="L1432" i="1"/>
  <c r="J1432" i="1"/>
  <c r="N1432" i="1" s="1"/>
  <c r="Q1431" i="1"/>
  <c r="P1431" i="1"/>
  <c r="L1431" i="1"/>
  <c r="J1431" i="1"/>
  <c r="Q1430" i="1"/>
  <c r="P1430" i="1"/>
  <c r="R1430" i="1" s="1"/>
  <c r="L1430" i="1"/>
  <c r="N1430" i="1" s="1"/>
  <c r="J1430" i="1"/>
  <c r="Q1429" i="1"/>
  <c r="P1429" i="1"/>
  <c r="R1429" i="1" s="1"/>
  <c r="N1429" i="1"/>
  <c r="L1429" i="1"/>
  <c r="J1429" i="1"/>
  <c r="Q1428" i="1"/>
  <c r="P1428" i="1"/>
  <c r="R1428" i="1" s="1"/>
  <c r="L1428" i="1"/>
  <c r="J1428" i="1"/>
  <c r="Q1427" i="1"/>
  <c r="P1427" i="1"/>
  <c r="R1427" i="1" s="1"/>
  <c r="N1427" i="1"/>
  <c r="L1427" i="1"/>
  <c r="J1427" i="1"/>
  <c r="Q1426" i="1"/>
  <c r="P1426" i="1"/>
  <c r="R1426" i="1" s="1"/>
  <c r="L1426" i="1"/>
  <c r="J1426" i="1"/>
  <c r="Q1425" i="1"/>
  <c r="P1425" i="1"/>
  <c r="N1425" i="1"/>
  <c r="L1425" i="1"/>
  <c r="J1425" i="1"/>
  <c r="Q1424" i="1"/>
  <c r="P1424" i="1"/>
  <c r="R1424" i="1" s="1"/>
  <c r="N1424" i="1"/>
  <c r="L1424" i="1"/>
  <c r="J1424" i="1"/>
  <c r="Q1423" i="1"/>
  <c r="R1423" i="1" s="1"/>
  <c r="P1423" i="1"/>
  <c r="L1423" i="1"/>
  <c r="J1423" i="1"/>
  <c r="Q1422" i="1"/>
  <c r="P1422" i="1"/>
  <c r="R1422" i="1" s="1"/>
  <c r="L1422" i="1"/>
  <c r="J1422" i="1"/>
  <c r="Q1421" i="1"/>
  <c r="P1421" i="1"/>
  <c r="R1421" i="1" s="1"/>
  <c r="L1421" i="1"/>
  <c r="J1421" i="1"/>
  <c r="Q1420" i="1"/>
  <c r="P1420" i="1"/>
  <c r="R1420" i="1" s="1"/>
  <c r="L1420" i="1"/>
  <c r="J1420" i="1"/>
  <c r="N1420" i="1" s="1"/>
  <c r="Q1419" i="1"/>
  <c r="P1419" i="1"/>
  <c r="R1419" i="1" s="1"/>
  <c r="L1419" i="1"/>
  <c r="J1419" i="1"/>
  <c r="Q1418" i="1"/>
  <c r="P1418" i="1"/>
  <c r="R1418" i="1" s="1"/>
  <c r="L1418" i="1"/>
  <c r="J1418" i="1"/>
  <c r="N1418" i="1" s="1"/>
  <c r="Q1417" i="1"/>
  <c r="P1417" i="1"/>
  <c r="L1417" i="1"/>
  <c r="J1417" i="1"/>
  <c r="N1417" i="1" s="1"/>
  <c r="R1416" i="1"/>
  <c r="Q1416" i="1"/>
  <c r="P1416" i="1"/>
  <c r="L1416" i="1"/>
  <c r="J1416" i="1"/>
  <c r="N1416" i="1" s="1"/>
  <c r="R1415" i="1"/>
  <c r="Q1415" i="1"/>
  <c r="P1415" i="1"/>
  <c r="L1415" i="1"/>
  <c r="J1415" i="1"/>
  <c r="R1414" i="1"/>
  <c r="Q1414" i="1"/>
  <c r="P1414" i="1"/>
  <c r="L1414" i="1"/>
  <c r="J1414" i="1"/>
  <c r="N1414" i="1" s="1"/>
  <c r="Q1413" i="1"/>
  <c r="P1413" i="1"/>
  <c r="L1413" i="1"/>
  <c r="J1413" i="1"/>
  <c r="Q1412" i="1"/>
  <c r="P1412" i="1"/>
  <c r="L1412" i="1"/>
  <c r="J1412" i="1"/>
  <c r="N1412" i="1" s="1"/>
  <c r="Q1411" i="1"/>
  <c r="P1411" i="1"/>
  <c r="R1411" i="1" s="1"/>
  <c r="L1411" i="1"/>
  <c r="J1411" i="1"/>
  <c r="Q1410" i="1"/>
  <c r="P1410" i="1"/>
  <c r="L1410" i="1"/>
  <c r="J1410" i="1"/>
  <c r="N1410" i="1" s="1"/>
  <c r="Q1409" i="1"/>
  <c r="P1409" i="1"/>
  <c r="R1409" i="1" s="1"/>
  <c r="L1409" i="1"/>
  <c r="J1409" i="1"/>
  <c r="R1408" i="1"/>
  <c r="Q1408" i="1"/>
  <c r="P1408" i="1"/>
  <c r="L1408" i="1"/>
  <c r="J1408" i="1"/>
  <c r="N1408" i="1" s="1"/>
  <c r="Q1407" i="1"/>
  <c r="P1407" i="1"/>
  <c r="L1407" i="1"/>
  <c r="J1407" i="1"/>
  <c r="N1407" i="1" s="1"/>
  <c r="R1406" i="1"/>
  <c r="Q1406" i="1"/>
  <c r="P1406" i="1"/>
  <c r="L1406" i="1"/>
  <c r="J1406" i="1"/>
  <c r="N1406" i="1" s="1"/>
  <c r="Q1405" i="1"/>
  <c r="P1405" i="1"/>
  <c r="R1405" i="1" s="1"/>
  <c r="L1405" i="1"/>
  <c r="J1405" i="1"/>
  <c r="N1405" i="1" s="1"/>
  <c r="R1404" i="1"/>
  <c r="Q1404" i="1"/>
  <c r="P1404" i="1"/>
  <c r="L1404" i="1"/>
  <c r="J1404" i="1"/>
  <c r="Q1403" i="1"/>
  <c r="P1403" i="1"/>
  <c r="R1403" i="1" s="1"/>
  <c r="L1403" i="1"/>
  <c r="J1403" i="1"/>
  <c r="N1403" i="1" s="1"/>
  <c r="Q1402" i="1"/>
  <c r="P1402" i="1"/>
  <c r="L1402" i="1"/>
  <c r="J1402" i="1"/>
  <c r="Q1401" i="1"/>
  <c r="P1401" i="1"/>
  <c r="R1401" i="1" s="1"/>
  <c r="L1401" i="1"/>
  <c r="J1401" i="1"/>
  <c r="N1401" i="1" s="1"/>
  <c r="Q1400" i="1"/>
  <c r="P1400" i="1"/>
  <c r="R1400" i="1" s="1"/>
  <c r="L1400" i="1"/>
  <c r="N1400" i="1" s="1"/>
  <c r="J1400" i="1"/>
  <c r="Q1399" i="1"/>
  <c r="P1399" i="1"/>
  <c r="R1399" i="1" s="1"/>
  <c r="L1399" i="1"/>
  <c r="J1399" i="1"/>
  <c r="N1399" i="1" s="1"/>
  <c r="Q1398" i="1"/>
  <c r="P1398" i="1"/>
  <c r="R1398" i="1" s="1"/>
  <c r="L1398" i="1"/>
  <c r="J1398" i="1"/>
  <c r="Q1397" i="1"/>
  <c r="P1397" i="1"/>
  <c r="L1397" i="1"/>
  <c r="J1397" i="1"/>
  <c r="N1397" i="1" s="1"/>
  <c r="Q1396" i="1"/>
  <c r="P1396" i="1"/>
  <c r="L1396" i="1"/>
  <c r="J1396" i="1"/>
  <c r="Q1395" i="1"/>
  <c r="P1395" i="1"/>
  <c r="R1395" i="1" s="1"/>
  <c r="L1395" i="1"/>
  <c r="N1395" i="1" s="1"/>
  <c r="J1395" i="1"/>
  <c r="Q1394" i="1"/>
  <c r="P1394" i="1"/>
  <c r="R1394" i="1" s="1"/>
  <c r="N1394" i="1"/>
  <c r="L1394" i="1"/>
  <c r="J1394" i="1"/>
  <c r="Q1393" i="1"/>
  <c r="P1393" i="1"/>
  <c r="R1393" i="1" s="1"/>
  <c r="L1393" i="1"/>
  <c r="J1393" i="1"/>
  <c r="Q1392" i="1"/>
  <c r="P1392" i="1"/>
  <c r="N1392" i="1"/>
  <c r="L1392" i="1"/>
  <c r="J1392" i="1"/>
  <c r="Q1391" i="1"/>
  <c r="P1391" i="1"/>
  <c r="R1391" i="1" s="1"/>
  <c r="L1391" i="1"/>
  <c r="J1391" i="1"/>
  <c r="Q1390" i="1"/>
  <c r="P1390" i="1"/>
  <c r="R1390" i="1" s="1"/>
  <c r="N1390" i="1"/>
  <c r="L1390" i="1"/>
  <c r="J1390" i="1"/>
  <c r="Q1389" i="1"/>
  <c r="P1389" i="1"/>
  <c r="R1389" i="1" s="1"/>
  <c r="L1389" i="1"/>
  <c r="J1389" i="1"/>
  <c r="N1389" i="1" s="1"/>
  <c r="Q1388" i="1"/>
  <c r="P1388" i="1"/>
  <c r="R1388" i="1" s="1"/>
  <c r="L1388" i="1"/>
  <c r="J1388" i="1"/>
  <c r="Q1387" i="1"/>
  <c r="P1387" i="1"/>
  <c r="R1387" i="1" s="1"/>
  <c r="L1387" i="1"/>
  <c r="J1387" i="1"/>
  <c r="R1386" i="1"/>
  <c r="Q1386" i="1"/>
  <c r="P1386" i="1"/>
  <c r="L1386" i="1"/>
  <c r="J1386" i="1"/>
  <c r="Q1385" i="1"/>
  <c r="P1385" i="1"/>
  <c r="L1385" i="1"/>
  <c r="J1385" i="1"/>
  <c r="Q1384" i="1"/>
  <c r="R1384" i="1" s="1"/>
  <c r="P1384" i="1"/>
  <c r="L1384" i="1"/>
  <c r="J1384" i="1"/>
  <c r="N1384" i="1" s="1"/>
  <c r="R1383" i="1"/>
  <c r="Q1383" i="1"/>
  <c r="P1383" i="1"/>
  <c r="L1383" i="1"/>
  <c r="J1383" i="1"/>
  <c r="N1383" i="1" s="1"/>
  <c r="Q1382" i="1"/>
  <c r="P1382" i="1"/>
  <c r="L1382" i="1"/>
  <c r="J1382" i="1"/>
  <c r="Q1381" i="1"/>
  <c r="P1381" i="1"/>
  <c r="L1381" i="1"/>
  <c r="J1381" i="1"/>
  <c r="Q1380" i="1"/>
  <c r="P1380" i="1"/>
  <c r="L1380" i="1"/>
  <c r="J1380" i="1"/>
  <c r="R1379" i="1"/>
  <c r="Q1379" i="1"/>
  <c r="P1379" i="1"/>
  <c r="L1379" i="1"/>
  <c r="J1379" i="1"/>
  <c r="N1379" i="1" s="1"/>
  <c r="Q1378" i="1"/>
  <c r="P1378" i="1"/>
  <c r="L1378" i="1"/>
  <c r="J1378" i="1"/>
  <c r="Q1377" i="1"/>
  <c r="P1377" i="1"/>
  <c r="N1377" i="1"/>
  <c r="L1377" i="1"/>
  <c r="J1377" i="1"/>
  <c r="Q1376" i="1"/>
  <c r="P1376" i="1"/>
  <c r="R1376" i="1" s="1"/>
  <c r="L1376" i="1"/>
  <c r="J1376" i="1"/>
  <c r="Q1375" i="1"/>
  <c r="P1375" i="1"/>
  <c r="R1375" i="1" s="1"/>
  <c r="N1375" i="1"/>
  <c r="L1375" i="1"/>
  <c r="J1375" i="1"/>
  <c r="Q1374" i="1"/>
  <c r="P1374" i="1"/>
  <c r="R1374" i="1" s="1"/>
  <c r="L1374" i="1"/>
  <c r="J1374" i="1"/>
  <c r="R1373" i="1"/>
  <c r="Q1373" i="1"/>
  <c r="P1373" i="1"/>
  <c r="L1373" i="1"/>
  <c r="J1373" i="1"/>
  <c r="Q1372" i="1"/>
  <c r="P1372" i="1"/>
  <c r="R1372" i="1" s="1"/>
  <c r="L1372" i="1"/>
  <c r="J1372" i="1"/>
  <c r="R1371" i="1"/>
  <c r="Q1371" i="1"/>
  <c r="P1371" i="1"/>
  <c r="L1371" i="1"/>
  <c r="J1371" i="1"/>
  <c r="Q1370" i="1"/>
  <c r="P1370" i="1"/>
  <c r="L1370" i="1"/>
  <c r="J1370" i="1"/>
  <c r="N1370" i="1" s="1"/>
  <c r="R1369" i="1"/>
  <c r="Q1369" i="1"/>
  <c r="P1369" i="1"/>
  <c r="L1369" i="1"/>
  <c r="J1369" i="1"/>
  <c r="Q1368" i="1"/>
  <c r="P1368" i="1"/>
  <c r="R1368" i="1" s="1"/>
  <c r="L1368" i="1"/>
  <c r="J1368" i="1"/>
  <c r="Q1367" i="1"/>
  <c r="P1367" i="1"/>
  <c r="L1367" i="1"/>
  <c r="J1367" i="1"/>
  <c r="R1366" i="1"/>
  <c r="Q1366" i="1"/>
  <c r="P1366" i="1"/>
  <c r="L1366" i="1"/>
  <c r="J1366" i="1"/>
  <c r="N1366" i="1" s="1"/>
  <c r="Q1365" i="1"/>
  <c r="P1365" i="1"/>
  <c r="R1365" i="1" s="1"/>
  <c r="L1365" i="1"/>
  <c r="N1365" i="1" s="1"/>
  <c r="J1365" i="1"/>
  <c r="R1364" i="1"/>
  <c r="Q1364" i="1"/>
  <c r="P1364" i="1"/>
  <c r="L1364" i="1"/>
  <c r="J1364" i="1"/>
  <c r="N1364" i="1" s="1"/>
  <c r="Q1363" i="1"/>
  <c r="P1363" i="1"/>
  <c r="R1363" i="1" s="1"/>
  <c r="L1363" i="1"/>
  <c r="J1363" i="1"/>
  <c r="Q1362" i="1"/>
  <c r="P1362" i="1"/>
  <c r="L1362" i="1"/>
  <c r="J1362" i="1"/>
  <c r="N1362" i="1" s="1"/>
  <c r="Q1361" i="1"/>
  <c r="P1361" i="1"/>
  <c r="R1361" i="1" s="1"/>
  <c r="L1361" i="1"/>
  <c r="J1361" i="1"/>
  <c r="N1361" i="1" s="1"/>
  <c r="Q1360" i="1"/>
  <c r="R1360" i="1" s="1"/>
  <c r="P1360" i="1"/>
  <c r="L1360" i="1"/>
  <c r="J1360" i="1"/>
  <c r="N1360" i="1" s="1"/>
  <c r="R1359" i="1"/>
  <c r="Q1359" i="1"/>
  <c r="P1359" i="1"/>
  <c r="L1359" i="1"/>
  <c r="J1359" i="1"/>
  <c r="R1358" i="1"/>
  <c r="Q1358" i="1"/>
  <c r="P1358" i="1"/>
  <c r="L1358" i="1"/>
  <c r="J1358" i="1"/>
  <c r="N1358" i="1" s="1"/>
  <c r="Q1357" i="1"/>
  <c r="P1357" i="1"/>
  <c r="L1357" i="1"/>
  <c r="J1357" i="1"/>
  <c r="N1357" i="1" s="1"/>
  <c r="Q1356" i="1"/>
  <c r="R1356" i="1" s="1"/>
  <c r="P1356" i="1"/>
  <c r="L1356" i="1"/>
  <c r="J1356" i="1"/>
  <c r="Q1355" i="1"/>
  <c r="P1355" i="1"/>
  <c r="R1355" i="1" s="1"/>
  <c r="L1355" i="1"/>
  <c r="N1355" i="1" s="1"/>
  <c r="J1355" i="1"/>
  <c r="Q1354" i="1"/>
  <c r="P1354" i="1"/>
  <c r="R1354" i="1" s="1"/>
  <c r="L1354" i="1"/>
  <c r="J1354" i="1"/>
  <c r="Q1353" i="1"/>
  <c r="P1353" i="1"/>
  <c r="R1353" i="1" s="1"/>
  <c r="L1353" i="1"/>
  <c r="J1353" i="1"/>
  <c r="Q1352" i="1"/>
  <c r="P1352" i="1"/>
  <c r="R1352" i="1" s="1"/>
  <c r="L1352" i="1"/>
  <c r="J1352" i="1"/>
  <c r="N1352" i="1" s="1"/>
  <c r="Q1351" i="1"/>
  <c r="P1351" i="1"/>
  <c r="L1351" i="1"/>
  <c r="J1351" i="1"/>
  <c r="N1351" i="1" s="1"/>
  <c r="Q1350" i="1"/>
  <c r="P1350" i="1"/>
  <c r="L1350" i="1"/>
  <c r="J1350" i="1"/>
  <c r="N1350" i="1" s="1"/>
  <c r="R1349" i="1"/>
  <c r="Q1349" i="1"/>
  <c r="P1349" i="1"/>
  <c r="L1349" i="1"/>
  <c r="J1349" i="1"/>
  <c r="N1349" i="1" s="1"/>
  <c r="Q1348" i="1"/>
  <c r="P1348" i="1"/>
  <c r="L1348" i="1"/>
  <c r="J1348" i="1"/>
  <c r="N1348" i="1" s="1"/>
  <c r="Q1347" i="1"/>
  <c r="P1347" i="1"/>
  <c r="L1347" i="1"/>
  <c r="J1347" i="1"/>
  <c r="N1347" i="1" s="1"/>
  <c r="Q1346" i="1"/>
  <c r="P1346" i="1"/>
  <c r="R1346" i="1" s="1"/>
  <c r="L1346" i="1"/>
  <c r="J1346" i="1"/>
  <c r="Q1345" i="1"/>
  <c r="P1345" i="1"/>
  <c r="L1345" i="1"/>
  <c r="N1345" i="1" s="1"/>
  <c r="J1345" i="1"/>
  <c r="Q1344" i="1"/>
  <c r="P1344" i="1"/>
  <c r="R1344" i="1" s="1"/>
  <c r="L1344" i="1"/>
  <c r="J1344" i="1"/>
  <c r="N1344" i="1" s="1"/>
  <c r="R1343" i="1"/>
  <c r="Q1343" i="1"/>
  <c r="P1343" i="1"/>
  <c r="L1343" i="1"/>
  <c r="J1343" i="1"/>
  <c r="Q1342" i="1"/>
  <c r="P1342" i="1"/>
  <c r="L1342" i="1"/>
  <c r="J1342" i="1"/>
  <c r="R1341" i="1"/>
  <c r="Q1341" i="1"/>
  <c r="P1341" i="1"/>
  <c r="L1341" i="1"/>
  <c r="J1341" i="1"/>
  <c r="Q1340" i="1"/>
  <c r="P1340" i="1"/>
  <c r="R1340" i="1" s="1"/>
  <c r="L1340" i="1"/>
  <c r="J1340" i="1"/>
  <c r="Q1339" i="1"/>
  <c r="P1339" i="1"/>
  <c r="R1339" i="1" s="1"/>
  <c r="L1339" i="1"/>
  <c r="N1339" i="1" s="1"/>
  <c r="J1339" i="1"/>
  <c r="Q1338" i="1"/>
  <c r="P1338" i="1"/>
  <c r="L1338" i="1"/>
  <c r="J1338" i="1"/>
  <c r="Q1337" i="1"/>
  <c r="P1337" i="1"/>
  <c r="L1337" i="1"/>
  <c r="N1337" i="1" s="1"/>
  <c r="J1337" i="1"/>
  <c r="Q1336" i="1"/>
  <c r="P1336" i="1"/>
  <c r="L1336" i="1"/>
  <c r="J1336" i="1"/>
  <c r="Q1335" i="1"/>
  <c r="P1335" i="1"/>
  <c r="R1335" i="1" s="1"/>
  <c r="L1335" i="1"/>
  <c r="N1335" i="1" s="1"/>
  <c r="J1335" i="1"/>
  <c r="R1334" i="1"/>
  <c r="Q1334" i="1"/>
  <c r="P1334" i="1"/>
  <c r="L1334" i="1"/>
  <c r="J1334" i="1"/>
  <c r="Q1333" i="1"/>
  <c r="P1333" i="1"/>
  <c r="R1333" i="1" s="1"/>
  <c r="L1333" i="1"/>
  <c r="J1333" i="1"/>
  <c r="Q1332" i="1"/>
  <c r="P1332" i="1"/>
  <c r="L1332" i="1"/>
  <c r="J1332" i="1"/>
  <c r="R1331" i="1"/>
  <c r="Q1331" i="1"/>
  <c r="P1331" i="1"/>
  <c r="L1331" i="1"/>
  <c r="J1331" i="1"/>
  <c r="N1331" i="1" s="1"/>
  <c r="Q1330" i="1"/>
  <c r="P1330" i="1"/>
  <c r="R1330" i="1" s="1"/>
  <c r="L1330" i="1"/>
  <c r="N1330" i="1" s="1"/>
  <c r="J1330" i="1"/>
  <c r="R1329" i="1"/>
  <c r="Q1329" i="1"/>
  <c r="P1329" i="1"/>
  <c r="L1329" i="1"/>
  <c r="J1329" i="1"/>
  <c r="Q1328" i="1"/>
  <c r="P1328" i="1"/>
  <c r="L1328" i="1"/>
  <c r="J1328" i="1"/>
  <c r="Q1327" i="1"/>
  <c r="P1327" i="1"/>
  <c r="L1327" i="1"/>
  <c r="N1327" i="1" s="1"/>
  <c r="J1327" i="1"/>
  <c r="Q1326" i="1"/>
  <c r="P1326" i="1"/>
  <c r="R1326" i="1" s="1"/>
  <c r="L1326" i="1"/>
  <c r="J1326" i="1"/>
  <c r="R1325" i="1"/>
  <c r="Q1325" i="1"/>
  <c r="P1325" i="1"/>
  <c r="N1325" i="1"/>
  <c r="L1325" i="1"/>
  <c r="J1325" i="1"/>
  <c r="Q1324" i="1"/>
  <c r="P1324" i="1"/>
  <c r="R1324" i="1" s="1"/>
  <c r="L1324" i="1"/>
  <c r="J1324" i="1"/>
  <c r="R1323" i="1"/>
  <c r="Q1323" i="1"/>
  <c r="P1323" i="1"/>
  <c r="L1323" i="1"/>
  <c r="J1323" i="1"/>
  <c r="Q1322" i="1"/>
  <c r="P1322" i="1"/>
  <c r="R1322" i="1" s="1"/>
  <c r="L1322" i="1"/>
  <c r="J1322" i="1"/>
  <c r="N1322" i="1" s="1"/>
  <c r="Q1321" i="1"/>
  <c r="P1321" i="1"/>
  <c r="R1321" i="1" s="1"/>
  <c r="L1321" i="1"/>
  <c r="J1321" i="1"/>
  <c r="Q1320" i="1"/>
  <c r="P1320" i="1"/>
  <c r="L1320" i="1"/>
  <c r="J1320" i="1"/>
  <c r="Q1319" i="1"/>
  <c r="P1319" i="1"/>
  <c r="R1319" i="1" s="1"/>
  <c r="L1319" i="1"/>
  <c r="J1319" i="1"/>
  <c r="Q1318" i="1"/>
  <c r="P1318" i="1"/>
  <c r="L1318" i="1"/>
  <c r="J1318" i="1"/>
  <c r="N1318" i="1" s="1"/>
  <c r="Q1317" i="1"/>
  <c r="P1317" i="1"/>
  <c r="L1317" i="1"/>
  <c r="J1317" i="1"/>
  <c r="N1317" i="1" s="1"/>
  <c r="R1316" i="1"/>
  <c r="Q1316" i="1"/>
  <c r="P1316" i="1"/>
  <c r="L1316" i="1"/>
  <c r="J1316" i="1"/>
  <c r="N1316" i="1" s="1"/>
  <c r="Q1315" i="1"/>
  <c r="P1315" i="1"/>
  <c r="R1315" i="1" s="1"/>
  <c r="L1315" i="1"/>
  <c r="J1315" i="1"/>
  <c r="R1314" i="1"/>
  <c r="Q1314" i="1"/>
  <c r="P1314" i="1"/>
  <c r="L1314" i="1"/>
  <c r="J1314" i="1"/>
  <c r="N1314" i="1" s="1"/>
  <c r="Q1313" i="1"/>
  <c r="P1313" i="1"/>
  <c r="R1313" i="1" s="1"/>
  <c r="L1313" i="1"/>
  <c r="J1313" i="1"/>
  <c r="Q1312" i="1"/>
  <c r="P1312" i="1"/>
  <c r="L1312" i="1"/>
  <c r="J1312" i="1"/>
  <c r="N1312" i="1" s="1"/>
  <c r="Q1311" i="1"/>
  <c r="P1311" i="1"/>
  <c r="L1311" i="1"/>
  <c r="J1311" i="1"/>
  <c r="N1311" i="1" s="1"/>
  <c r="R1310" i="1"/>
  <c r="Q1310" i="1"/>
  <c r="P1310" i="1"/>
  <c r="L1310" i="1"/>
  <c r="J1310" i="1"/>
  <c r="N1310" i="1" s="1"/>
  <c r="Q1309" i="1"/>
  <c r="P1309" i="1"/>
  <c r="R1309" i="1" s="1"/>
  <c r="L1309" i="1"/>
  <c r="J1309" i="1"/>
  <c r="N1309" i="1" s="1"/>
  <c r="R1308" i="1"/>
  <c r="Q1308" i="1"/>
  <c r="P1308" i="1"/>
  <c r="L1308" i="1"/>
  <c r="J1308" i="1"/>
  <c r="N1308" i="1" s="1"/>
  <c r="Q1307" i="1"/>
  <c r="P1307" i="1"/>
  <c r="L1307" i="1"/>
  <c r="J1307" i="1"/>
  <c r="N1307" i="1" s="1"/>
  <c r="R1306" i="1"/>
  <c r="Q1306" i="1"/>
  <c r="P1306" i="1"/>
  <c r="L1306" i="1"/>
  <c r="J1306" i="1"/>
  <c r="N1306" i="1" s="1"/>
  <c r="Q1305" i="1"/>
  <c r="P1305" i="1"/>
  <c r="L1305" i="1"/>
  <c r="J1305" i="1"/>
  <c r="N1305" i="1" s="1"/>
  <c r="R1304" i="1"/>
  <c r="Q1304" i="1"/>
  <c r="P1304" i="1"/>
  <c r="L1304" i="1"/>
  <c r="J1304" i="1"/>
  <c r="Q1303" i="1"/>
  <c r="R1303" i="1" s="1"/>
  <c r="P1303" i="1"/>
  <c r="L1303" i="1"/>
  <c r="J1303" i="1"/>
  <c r="Q1302" i="1"/>
  <c r="P1302" i="1"/>
  <c r="L1302" i="1"/>
  <c r="J1302" i="1"/>
  <c r="Q1301" i="1"/>
  <c r="P1301" i="1"/>
  <c r="R1301" i="1" s="1"/>
  <c r="L1301" i="1"/>
  <c r="J1301" i="1"/>
  <c r="Q1300" i="1"/>
  <c r="P1300" i="1"/>
  <c r="R1300" i="1" s="1"/>
  <c r="L1300" i="1"/>
  <c r="N1300" i="1" s="1"/>
  <c r="J1300" i="1"/>
  <c r="Q1299" i="1"/>
  <c r="P1299" i="1"/>
  <c r="R1299" i="1" s="1"/>
  <c r="L1299" i="1"/>
  <c r="J1299" i="1"/>
  <c r="N1299" i="1" s="1"/>
  <c r="Q1298" i="1"/>
  <c r="P1298" i="1"/>
  <c r="R1298" i="1" s="1"/>
  <c r="L1298" i="1"/>
  <c r="J1298" i="1"/>
  <c r="Q1297" i="1"/>
  <c r="P1297" i="1"/>
  <c r="L1297" i="1"/>
  <c r="J1297" i="1"/>
  <c r="Q1296" i="1"/>
  <c r="P1296" i="1"/>
  <c r="R1296" i="1" s="1"/>
  <c r="L1296" i="1"/>
  <c r="J1296" i="1"/>
  <c r="N1296" i="1" s="1"/>
  <c r="Q1295" i="1"/>
  <c r="R1295" i="1" s="1"/>
  <c r="P1295" i="1"/>
  <c r="L1295" i="1"/>
  <c r="J1295" i="1"/>
  <c r="R1294" i="1"/>
  <c r="Q1294" i="1"/>
  <c r="P1294" i="1"/>
  <c r="L1294" i="1"/>
  <c r="J1294" i="1"/>
  <c r="R1293" i="1"/>
  <c r="Q1293" i="1"/>
  <c r="P1293" i="1"/>
  <c r="L1293" i="1"/>
  <c r="J1293" i="1"/>
  <c r="N1293" i="1" s="1"/>
  <c r="Q1292" i="1"/>
  <c r="P1292" i="1"/>
  <c r="L1292" i="1"/>
  <c r="J1292" i="1"/>
  <c r="N1292" i="1" s="1"/>
  <c r="Q1291" i="1"/>
  <c r="R1291" i="1" s="1"/>
  <c r="P1291" i="1"/>
  <c r="L1291" i="1"/>
  <c r="J1291" i="1"/>
  <c r="Q1290" i="1"/>
  <c r="P1290" i="1"/>
  <c r="R1290" i="1" s="1"/>
  <c r="L1290" i="1"/>
  <c r="N1290" i="1" s="1"/>
  <c r="J1290" i="1"/>
  <c r="Q1289" i="1"/>
  <c r="P1289" i="1"/>
  <c r="R1289" i="1" s="1"/>
  <c r="N1289" i="1"/>
  <c r="L1289" i="1"/>
  <c r="J1289" i="1"/>
  <c r="Q1288" i="1"/>
  <c r="P1288" i="1"/>
  <c r="L1288" i="1"/>
  <c r="J1288" i="1"/>
  <c r="Q1287" i="1"/>
  <c r="P1287" i="1"/>
  <c r="N1287" i="1"/>
  <c r="L1287" i="1"/>
  <c r="J1287" i="1"/>
  <c r="Q1286" i="1"/>
  <c r="P1286" i="1"/>
  <c r="R1286" i="1" s="1"/>
  <c r="L1286" i="1"/>
  <c r="J1286" i="1"/>
  <c r="Q1285" i="1"/>
  <c r="P1285" i="1"/>
  <c r="R1285" i="1" s="1"/>
  <c r="L1285" i="1"/>
  <c r="N1285" i="1" s="1"/>
  <c r="J1285" i="1"/>
  <c r="Q1284" i="1"/>
  <c r="P1284" i="1"/>
  <c r="R1284" i="1" s="1"/>
  <c r="L1284" i="1"/>
  <c r="J1284" i="1"/>
  <c r="N1284" i="1" s="1"/>
  <c r="Q1283" i="1"/>
  <c r="R1283" i="1" s="1"/>
  <c r="P1283" i="1"/>
  <c r="L1283" i="1"/>
  <c r="J1283" i="1"/>
  <c r="Q1282" i="1"/>
  <c r="P1282" i="1"/>
  <c r="L1282" i="1"/>
  <c r="J1282" i="1"/>
  <c r="N1282" i="1" s="1"/>
  <c r="Q1281" i="1"/>
  <c r="P1281" i="1"/>
  <c r="R1281" i="1" s="1"/>
  <c r="L1281" i="1"/>
  <c r="J1281" i="1"/>
  <c r="R1280" i="1"/>
  <c r="Q1280" i="1"/>
  <c r="P1280" i="1"/>
  <c r="L1280" i="1"/>
  <c r="N1280" i="1" s="1"/>
  <c r="J1280" i="1"/>
  <c r="Q1279" i="1"/>
  <c r="P1279" i="1"/>
  <c r="R1279" i="1" s="1"/>
  <c r="N1279" i="1"/>
  <c r="L1279" i="1"/>
  <c r="J1279" i="1"/>
  <c r="Q1278" i="1"/>
  <c r="P1278" i="1"/>
  <c r="L1278" i="1"/>
  <c r="J1278" i="1"/>
  <c r="Q1277" i="1"/>
  <c r="P1277" i="1"/>
  <c r="R1277" i="1" s="1"/>
  <c r="L1277" i="1"/>
  <c r="N1277" i="1" s="1"/>
  <c r="J1277" i="1"/>
  <c r="Q1276" i="1"/>
  <c r="P1276" i="1"/>
  <c r="R1276" i="1" s="1"/>
  <c r="L1276" i="1"/>
  <c r="J1276" i="1"/>
  <c r="Q1275" i="1"/>
  <c r="P1275" i="1"/>
  <c r="R1275" i="1" s="1"/>
  <c r="L1275" i="1"/>
  <c r="J1275" i="1"/>
  <c r="N1275" i="1" s="1"/>
  <c r="R1274" i="1"/>
  <c r="Q1274" i="1"/>
  <c r="P1274" i="1"/>
  <c r="N1274" i="1"/>
  <c r="L1274" i="1"/>
  <c r="J1274" i="1"/>
  <c r="Q1273" i="1"/>
  <c r="P1273" i="1"/>
  <c r="L1273" i="1"/>
  <c r="J1273" i="1"/>
  <c r="N1273" i="1" s="1"/>
  <c r="Q1272" i="1"/>
  <c r="P1272" i="1"/>
  <c r="N1272" i="1"/>
  <c r="L1272" i="1"/>
  <c r="J1272" i="1"/>
  <c r="Q1271" i="1"/>
  <c r="P1271" i="1"/>
  <c r="R1271" i="1" s="1"/>
  <c r="L1271" i="1"/>
  <c r="J1271" i="1"/>
  <c r="N1271" i="1" s="1"/>
  <c r="Q1270" i="1"/>
  <c r="P1270" i="1"/>
  <c r="N1270" i="1"/>
  <c r="L1270" i="1"/>
  <c r="J1270" i="1"/>
  <c r="Q1269" i="1"/>
  <c r="P1269" i="1"/>
  <c r="R1269" i="1" s="1"/>
  <c r="L1269" i="1"/>
  <c r="J1269" i="1"/>
  <c r="Q1268" i="1"/>
  <c r="P1268" i="1"/>
  <c r="R1268" i="1" s="1"/>
  <c r="L1268" i="1"/>
  <c r="J1268" i="1"/>
  <c r="Q1267" i="1"/>
  <c r="P1267" i="1"/>
  <c r="L1267" i="1"/>
  <c r="J1267" i="1"/>
  <c r="N1267" i="1" s="1"/>
  <c r="Q1266" i="1"/>
  <c r="P1266" i="1"/>
  <c r="L1266" i="1"/>
  <c r="J1266" i="1"/>
  <c r="N1266" i="1" s="1"/>
  <c r="R1265" i="1"/>
  <c r="Q1265" i="1"/>
  <c r="P1265" i="1"/>
  <c r="L1265" i="1"/>
  <c r="J1265" i="1"/>
  <c r="R1264" i="1"/>
  <c r="Q1264" i="1"/>
  <c r="P1264" i="1"/>
  <c r="L1264" i="1"/>
  <c r="N1264" i="1" s="1"/>
  <c r="J1264" i="1"/>
  <c r="Q1263" i="1"/>
  <c r="P1263" i="1"/>
  <c r="L1263" i="1"/>
  <c r="J1263" i="1"/>
  <c r="Q1262" i="1"/>
  <c r="P1262" i="1"/>
  <c r="L1262" i="1"/>
  <c r="J1262" i="1"/>
  <c r="N1262" i="1" s="1"/>
  <c r="Q1261" i="1"/>
  <c r="P1261" i="1"/>
  <c r="L1261" i="1"/>
  <c r="J1261" i="1"/>
  <c r="Q1260" i="1"/>
  <c r="P1260" i="1"/>
  <c r="R1260" i="1" s="1"/>
  <c r="N1260" i="1"/>
  <c r="L1260" i="1"/>
  <c r="J1260" i="1"/>
  <c r="R1259" i="1"/>
  <c r="Q1259" i="1"/>
  <c r="P1259" i="1"/>
  <c r="L1259" i="1"/>
  <c r="J1259" i="1"/>
  <c r="N1259" i="1" s="1"/>
  <c r="R1258" i="1"/>
  <c r="Q1258" i="1"/>
  <c r="P1258" i="1"/>
  <c r="L1258" i="1"/>
  <c r="J1258" i="1"/>
  <c r="N1258" i="1" s="1"/>
  <c r="Q1257" i="1"/>
  <c r="P1257" i="1"/>
  <c r="L1257" i="1"/>
  <c r="J1257" i="1"/>
  <c r="N1257" i="1" s="1"/>
  <c r="Q1256" i="1"/>
  <c r="P1256" i="1"/>
  <c r="L1256" i="1"/>
  <c r="J1256" i="1"/>
  <c r="R1255" i="1"/>
  <c r="Q1255" i="1"/>
  <c r="P1255" i="1"/>
  <c r="L1255" i="1"/>
  <c r="J1255" i="1"/>
  <c r="N1255" i="1" s="1"/>
  <c r="Q1254" i="1"/>
  <c r="P1254" i="1"/>
  <c r="R1254" i="1" s="1"/>
  <c r="L1254" i="1"/>
  <c r="J1254" i="1"/>
  <c r="R1253" i="1"/>
  <c r="Q1253" i="1"/>
  <c r="P1253" i="1"/>
  <c r="L1253" i="1"/>
  <c r="J1253" i="1"/>
  <c r="Q1252" i="1"/>
  <c r="P1252" i="1"/>
  <c r="R1252" i="1" s="1"/>
  <c r="L1252" i="1"/>
  <c r="J1252" i="1"/>
  <c r="R1251" i="1"/>
  <c r="Q1251" i="1"/>
  <c r="P1251" i="1"/>
  <c r="L1251" i="1"/>
  <c r="J1251" i="1"/>
  <c r="N1251" i="1" s="1"/>
  <c r="Q1250" i="1"/>
  <c r="P1250" i="1"/>
  <c r="L1250" i="1"/>
  <c r="J1250" i="1"/>
  <c r="R1249" i="1"/>
  <c r="Q1249" i="1"/>
  <c r="P1249" i="1"/>
  <c r="L1249" i="1"/>
  <c r="J1249" i="1"/>
  <c r="N1249" i="1" s="1"/>
  <c r="Q1248" i="1"/>
  <c r="P1248" i="1"/>
  <c r="L1248" i="1"/>
  <c r="J1248" i="1"/>
  <c r="N1248" i="1" s="1"/>
  <c r="Q1247" i="1"/>
  <c r="P1247" i="1"/>
  <c r="N1247" i="1"/>
  <c r="L1247" i="1"/>
  <c r="J1247" i="1"/>
  <c r="Q1246" i="1"/>
  <c r="P1246" i="1"/>
  <c r="R1246" i="1" s="1"/>
  <c r="L1246" i="1"/>
  <c r="J1246" i="1"/>
  <c r="Q1245" i="1"/>
  <c r="P1245" i="1"/>
  <c r="R1245" i="1" s="1"/>
  <c r="L1245" i="1"/>
  <c r="N1245" i="1" s="1"/>
  <c r="J1245" i="1"/>
  <c r="Q1244" i="1"/>
  <c r="P1244" i="1"/>
  <c r="R1244" i="1" s="1"/>
  <c r="L1244" i="1"/>
  <c r="J1244" i="1"/>
  <c r="N1244" i="1" s="1"/>
  <c r="Q1243" i="1"/>
  <c r="P1243" i="1"/>
  <c r="L1243" i="1"/>
  <c r="J1243" i="1"/>
  <c r="Q1242" i="1"/>
  <c r="P1242" i="1"/>
  <c r="R1242" i="1" s="1"/>
  <c r="L1242" i="1"/>
  <c r="J1242" i="1"/>
  <c r="Q1241" i="1"/>
  <c r="P1241" i="1"/>
  <c r="R1241" i="1" s="1"/>
  <c r="L1241" i="1"/>
  <c r="J1241" i="1"/>
  <c r="Q1240" i="1"/>
  <c r="P1240" i="1"/>
  <c r="L1240" i="1"/>
  <c r="J1240" i="1"/>
  <c r="Q1239" i="1"/>
  <c r="P1239" i="1"/>
  <c r="R1239" i="1" s="1"/>
  <c r="L1239" i="1"/>
  <c r="J1239" i="1"/>
  <c r="N1239" i="1" s="1"/>
  <c r="Q1238" i="1"/>
  <c r="P1238" i="1"/>
  <c r="L1238" i="1"/>
  <c r="J1238" i="1"/>
  <c r="Q1237" i="1"/>
  <c r="P1237" i="1"/>
  <c r="L1237" i="1"/>
  <c r="J1237" i="1"/>
  <c r="Q1236" i="1"/>
  <c r="P1236" i="1"/>
  <c r="R1236" i="1" s="1"/>
  <c r="L1236" i="1"/>
  <c r="J1236" i="1"/>
  <c r="Q1235" i="1"/>
  <c r="P1235" i="1"/>
  <c r="R1235" i="1" s="1"/>
  <c r="L1235" i="1"/>
  <c r="N1235" i="1" s="1"/>
  <c r="J1235" i="1"/>
  <c r="Q1234" i="1"/>
  <c r="P1234" i="1"/>
  <c r="R1234" i="1" s="1"/>
  <c r="L1234" i="1"/>
  <c r="J1234" i="1"/>
  <c r="Q1233" i="1"/>
  <c r="P1233" i="1"/>
  <c r="R1233" i="1" s="1"/>
  <c r="L1233" i="1"/>
  <c r="J1233" i="1"/>
  <c r="Q1232" i="1"/>
  <c r="P1232" i="1"/>
  <c r="L1232" i="1"/>
  <c r="J1232" i="1"/>
  <c r="N1232" i="1" s="1"/>
  <c r="R1231" i="1"/>
  <c r="Q1231" i="1"/>
  <c r="P1231" i="1"/>
  <c r="L1231" i="1"/>
  <c r="J1231" i="1"/>
  <c r="N1231" i="1" s="1"/>
  <c r="R1230" i="1"/>
  <c r="Q1230" i="1"/>
  <c r="P1230" i="1"/>
  <c r="L1230" i="1"/>
  <c r="J1230" i="1"/>
  <c r="R1229" i="1"/>
  <c r="Q1229" i="1"/>
  <c r="P1229" i="1"/>
  <c r="L1229" i="1"/>
  <c r="J1229" i="1"/>
  <c r="Q1228" i="1"/>
  <c r="P1228" i="1"/>
  <c r="L1228" i="1"/>
  <c r="J1228" i="1"/>
  <c r="Q1227" i="1"/>
  <c r="P1227" i="1"/>
  <c r="L1227" i="1"/>
  <c r="J1227" i="1"/>
  <c r="N1227" i="1" s="1"/>
  <c r="Q1226" i="1"/>
  <c r="P1226" i="1"/>
  <c r="R1226" i="1" s="1"/>
  <c r="L1226" i="1"/>
  <c r="J1226" i="1"/>
  <c r="Q1225" i="1"/>
  <c r="R1225" i="1" s="1"/>
  <c r="P1225" i="1"/>
  <c r="N1225" i="1"/>
  <c r="L1225" i="1"/>
  <c r="J1225" i="1"/>
  <c r="Q1224" i="1"/>
  <c r="P1224" i="1"/>
  <c r="L1224" i="1"/>
  <c r="J1224" i="1"/>
  <c r="Q1223" i="1"/>
  <c r="R1223" i="1" s="1"/>
  <c r="P1223" i="1"/>
  <c r="L1223" i="1"/>
  <c r="J1223" i="1"/>
  <c r="Q1222" i="1"/>
  <c r="P1222" i="1"/>
  <c r="R1222" i="1" s="1"/>
  <c r="L1222" i="1"/>
  <c r="J1222" i="1"/>
  <c r="R1221" i="1"/>
  <c r="Q1221" i="1"/>
  <c r="P1221" i="1"/>
  <c r="L1221" i="1"/>
  <c r="J1221" i="1"/>
  <c r="Q1220" i="1"/>
  <c r="P1220" i="1"/>
  <c r="R1220" i="1" s="1"/>
  <c r="L1220" i="1"/>
  <c r="J1220" i="1"/>
  <c r="R1219" i="1"/>
  <c r="Q1219" i="1"/>
  <c r="P1219" i="1"/>
  <c r="L1219" i="1"/>
  <c r="J1219" i="1"/>
  <c r="Q1218" i="1"/>
  <c r="P1218" i="1"/>
  <c r="L1218" i="1"/>
  <c r="J1218" i="1"/>
  <c r="N1218" i="1" s="1"/>
  <c r="Q1217" i="1"/>
  <c r="P1217" i="1"/>
  <c r="L1217" i="1"/>
  <c r="J1217" i="1"/>
  <c r="Q1216" i="1"/>
  <c r="P1216" i="1"/>
  <c r="L1216" i="1"/>
  <c r="J1216" i="1"/>
  <c r="Q1215" i="1"/>
  <c r="P1215" i="1"/>
  <c r="R1215" i="1" s="1"/>
  <c r="L1215" i="1"/>
  <c r="N1215" i="1" s="1"/>
  <c r="J1215" i="1"/>
  <c r="R1214" i="1"/>
  <c r="Q1214" i="1"/>
  <c r="P1214" i="1"/>
  <c r="L1214" i="1"/>
  <c r="J1214" i="1"/>
  <c r="N1214" i="1" s="1"/>
  <c r="Q1213" i="1"/>
  <c r="P1213" i="1"/>
  <c r="R1213" i="1" s="1"/>
  <c r="L1213" i="1"/>
  <c r="J1213" i="1"/>
  <c r="N1213" i="1" s="1"/>
  <c r="Q1212" i="1"/>
  <c r="P1212" i="1"/>
  <c r="N1212" i="1"/>
  <c r="L1212" i="1"/>
  <c r="J1212" i="1"/>
  <c r="Q1211" i="1"/>
  <c r="P1211" i="1"/>
  <c r="R1211" i="1" s="1"/>
  <c r="L1211" i="1"/>
  <c r="J1211" i="1"/>
  <c r="N1211" i="1" s="1"/>
  <c r="Q1210" i="1"/>
  <c r="P1210" i="1"/>
  <c r="N1210" i="1"/>
  <c r="L1210" i="1"/>
  <c r="J1210" i="1"/>
  <c r="Q1209" i="1"/>
  <c r="P1209" i="1"/>
  <c r="R1209" i="1" s="1"/>
  <c r="L1209" i="1"/>
  <c r="J1209" i="1"/>
  <c r="N1209" i="1" s="1"/>
  <c r="Q1208" i="1"/>
  <c r="P1208" i="1"/>
  <c r="R1208" i="1" s="1"/>
  <c r="L1208" i="1"/>
  <c r="J1208" i="1"/>
  <c r="Q1207" i="1"/>
  <c r="P1207" i="1"/>
  <c r="L1207" i="1"/>
  <c r="J1207" i="1"/>
  <c r="N1207" i="1" s="1"/>
  <c r="Q1206" i="1"/>
  <c r="P1206" i="1"/>
  <c r="R1206" i="1" s="1"/>
  <c r="L1206" i="1"/>
  <c r="J1206" i="1"/>
  <c r="Q1205" i="1"/>
  <c r="P1205" i="1"/>
  <c r="R1205" i="1" s="1"/>
  <c r="L1205" i="1"/>
  <c r="J1205" i="1"/>
  <c r="Q1204" i="1"/>
  <c r="P1204" i="1"/>
  <c r="R1204" i="1" s="1"/>
  <c r="L1204" i="1"/>
  <c r="J1204" i="1"/>
  <c r="Q1203" i="1"/>
  <c r="P1203" i="1"/>
  <c r="L1203" i="1"/>
  <c r="J1203" i="1"/>
  <c r="Q1202" i="1"/>
  <c r="P1202" i="1"/>
  <c r="R1202" i="1" s="1"/>
  <c r="L1202" i="1"/>
  <c r="J1202" i="1"/>
  <c r="R1201" i="1"/>
  <c r="Q1201" i="1"/>
  <c r="P1201" i="1"/>
  <c r="L1201" i="1"/>
  <c r="J1201" i="1"/>
  <c r="N1201" i="1" s="1"/>
  <c r="Q1200" i="1"/>
  <c r="P1200" i="1"/>
  <c r="R1200" i="1" s="1"/>
  <c r="L1200" i="1"/>
  <c r="J1200" i="1"/>
  <c r="N1200" i="1" s="1"/>
  <c r="R1199" i="1"/>
  <c r="Q1199" i="1"/>
  <c r="P1199" i="1"/>
  <c r="L1199" i="1"/>
  <c r="J1199" i="1"/>
  <c r="N1199" i="1" s="1"/>
  <c r="Q1198" i="1"/>
  <c r="P1198" i="1"/>
  <c r="L1198" i="1"/>
  <c r="J1198" i="1"/>
  <c r="Q1197" i="1"/>
  <c r="P1197" i="1"/>
  <c r="L1197" i="1"/>
  <c r="J1197" i="1"/>
  <c r="Q1196" i="1"/>
  <c r="P1196" i="1"/>
  <c r="R1196" i="1" s="1"/>
  <c r="L1196" i="1"/>
  <c r="J1196" i="1"/>
  <c r="Q1195" i="1"/>
  <c r="R1195" i="1" s="1"/>
  <c r="P1195" i="1"/>
  <c r="L1195" i="1"/>
  <c r="N1195" i="1" s="1"/>
  <c r="J1195" i="1"/>
  <c r="Q1194" i="1"/>
  <c r="P1194" i="1"/>
  <c r="L1194" i="1"/>
  <c r="J1194" i="1"/>
  <c r="Q1193" i="1"/>
  <c r="P1193" i="1"/>
  <c r="R1193" i="1" s="1"/>
  <c r="L1193" i="1"/>
  <c r="J1193" i="1"/>
  <c r="Q1192" i="1"/>
  <c r="P1192" i="1"/>
  <c r="R1192" i="1" s="1"/>
  <c r="L1192" i="1"/>
  <c r="J1192" i="1"/>
  <c r="N1192" i="1" s="1"/>
  <c r="Q1191" i="1"/>
  <c r="P1191" i="1"/>
  <c r="L1191" i="1"/>
  <c r="J1191" i="1"/>
  <c r="Q1190" i="1"/>
  <c r="R1190" i="1" s="1"/>
  <c r="P1190" i="1"/>
  <c r="L1190" i="1"/>
  <c r="J1190" i="1"/>
  <c r="Q1189" i="1"/>
  <c r="P1189" i="1"/>
  <c r="L1189" i="1"/>
  <c r="J1189" i="1"/>
  <c r="R1188" i="1"/>
  <c r="Q1188" i="1"/>
  <c r="P1188" i="1"/>
  <c r="L1188" i="1"/>
  <c r="J1188" i="1"/>
  <c r="N1188" i="1" s="1"/>
  <c r="Q1187" i="1"/>
  <c r="P1187" i="1"/>
  <c r="R1187" i="1" s="1"/>
  <c r="L1187" i="1"/>
  <c r="J1187" i="1"/>
  <c r="R1186" i="1"/>
  <c r="Q1186" i="1"/>
  <c r="P1186" i="1"/>
  <c r="L1186" i="1"/>
  <c r="J1186" i="1"/>
  <c r="N1186" i="1" s="1"/>
  <c r="Q1185" i="1"/>
  <c r="P1185" i="1"/>
  <c r="N1185" i="1"/>
  <c r="L1185" i="1"/>
  <c r="J1185" i="1"/>
  <c r="Q1184" i="1"/>
  <c r="R1184" i="1" s="1"/>
  <c r="P1184" i="1"/>
  <c r="L1184" i="1"/>
  <c r="J1184" i="1"/>
  <c r="N1184" i="1" s="1"/>
  <c r="Q1183" i="1"/>
  <c r="P1183" i="1"/>
  <c r="L1183" i="1"/>
  <c r="J1183" i="1"/>
  <c r="N1183" i="1" s="1"/>
  <c r="Q1182" i="1"/>
  <c r="P1182" i="1"/>
  <c r="N1182" i="1"/>
  <c r="L1182" i="1"/>
  <c r="J1182" i="1"/>
  <c r="Q1181" i="1"/>
  <c r="P1181" i="1"/>
  <c r="L1181" i="1"/>
  <c r="J1181" i="1"/>
  <c r="Q1180" i="1"/>
  <c r="R1180" i="1" s="1"/>
  <c r="P1180" i="1"/>
  <c r="N1180" i="1"/>
  <c r="L1180" i="1"/>
  <c r="J1180" i="1"/>
  <c r="Q1179" i="1"/>
  <c r="P1179" i="1"/>
  <c r="L1179" i="1"/>
  <c r="J1179" i="1"/>
  <c r="Q1178" i="1"/>
  <c r="R1178" i="1" s="1"/>
  <c r="P1178" i="1"/>
  <c r="L1178" i="1"/>
  <c r="J1178" i="1"/>
  <c r="Q1177" i="1"/>
  <c r="P1177" i="1"/>
  <c r="R1177" i="1" s="1"/>
  <c r="L1177" i="1"/>
  <c r="J1177" i="1"/>
  <c r="Q1176" i="1"/>
  <c r="P1176" i="1"/>
  <c r="R1176" i="1" s="1"/>
  <c r="N1176" i="1"/>
  <c r="L1176" i="1"/>
  <c r="J1176" i="1"/>
  <c r="Q1175" i="1"/>
  <c r="P1175" i="1"/>
  <c r="R1175" i="1" s="1"/>
  <c r="L1175" i="1"/>
  <c r="N1175" i="1" s="1"/>
  <c r="J1175" i="1"/>
  <c r="Q1174" i="1"/>
  <c r="P1174" i="1"/>
  <c r="R1174" i="1" s="1"/>
  <c r="L1174" i="1"/>
  <c r="J1174" i="1"/>
  <c r="Q1173" i="1"/>
  <c r="P1173" i="1"/>
  <c r="R1173" i="1" s="1"/>
  <c r="L1173" i="1"/>
  <c r="J1173" i="1"/>
  <c r="Q1172" i="1"/>
  <c r="P1172" i="1"/>
  <c r="L1172" i="1"/>
  <c r="J1172" i="1"/>
  <c r="N1172" i="1" s="1"/>
  <c r="Q1171" i="1"/>
  <c r="P1171" i="1"/>
  <c r="L1171" i="1"/>
  <c r="J1171" i="1"/>
  <c r="N1171" i="1" s="1"/>
  <c r="R1170" i="1"/>
  <c r="Q1170" i="1"/>
  <c r="P1170" i="1"/>
  <c r="L1170" i="1"/>
  <c r="N1170" i="1" s="1"/>
  <c r="J1170" i="1"/>
  <c r="Q1169" i="1"/>
  <c r="R1169" i="1" s="1"/>
  <c r="P1169" i="1"/>
  <c r="L1169" i="1"/>
  <c r="J1169" i="1"/>
  <c r="N1169" i="1" s="1"/>
  <c r="Q1168" i="1"/>
  <c r="P1168" i="1"/>
  <c r="L1168" i="1"/>
  <c r="J1168" i="1"/>
  <c r="Q1167" i="1"/>
  <c r="P1167" i="1"/>
  <c r="N1167" i="1"/>
  <c r="L1167" i="1"/>
  <c r="J1167" i="1"/>
  <c r="Q1166" i="1"/>
  <c r="P1166" i="1"/>
  <c r="R1166" i="1" s="1"/>
  <c r="L1166" i="1"/>
  <c r="J1166" i="1"/>
  <c r="Q1165" i="1"/>
  <c r="P1165" i="1"/>
  <c r="L1165" i="1"/>
  <c r="N1165" i="1" s="1"/>
  <c r="J1165" i="1"/>
  <c r="Q1164" i="1"/>
  <c r="P1164" i="1"/>
  <c r="R1164" i="1" s="1"/>
  <c r="L1164" i="1"/>
  <c r="J1164" i="1"/>
  <c r="R1163" i="1"/>
  <c r="Q1163" i="1"/>
  <c r="P1163" i="1"/>
  <c r="L1163" i="1"/>
  <c r="J1163" i="1"/>
  <c r="Q1162" i="1"/>
  <c r="P1162" i="1"/>
  <c r="L1162" i="1"/>
  <c r="J1162" i="1"/>
  <c r="N1162" i="1" s="1"/>
  <c r="R1161" i="1"/>
  <c r="Q1161" i="1"/>
  <c r="P1161" i="1"/>
  <c r="L1161" i="1"/>
  <c r="J1161" i="1"/>
  <c r="N1161" i="1" s="1"/>
  <c r="R1160" i="1"/>
  <c r="Q1160" i="1"/>
  <c r="P1160" i="1"/>
  <c r="L1160" i="1"/>
  <c r="J1160" i="1"/>
  <c r="N1160" i="1" s="1"/>
  <c r="Q1159" i="1"/>
  <c r="R1159" i="1" s="1"/>
  <c r="P1159" i="1"/>
  <c r="L1159" i="1"/>
  <c r="N1159" i="1" s="1"/>
  <c r="J1159" i="1"/>
  <c r="R1158" i="1"/>
  <c r="Q1158" i="1"/>
  <c r="P1158" i="1"/>
  <c r="L1158" i="1"/>
  <c r="J1158" i="1"/>
  <c r="N1158" i="1" s="1"/>
  <c r="Q1157" i="1"/>
  <c r="P1157" i="1"/>
  <c r="L1157" i="1"/>
  <c r="N1157" i="1" s="1"/>
  <c r="J1157" i="1"/>
  <c r="R1156" i="1"/>
  <c r="Q1156" i="1"/>
  <c r="P1156" i="1"/>
  <c r="L1156" i="1"/>
  <c r="J1156" i="1"/>
  <c r="N1156" i="1" s="1"/>
  <c r="Q1155" i="1"/>
  <c r="P1155" i="1"/>
  <c r="R1155" i="1" s="1"/>
  <c r="N1155" i="1"/>
  <c r="L1155" i="1"/>
  <c r="J1155" i="1"/>
  <c r="R1154" i="1"/>
  <c r="Q1154" i="1"/>
  <c r="P1154" i="1"/>
  <c r="L1154" i="1"/>
  <c r="J1154" i="1"/>
  <c r="Q1153" i="1"/>
  <c r="P1153" i="1"/>
  <c r="R1153" i="1" s="1"/>
  <c r="N1153" i="1"/>
  <c r="L1153" i="1"/>
  <c r="J1153" i="1"/>
  <c r="Q1152" i="1"/>
  <c r="P1152" i="1"/>
  <c r="L1152" i="1"/>
  <c r="J1152" i="1"/>
  <c r="N1152" i="1" s="1"/>
  <c r="Q1151" i="1"/>
  <c r="R1151" i="1" s="1"/>
  <c r="P1151" i="1"/>
  <c r="L1151" i="1"/>
  <c r="J1151" i="1"/>
  <c r="Q1150" i="1"/>
  <c r="P1150" i="1"/>
  <c r="N1150" i="1"/>
  <c r="L1150" i="1"/>
  <c r="J1150" i="1"/>
  <c r="Q1149" i="1"/>
  <c r="P1149" i="1"/>
  <c r="R1149" i="1" s="1"/>
  <c r="L1149" i="1"/>
  <c r="J1149" i="1"/>
  <c r="N1149" i="1" s="1"/>
  <c r="Q1148" i="1"/>
  <c r="R1148" i="1" s="1"/>
  <c r="P1148" i="1"/>
  <c r="N1148" i="1"/>
  <c r="L1148" i="1"/>
  <c r="J1148" i="1"/>
  <c r="Q1147" i="1"/>
  <c r="P1147" i="1"/>
  <c r="R1147" i="1" s="1"/>
  <c r="L1147" i="1"/>
  <c r="J1147" i="1"/>
  <c r="Q1146" i="1"/>
  <c r="R1146" i="1" s="1"/>
  <c r="P1146" i="1"/>
  <c r="L1146" i="1"/>
  <c r="J1146" i="1"/>
  <c r="Q1145" i="1"/>
  <c r="P1145" i="1"/>
  <c r="R1145" i="1" s="1"/>
  <c r="L1145" i="1"/>
  <c r="J1145" i="1"/>
  <c r="Q1144" i="1"/>
  <c r="P1144" i="1"/>
  <c r="R1144" i="1" s="1"/>
  <c r="L1144" i="1"/>
  <c r="J1144" i="1"/>
  <c r="Q1143" i="1"/>
  <c r="P1143" i="1"/>
  <c r="L1143" i="1"/>
  <c r="J1143" i="1"/>
  <c r="Q1142" i="1"/>
  <c r="P1142" i="1"/>
  <c r="R1142" i="1" s="1"/>
  <c r="L1142" i="1"/>
  <c r="N1142" i="1" s="1"/>
  <c r="J1142" i="1"/>
  <c r="Q1141" i="1"/>
  <c r="R1141" i="1" s="1"/>
  <c r="P1141" i="1"/>
  <c r="L1141" i="1"/>
  <c r="J1141" i="1"/>
  <c r="N1141" i="1" s="1"/>
  <c r="Q1140" i="1"/>
  <c r="P1140" i="1"/>
  <c r="R1140" i="1" s="1"/>
  <c r="L1140" i="1"/>
  <c r="J1140" i="1"/>
  <c r="N1140" i="1" s="1"/>
  <c r="R1139" i="1"/>
  <c r="Q1139" i="1"/>
  <c r="P1139" i="1"/>
  <c r="L1139" i="1"/>
  <c r="J1139" i="1"/>
  <c r="Q1138" i="1"/>
  <c r="P1138" i="1"/>
  <c r="L1138" i="1"/>
  <c r="J1138" i="1"/>
  <c r="N1138" i="1" s="1"/>
  <c r="Q1137" i="1"/>
  <c r="P1137" i="1"/>
  <c r="L1137" i="1"/>
  <c r="J1137" i="1"/>
  <c r="N1137" i="1" s="1"/>
  <c r="Q1136" i="1"/>
  <c r="P1136" i="1"/>
  <c r="R1136" i="1" s="1"/>
  <c r="L1136" i="1"/>
  <c r="J1136" i="1"/>
  <c r="N1136" i="1" s="1"/>
  <c r="Q1135" i="1"/>
  <c r="P1135" i="1"/>
  <c r="L1135" i="1"/>
  <c r="J1135" i="1"/>
  <c r="N1135" i="1" s="1"/>
  <c r="Q1134" i="1"/>
  <c r="P1134" i="1"/>
  <c r="R1134" i="1" s="1"/>
  <c r="L1134" i="1"/>
  <c r="J1134" i="1"/>
  <c r="N1134" i="1" s="1"/>
  <c r="Q1133" i="1"/>
  <c r="P1133" i="1"/>
  <c r="L1133" i="1"/>
  <c r="J1133" i="1"/>
  <c r="N1133" i="1" s="1"/>
  <c r="Q1132" i="1"/>
  <c r="P1132" i="1"/>
  <c r="L1132" i="1"/>
  <c r="J1132" i="1"/>
  <c r="Q1131" i="1"/>
  <c r="P1131" i="1"/>
  <c r="L1131" i="1"/>
  <c r="J1131" i="1"/>
  <c r="Q1130" i="1"/>
  <c r="P1130" i="1"/>
  <c r="R1130" i="1" s="1"/>
  <c r="L1130" i="1"/>
  <c r="J1130" i="1"/>
  <c r="Q1129" i="1"/>
  <c r="P1129" i="1"/>
  <c r="R1129" i="1" s="1"/>
  <c r="L1129" i="1"/>
  <c r="J1129" i="1"/>
  <c r="Q1128" i="1"/>
  <c r="P1128" i="1"/>
  <c r="L1128" i="1"/>
  <c r="J1128" i="1"/>
  <c r="Q1127" i="1"/>
  <c r="P1127" i="1"/>
  <c r="R1127" i="1" s="1"/>
  <c r="L1127" i="1"/>
  <c r="N1127" i="1" s="1"/>
  <c r="J1127" i="1"/>
  <c r="Q1126" i="1"/>
  <c r="R1126" i="1" s="1"/>
  <c r="P1126" i="1"/>
  <c r="L1126" i="1"/>
  <c r="J1126" i="1"/>
  <c r="N1126" i="1" s="1"/>
  <c r="Q1125" i="1"/>
  <c r="R1125" i="1" s="1"/>
  <c r="P1125" i="1"/>
  <c r="L1125" i="1"/>
  <c r="J1125" i="1"/>
  <c r="R1124" i="1"/>
  <c r="Q1124" i="1"/>
  <c r="P1124" i="1"/>
  <c r="L1124" i="1"/>
  <c r="J1124" i="1"/>
  <c r="N1124" i="1" s="1"/>
  <c r="R1123" i="1"/>
  <c r="Q1123" i="1"/>
  <c r="P1123" i="1"/>
  <c r="L1123" i="1"/>
  <c r="J1123" i="1"/>
  <c r="N1123" i="1" s="1"/>
  <c r="Q1122" i="1"/>
  <c r="P1122" i="1"/>
  <c r="L1122" i="1"/>
  <c r="J1122" i="1"/>
  <c r="N1122" i="1" s="1"/>
  <c r="R1121" i="1"/>
  <c r="Q1121" i="1"/>
  <c r="P1121" i="1"/>
  <c r="L1121" i="1"/>
  <c r="J1121" i="1"/>
  <c r="R1120" i="1"/>
  <c r="Q1120" i="1"/>
  <c r="P1120" i="1"/>
  <c r="L1120" i="1"/>
  <c r="J1120" i="1"/>
  <c r="R1119" i="1"/>
  <c r="Q1119" i="1"/>
  <c r="P1119" i="1"/>
  <c r="L1119" i="1"/>
  <c r="J1119" i="1"/>
  <c r="Q1118" i="1"/>
  <c r="P1118" i="1"/>
  <c r="L1118" i="1"/>
  <c r="J1118" i="1"/>
  <c r="N1118" i="1" s="1"/>
  <c r="Q1117" i="1"/>
  <c r="P1117" i="1"/>
  <c r="R1117" i="1" s="1"/>
  <c r="L1117" i="1"/>
  <c r="J1117" i="1"/>
  <c r="N1117" i="1" s="1"/>
  <c r="Q1116" i="1"/>
  <c r="R1116" i="1" s="1"/>
  <c r="P1116" i="1"/>
  <c r="L1116" i="1"/>
  <c r="J1116" i="1"/>
  <c r="Q1115" i="1"/>
  <c r="P1115" i="1"/>
  <c r="R1115" i="1" s="1"/>
  <c r="N1115" i="1"/>
  <c r="L1115" i="1"/>
  <c r="J1115" i="1"/>
  <c r="R1114" i="1"/>
  <c r="Q1114" i="1"/>
  <c r="P1114" i="1"/>
  <c r="L1114" i="1"/>
  <c r="J1114" i="1"/>
  <c r="Q1113" i="1"/>
  <c r="P1113" i="1"/>
  <c r="R1113" i="1" s="1"/>
  <c r="N1113" i="1"/>
  <c r="L1113" i="1"/>
  <c r="J1113" i="1"/>
  <c r="Q1112" i="1"/>
  <c r="P1112" i="1"/>
  <c r="L1112" i="1"/>
  <c r="J1112" i="1"/>
  <c r="Q1111" i="1"/>
  <c r="P1111" i="1"/>
  <c r="R1111" i="1" s="1"/>
  <c r="L1111" i="1"/>
  <c r="J1111" i="1"/>
  <c r="N1111" i="1" s="1"/>
  <c r="Q1110" i="1"/>
  <c r="P1110" i="1"/>
  <c r="R1110" i="1" s="1"/>
  <c r="L1110" i="1"/>
  <c r="J1110" i="1"/>
  <c r="Q1109" i="1"/>
  <c r="P1109" i="1"/>
  <c r="R1109" i="1" s="1"/>
  <c r="L1109" i="1"/>
  <c r="J1109" i="1"/>
  <c r="R1108" i="1"/>
  <c r="Q1108" i="1"/>
  <c r="P1108" i="1"/>
  <c r="N1108" i="1"/>
  <c r="L1108" i="1"/>
  <c r="J1108" i="1"/>
  <c r="Q1107" i="1"/>
  <c r="P1107" i="1"/>
  <c r="R1107" i="1" s="1"/>
  <c r="L1107" i="1"/>
  <c r="J1107" i="1"/>
  <c r="N1107" i="1" s="1"/>
  <c r="R1106" i="1"/>
  <c r="Q1106" i="1"/>
  <c r="P1106" i="1"/>
  <c r="L1106" i="1"/>
  <c r="J1106" i="1"/>
  <c r="Q1105" i="1"/>
  <c r="P1105" i="1"/>
  <c r="R1105" i="1" s="1"/>
  <c r="N1105" i="1"/>
  <c r="L1105" i="1"/>
  <c r="J1105" i="1"/>
  <c r="R1104" i="1"/>
  <c r="Q1104" i="1"/>
  <c r="P1104" i="1"/>
  <c r="L1104" i="1"/>
  <c r="J1104" i="1"/>
  <c r="Q1103" i="1"/>
  <c r="P1103" i="1"/>
  <c r="N1103" i="1"/>
  <c r="L1103" i="1"/>
  <c r="J1103" i="1"/>
  <c r="Q1102" i="1"/>
  <c r="P1102" i="1"/>
  <c r="N1102" i="1"/>
  <c r="L1102" i="1"/>
  <c r="J1102" i="1"/>
  <c r="Q1101" i="1"/>
  <c r="P1101" i="1"/>
  <c r="L1101" i="1"/>
  <c r="J1101" i="1"/>
  <c r="Q1100" i="1"/>
  <c r="P1100" i="1"/>
  <c r="N1100" i="1"/>
  <c r="L1100" i="1"/>
  <c r="J1100" i="1"/>
  <c r="Q1099" i="1"/>
  <c r="P1099" i="1"/>
  <c r="R1099" i="1" s="1"/>
  <c r="L1099" i="1"/>
  <c r="J1099" i="1"/>
  <c r="Q1098" i="1"/>
  <c r="P1098" i="1"/>
  <c r="R1098" i="1" s="1"/>
  <c r="N1098" i="1"/>
  <c r="L1098" i="1"/>
  <c r="J1098" i="1"/>
  <c r="Q1097" i="1"/>
  <c r="P1097" i="1"/>
  <c r="R1097" i="1" s="1"/>
  <c r="L1097" i="1"/>
  <c r="J1097" i="1"/>
  <c r="Q1096" i="1"/>
  <c r="R1096" i="1" s="1"/>
  <c r="P1096" i="1"/>
  <c r="L1096" i="1"/>
  <c r="J1096" i="1"/>
  <c r="Q1095" i="1"/>
  <c r="P1095" i="1"/>
  <c r="R1095" i="1" s="1"/>
  <c r="L1095" i="1"/>
  <c r="J1095" i="1"/>
  <c r="N1095" i="1" s="1"/>
  <c r="R1094" i="1"/>
  <c r="Q1094" i="1"/>
  <c r="P1094" i="1"/>
  <c r="L1094" i="1"/>
  <c r="J1094" i="1"/>
  <c r="Q1093" i="1"/>
  <c r="P1093" i="1"/>
  <c r="L1093" i="1"/>
  <c r="J1093" i="1"/>
  <c r="Q1092" i="1"/>
  <c r="P1092" i="1"/>
  <c r="R1092" i="1" s="1"/>
  <c r="N1092" i="1"/>
  <c r="L1092" i="1"/>
  <c r="J1092" i="1"/>
  <c r="Q1091" i="1"/>
  <c r="R1091" i="1" s="1"/>
  <c r="P1091" i="1"/>
  <c r="L1091" i="1"/>
  <c r="J1091" i="1"/>
  <c r="N1091" i="1" s="1"/>
  <c r="Q1090" i="1"/>
  <c r="P1090" i="1"/>
  <c r="R1090" i="1" s="1"/>
  <c r="N1090" i="1"/>
  <c r="L1090" i="1"/>
  <c r="J1090" i="1"/>
  <c r="R1089" i="1"/>
  <c r="Q1089" i="1"/>
  <c r="P1089" i="1"/>
  <c r="L1089" i="1"/>
  <c r="J1089" i="1"/>
  <c r="N1089" i="1" s="1"/>
  <c r="Q1088" i="1"/>
  <c r="P1088" i="1"/>
  <c r="N1088" i="1"/>
  <c r="L1088" i="1"/>
  <c r="J1088" i="1"/>
  <c r="Q1087" i="1"/>
  <c r="P1087" i="1"/>
  <c r="L1087" i="1"/>
  <c r="J1087" i="1"/>
  <c r="N1087" i="1" s="1"/>
  <c r="Q1086" i="1"/>
  <c r="P1086" i="1"/>
  <c r="R1086" i="1" s="1"/>
  <c r="L1086" i="1"/>
  <c r="J1086" i="1"/>
  <c r="N1086" i="1" s="1"/>
  <c r="R1085" i="1"/>
  <c r="Q1085" i="1"/>
  <c r="P1085" i="1"/>
  <c r="L1085" i="1"/>
  <c r="J1085" i="1"/>
  <c r="N1085" i="1" s="1"/>
  <c r="Q1084" i="1"/>
  <c r="P1084" i="1"/>
  <c r="R1084" i="1" s="1"/>
  <c r="L1084" i="1"/>
  <c r="J1084" i="1"/>
  <c r="N1084" i="1" s="1"/>
  <c r="Q1083" i="1"/>
  <c r="P1083" i="1"/>
  <c r="L1083" i="1"/>
  <c r="J1083" i="1"/>
  <c r="N1083" i="1" s="1"/>
  <c r="Q1082" i="1"/>
  <c r="P1082" i="1"/>
  <c r="R1082" i="1" s="1"/>
  <c r="L1082" i="1"/>
  <c r="J1082" i="1"/>
  <c r="Q1081" i="1"/>
  <c r="P1081" i="1"/>
  <c r="L1081" i="1"/>
  <c r="J1081" i="1"/>
  <c r="Q1080" i="1"/>
  <c r="P1080" i="1"/>
  <c r="R1080" i="1" s="1"/>
  <c r="L1080" i="1"/>
  <c r="J1080" i="1"/>
  <c r="Q1079" i="1"/>
  <c r="P1079" i="1"/>
  <c r="R1079" i="1" s="1"/>
  <c r="L1079" i="1"/>
  <c r="J1079" i="1"/>
  <c r="Q1078" i="1"/>
  <c r="P1078" i="1"/>
  <c r="L1078" i="1"/>
  <c r="J1078" i="1"/>
  <c r="Q1077" i="1"/>
  <c r="P1077" i="1"/>
  <c r="L1077" i="1"/>
  <c r="N1077" i="1" s="1"/>
  <c r="J1077" i="1"/>
  <c r="Q1076" i="1"/>
  <c r="R1076" i="1" s="1"/>
  <c r="P1076" i="1"/>
  <c r="L1076" i="1"/>
  <c r="J1076" i="1"/>
  <c r="N1076" i="1" s="1"/>
  <c r="Q1075" i="1"/>
  <c r="P1075" i="1"/>
  <c r="R1075" i="1" s="1"/>
  <c r="L1075" i="1"/>
  <c r="J1075" i="1"/>
  <c r="N1075" i="1" s="1"/>
  <c r="R1074" i="1"/>
  <c r="Q1074" i="1"/>
  <c r="P1074" i="1"/>
  <c r="L1074" i="1"/>
  <c r="J1074" i="1"/>
  <c r="N1074" i="1" s="1"/>
  <c r="Q1073" i="1"/>
  <c r="P1073" i="1"/>
  <c r="R1073" i="1" s="1"/>
  <c r="N1073" i="1"/>
  <c r="L1073" i="1"/>
  <c r="J1073" i="1"/>
  <c r="Q1072" i="1"/>
  <c r="P1072" i="1"/>
  <c r="L1072" i="1"/>
  <c r="J1072" i="1"/>
  <c r="Q1071" i="1"/>
  <c r="P1071" i="1"/>
  <c r="R1071" i="1" s="1"/>
  <c r="L1071" i="1"/>
  <c r="J1071" i="1"/>
  <c r="N1071" i="1" s="1"/>
  <c r="Q1070" i="1"/>
  <c r="P1070" i="1"/>
  <c r="L1070" i="1"/>
  <c r="J1070" i="1"/>
  <c r="N1070" i="1" s="1"/>
  <c r="Q1069" i="1"/>
  <c r="P1069" i="1"/>
  <c r="R1069" i="1" s="1"/>
  <c r="L1069" i="1"/>
  <c r="J1069" i="1"/>
  <c r="N1069" i="1" s="1"/>
  <c r="Q1068" i="1"/>
  <c r="P1068" i="1"/>
  <c r="L1068" i="1"/>
  <c r="J1068" i="1"/>
  <c r="N1068" i="1" s="1"/>
  <c r="Q1067" i="1"/>
  <c r="P1067" i="1"/>
  <c r="L1067" i="1"/>
  <c r="J1067" i="1"/>
  <c r="N1067" i="1" s="1"/>
  <c r="Q1066" i="1"/>
  <c r="R1066" i="1" s="1"/>
  <c r="P1066" i="1"/>
  <c r="L1066" i="1"/>
  <c r="J1066" i="1"/>
  <c r="Q1065" i="1"/>
  <c r="P1065" i="1"/>
  <c r="R1065" i="1" s="1"/>
  <c r="L1065" i="1"/>
  <c r="J1065" i="1"/>
  <c r="Q1064" i="1"/>
  <c r="P1064" i="1"/>
  <c r="R1064" i="1" s="1"/>
  <c r="L1064" i="1"/>
  <c r="J1064" i="1"/>
  <c r="Q1063" i="1"/>
  <c r="P1063" i="1"/>
  <c r="R1063" i="1" s="1"/>
  <c r="L1063" i="1"/>
  <c r="N1063" i="1" s="1"/>
  <c r="J1063" i="1"/>
  <c r="Q1062" i="1"/>
  <c r="P1062" i="1"/>
  <c r="R1062" i="1" s="1"/>
  <c r="L1062" i="1"/>
  <c r="J1062" i="1"/>
  <c r="Q1061" i="1"/>
  <c r="R1061" i="1" s="1"/>
  <c r="P1061" i="1"/>
  <c r="L1061" i="1"/>
  <c r="J1061" i="1"/>
  <c r="N1061" i="1" s="1"/>
  <c r="R1060" i="1"/>
  <c r="Q1060" i="1"/>
  <c r="P1060" i="1"/>
  <c r="L1060" i="1"/>
  <c r="J1060" i="1"/>
  <c r="R1059" i="1"/>
  <c r="Q1059" i="1"/>
  <c r="P1059" i="1"/>
  <c r="L1059" i="1"/>
  <c r="J1059" i="1"/>
  <c r="N1059" i="1" s="1"/>
  <c r="R1058" i="1"/>
  <c r="Q1058" i="1"/>
  <c r="P1058" i="1"/>
  <c r="N1058" i="1"/>
  <c r="L1058" i="1"/>
  <c r="J1058" i="1"/>
  <c r="Q1057" i="1"/>
  <c r="P1057" i="1"/>
  <c r="L1057" i="1"/>
  <c r="J1057" i="1"/>
  <c r="R1056" i="1"/>
  <c r="Q1056" i="1"/>
  <c r="P1056" i="1"/>
  <c r="L1056" i="1"/>
  <c r="J1056" i="1"/>
  <c r="Q1055" i="1"/>
  <c r="P1055" i="1"/>
  <c r="L1055" i="1"/>
  <c r="J1055" i="1"/>
  <c r="N1055" i="1" s="1"/>
  <c r="Q1054" i="1"/>
  <c r="R1054" i="1" s="1"/>
  <c r="P1054" i="1"/>
  <c r="L1054" i="1"/>
  <c r="J1054" i="1"/>
  <c r="N1054" i="1" s="1"/>
  <c r="Q1053" i="1"/>
  <c r="P1053" i="1"/>
  <c r="L1053" i="1"/>
  <c r="J1053" i="1"/>
  <c r="N1053" i="1" s="1"/>
  <c r="Q1052" i="1"/>
  <c r="P1052" i="1"/>
  <c r="L1052" i="1"/>
  <c r="J1052" i="1"/>
  <c r="Q1051" i="1"/>
  <c r="R1051" i="1" s="1"/>
  <c r="P1051" i="1"/>
  <c r="L1051" i="1"/>
  <c r="J1051" i="1"/>
  <c r="Q1050" i="1"/>
  <c r="P1050" i="1"/>
  <c r="L1050" i="1"/>
  <c r="J1050" i="1"/>
  <c r="R1049" i="1"/>
  <c r="Q1049" i="1"/>
  <c r="P1049" i="1"/>
  <c r="L1049" i="1"/>
  <c r="J1049" i="1"/>
  <c r="Q1048" i="1"/>
  <c r="P1048" i="1"/>
  <c r="R1048" i="1" s="1"/>
  <c r="L1048" i="1"/>
  <c r="J1048" i="1"/>
  <c r="N1048" i="1" s="1"/>
  <c r="Q1047" i="1"/>
  <c r="P1047" i="1"/>
  <c r="L1047" i="1"/>
  <c r="J1047" i="1"/>
  <c r="Q1046" i="1"/>
  <c r="P1046" i="1"/>
  <c r="R1046" i="1" s="1"/>
  <c r="L1046" i="1"/>
  <c r="J1046" i="1"/>
  <c r="Q1045" i="1"/>
  <c r="P1045" i="1"/>
  <c r="R1045" i="1" s="1"/>
  <c r="L1045" i="1"/>
  <c r="J1045" i="1"/>
  <c r="Q1044" i="1"/>
  <c r="P1044" i="1"/>
  <c r="R1044" i="1" s="1"/>
  <c r="L1044" i="1"/>
  <c r="J1044" i="1"/>
  <c r="Q1043" i="1"/>
  <c r="P1043" i="1"/>
  <c r="R1043" i="1" s="1"/>
  <c r="N1043" i="1"/>
  <c r="L1043" i="1"/>
  <c r="J1043" i="1"/>
  <c r="Q1042" i="1"/>
  <c r="P1042" i="1"/>
  <c r="R1042" i="1" s="1"/>
  <c r="L1042" i="1"/>
  <c r="J1042" i="1"/>
  <c r="Q1041" i="1"/>
  <c r="R1041" i="1" s="1"/>
  <c r="P1041" i="1"/>
  <c r="L1041" i="1"/>
  <c r="J1041" i="1"/>
  <c r="Q1040" i="1"/>
  <c r="P1040" i="1"/>
  <c r="R1040" i="1" s="1"/>
  <c r="L1040" i="1"/>
  <c r="J1040" i="1"/>
  <c r="N1040" i="1" s="1"/>
  <c r="R1039" i="1"/>
  <c r="Q1039" i="1"/>
  <c r="P1039" i="1"/>
  <c r="L1039" i="1"/>
  <c r="J1039" i="1"/>
  <c r="Q1038" i="1"/>
  <c r="P1038" i="1"/>
  <c r="R1038" i="1" s="1"/>
  <c r="L1038" i="1"/>
  <c r="J1038" i="1"/>
  <c r="N1038" i="1" s="1"/>
  <c r="Q1037" i="1"/>
  <c r="P1037" i="1"/>
  <c r="L1037" i="1"/>
  <c r="N1037" i="1" s="1"/>
  <c r="J1037" i="1"/>
  <c r="Q1036" i="1"/>
  <c r="P1036" i="1"/>
  <c r="R1036" i="1" s="1"/>
  <c r="L1036" i="1"/>
  <c r="J1036" i="1"/>
  <c r="N1036" i="1" s="1"/>
  <c r="Q1035" i="1"/>
  <c r="P1035" i="1"/>
  <c r="N1035" i="1"/>
  <c r="L1035" i="1"/>
  <c r="J1035" i="1"/>
  <c r="Q1034" i="1"/>
  <c r="P1034" i="1"/>
  <c r="L1034" i="1"/>
  <c r="J1034" i="1"/>
  <c r="N1034" i="1" s="1"/>
  <c r="Q1033" i="1"/>
  <c r="P1033" i="1"/>
  <c r="R1033" i="1" s="1"/>
  <c r="N1033" i="1"/>
  <c r="L1033" i="1"/>
  <c r="J1033" i="1"/>
  <c r="Q1032" i="1"/>
  <c r="P1032" i="1"/>
  <c r="R1032" i="1" s="1"/>
  <c r="L1032" i="1"/>
  <c r="J1032" i="1"/>
  <c r="Q1031" i="1"/>
  <c r="R1031" i="1" s="1"/>
  <c r="P1031" i="1"/>
  <c r="L1031" i="1"/>
  <c r="J1031" i="1"/>
  <c r="Q1030" i="1"/>
  <c r="P1030" i="1"/>
  <c r="L1030" i="1"/>
  <c r="J1030" i="1"/>
  <c r="N1030" i="1" s="1"/>
  <c r="Q1029" i="1"/>
  <c r="P1029" i="1"/>
  <c r="R1029" i="1" s="1"/>
  <c r="L1029" i="1"/>
  <c r="J1029" i="1"/>
  <c r="Q1028" i="1"/>
  <c r="P1028" i="1"/>
  <c r="L1028" i="1"/>
  <c r="J1028" i="1"/>
  <c r="N1028" i="1" s="1"/>
  <c r="Q1027" i="1"/>
  <c r="P1027" i="1"/>
  <c r="L1027" i="1"/>
  <c r="J1027" i="1"/>
  <c r="N1027" i="1" s="1"/>
  <c r="Q1026" i="1"/>
  <c r="R1026" i="1" s="1"/>
  <c r="P1026" i="1"/>
  <c r="L1026" i="1"/>
  <c r="J1026" i="1"/>
  <c r="N1026" i="1" s="1"/>
  <c r="R1025" i="1"/>
  <c r="Q1025" i="1"/>
  <c r="P1025" i="1"/>
  <c r="L1025" i="1"/>
  <c r="J1025" i="1"/>
  <c r="N1025" i="1" s="1"/>
  <c r="R1024" i="1"/>
  <c r="Q1024" i="1"/>
  <c r="P1024" i="1"/>
  <c r="L1024" i="1"/>
  <c r="J1024" i="1"/>
  <c r="N1024" i="1" s="1"/>
  <c r="R1023" i="1"/>
  <c r="Q1023" i="1"/>
  <c r="P1023" i="1"/>
  <c r="L1023" i="1"/>
  <c r="J1023" i="1"/>
  <c r="N1023" i="1" s="1"/>
  <c r="Q1022" i="1"/>
  <c r="P1022" i="1"/>
  <c r="L1022" i="1"/>
  <c r="J1022" i="1"/>
  <c r="N1022" i="1" s="1"/>
  <c r="Q1021" i="1"/>
  <c r="R1021" i="1" s="1"/>
  <c r="P1021" i="1"/>
  <c r="L1021" i="1"/>
  <c r="J1021" i="1"/>
  <c r="N1021" i="1" s="1"/>
  <c r="Q1020" i="1"/>
  <c r="P1020" i="1"/>
  <c r="L1020" i="1"/>
  <c r="N1020" i="1" s="1"/>
  <c r="J1020" i="1"/>
  <c r="Q1019" i="1"/>
  <c r="P1019" i="1"/>
  <c r="L1019" i="1"/>
  <c r="J1019" i="1"/>
  <c r="Q1018" i="1"/>
  <c r="P1018" i="1"/>
  <c r="R1018" i="1" s="1"/>
  <c r="N1018" i="1"/>
  <c r="L1018" i="1"/>
  <c r="J1018" i="1"/>
  <c r="Q1017" i="1"/>
  <c r="P1017" i="1"/>
  <c r="R1017" i="1" s="1"/>
  <c r="L1017" i="1"/>
  <c r="J1017" i="1"/>
  <c r="N1017" i="1" s="1"/>
  <c r="Q1016" i="1"/>
  <c r="R1016" i="1" s="1"/>
  <c r="P1016" i="1"/>
  <c r="L1016" i="1"/>
  <c r="J1016" i="1"/>
  <c r="Q1015" i="1"/>
  <c r="P1015" i="1"/>
  <c r="L1015" i="1"/>
  <c r="J1015" i="1"/>
  <c r="N1015" i="1" s="1"/>
  <c r="Q1014" i="1"/>
  <c r="R1014" i="1" s="1"/>
  <c r="P1014" i="1"/>
  <c r="L1014" i="1"/>
  <c r="J1014" i="1"/>
  <c r="Q1013" i="1"/>
  <c r="P1013" i="1"/>
  <c r="L1013" i="1"/>
  <c r="J1013" i="1"/>
  <c r="N1013" i="1" s="1"/>
  <c r="Q1012" i="1"/>
  <c r="P1012" i="1"/>
  <c r="L1012" i="1"/>
  <c r="J1012" i="1"/>
  <c r="Q1011" i="1"/>
  <c r="R1011" i="1" s="1"/>
  <c r="P1011" i="1"/>
  <c r="L1011" i="1"/>
  <c r="J1011" i="1"/>
  <c r="Q1010" i="1"/>
  <c r="P1010" i="1"/>
  <c r="R1010" i="1" s="1"/>
  <c r="L1010" i="1"/>
  <c r="J1010" i="1"/>
  <c r="R1009" i="1"/>
  <c r="Q1009" i="1"/>
  <c r="P1009" i="1"/>
  <c r="L1009" i="1"/>
  <c r="J1009" i="1"/>
  <c r="Q1008" i="1"/>
  <c r="P1008" i="1"/>
  <c r="L1008" i="1"/>
  <c r="J1008" i="1"/>
  <c r="N1008" i="1" s="1"/>
  <c r="Q1007" i="1"/>
  <c r="P1007" i="1"/>
  <c r="L1007" i="1"/>
  <c r="N1007" i="1" s="1"/>
  <c r="J1007" i="1"/>
  <c r="Q1006" i="1"/>
  <c r="P1006" i="1"/>
  <c r="R1006" i="1" s="1"/>
  <c r="L1006" i="1"/>
  <c r="J1006" i="1"/>
  <c r="N1006" i="1" s="1"/>
  <c r="R1005" i="1"/>
  <c r="Q1005" i="1"/>
  <c r="P1005" i="1"/>
  <c r="L1005" i="1"/>
  <c r="J1005" i="1"/>
  <c r="N1005" i="1" s="1"/>
  <c r="Q1004" i="1"/>
  <c r="P1004" i="1"/>
  <c r="R1004" i="1" s="1"/>
  <c r="L1004" i="1"/>
  <c r="J1004" i="1"/>
  <c r="R1003" i="1"/>
  <c r="Q1003" i="1"/>
  <c r="P1003" i="1"/>
  <c r="L1003" i="1"/>
  <c r="J1003" i="1"/>
  <c r="N1003" i="1" s="1"/>
  <c r="Q1002" i="1"/>
  <c r="P1002" i="1"/>
  <c r="L1002" i="1"/>
  <c r="J1002" i="1"/>
  <c r="Q1001" i="1"/>
  <c r="P1001" i="1"/>
  <c r="L1001" i="1"/>
  <c r="J1001" i="1"/>
  <c r="Q1000" i="1"/>
  <c r="P1000" i="1"/>
  <c r="L1000" i="1"/>
  <c r="N1000" i="1" s="1"/>
  <c r="J1000" i="1"/>
  <c r="Q999" i="1"/>
  <c r="P999" i="1"/>
  <c r="R999" i="1" s="1"/>
  <c r="L999" i="1"/>
  <c r="J999" i="1"/>
  <c r="Q998" i="1"/>
  <c r="P998" i="1"/>
  <c r="R998" i="1" s="1"/>
  <c r="L998" i="1"/>
  <c r="J998" i="1"/>
  <c r="N998" i="1" s="1"/>
  <c r="Q997" i="1"/>
  <c r="P997" i="1"/>
  <c r="L997" i="1"/>
  <c r="J997" i="1"/>
  <c r="Q996" i="1"/>
  <c r="P996" i="1"/>
  <c r="R996" i="1" s="1"/>
  <c r="L996" i="1"/>
  <c r="J996" i="1"/>
  <c r="Q995" i="1"/>
  <c r="P995" i="1"/>
  <c r="R995" i="1" s="1"/>
  <c r="L995" i="1"/>
  <c r="J995" i="1"/>
  <c r="Q994" i="1"/>
  <c r="P994" i="1"/>
  <c r="R994" i="1" s="1"/>
  <c r="L994" i="1"/>
  <c r="J994" i="1"/>
  <c r="Q993" i="1"/>
  <c r="P993" i="1"/>
  <c r="R993" i="1" s="1"/>
  <c r="L993" i="1"/>
  <c r="N993" i="1" s="1"/>
  <c r="J993" i="1"/>
  <c r="Q992" i="1"/>
  <c r="P992" i="1"/>
  <c r="R992" i="1" s="1"/>
  <c r="N992" i="1"/>
  <c r="L992" i="1"/>
  <c r="J992" i="1"/>
  <c r="Q991" i="1"/>
  <c r="P991" i="1"/>
  <c r="L991" i="1"/>
  <c r="J991" i="1"/>
  <c r="N991" i="1" s="1"/>
  <c r="Q990" i="1"/>
  <c r="P990" i="1"/>
  <c r="L990" i="1"/>
  <c r="J990" i="1"/>
  <c r="N990" i="1" s="1"/>
  <c r="R989" i="1"/>
  <c r="Q989" i="1"/>
  <c r="P989" i="1"/>
  <c r="L989" i="1"/>
  <c r="J989" i="1"/>
  <c r="Q988" i="1"/>
  <c r="P988" i="1"/>
  <c r="R988" i="1" s="1"/>
  <c r="L988" i="1"/>
  <c r="J988" i="1"/>
  <c r="N988" i="1" s="1"/>
  <c r="Q987" i="1"/>
  <c r="P987" i="1"/>
  <c r="L987" i="1"/>
  <c r="J987" i="1"/>
  <c r="N987" i="1" s="1"/>
  <c r="Q986" i="1"/>
  <c r="P986" i="1"/>
  <c r="R986" i="1" s="1"/>
  <c r="L986" i="1"/>
  <c r="J986" i="1"/>
  <c r="Q985" i="1"/>
  <c r="P985" i="1"/>
  <c r="R985" i="1" s="1"/>
  <c r="L985" i="1"/>
  <c r="J985" i="1"/>
  <c r="R984" i="1"/>
  <c r="Q984" i="1"/>
  <c r="P984" i="1"/>
  <c r="L984" i="1"/>
  <c r="J984" i="1"/>
  <c r="N984" i="1" s="1"/>
  <c r="Q983" i="1"/>
  <c r="P983" i="1"/>
  <c r="N983" i="1"/>
  <c r="L983" i="1"/>
  <c r="J983" i="1"/>
  <c r="Q982" i="1"/>
  <c r="P982" i="1"/>
  <c r="L982" i="1"/>
  <c r="J982" i="1"/>
  <c r="N982" i="1" s="1"/>
  <c r="Q981" i="1"/>
  <c r="R981" i="1" s="1"/>
  <c r="P981" i="1"/>
  <c r="L981" i="1"/>
  <c r="J981" i="1"/>
  <c r="N981" i="1" s="1"/>
  <c r="Q980" i="1"/>
  <c r="P980" i="1"/>
  <c r="N980" i="1"/>
  <c r="L980" i="1"/>
  <c r="J980" i="1"/>
  <c r="Q979" i="1"/>
  <c r="P979" i="1"/>
  <c r="L979" i="1"/>
  <c r="J979" i="1"/>
  <c r="Q978" i="1"/>
  <c r="P978" i="1"/>
  <c r="N978" i="1"/>
  <c r="L978" i="1"/>
  <c r="J978" i="1"/>
  <c r="Q977" i="1"/>
  <c r="P977" i="1"/>
  <c r="R977" i="1" s="1"/>
  <c r="N977" i="1"/>
  <c r="L977" i="1"/>
  <c r="J977" i="1"/>
  <c r="Q976" i="1"/>
  <c r="R976" i="1" s="1"/>
  <c r="P976" i="1"/>
  <c r="L976" i="1"/>
  <c r="J976" i="1"/>
  <c r="Q975" i="1"/>
  <c r="P975" i="1"/>
  <c r="L975" i="1"/>
  <c r="J975" i="1"/>
  <c r="Q974" i="1"/>
  <c r="P974" i="1"/>
  <c r="R974" i="1" s="1"/>
  <c r="L974" i="1"/>
  <c r="J974" i="1"/>
  <c r="Q973" i="1"/>
  <c r="P973" i="1"/>
  <c r="R973" i="1" s="1"/>
  <c r="L973" i="1"/>
  <c r="J973" i="1"/>
  <c r="N973" i="1" s="1"/>
  <c r="Q972" i="1"/>
  <c r="P972" i="1"/>
  <c r="L972" i="1"/>
  <c r="N972" i="1" s="1"/>
  <c r="J972" i="1"/>
  <c r="Q971" i="1"/>
  <c r="P971" i="1"/>
  <c r="R971" i="1" s="1"/>
  <c r="L971" i="1"/>
  <c r="J971" i="1"/>
  <c r="N971" i="1" s="1"/>
  <c r="Q970" i="1"/>
  <c r="R970" i="1" s="1"/>
  <c r="P970" i="1"/>
  <c r="L970" i="1"/>
  <c r="N970" i="1" s="1"/>
  <c r="J970" i="1"/>
  <c r="Q969" i="1"/>
  <c r="P969" i="1"/>
  <c r="R969" i="1" s="1"/>
  <c r="L969" i="1"/>
  <c r="J969" i="1"/>
  <c r="N969" i="1" s="1"/>
  <c r="Q968" i="1"/>
  <c r="P968" i="1"/>
  <c r="R968" i="1" s="1"/>
  <c r="N968" i="1"/>
  <c r="L968" i="1"/>
  <c r="J968" i="1"/>
  <c r="Q967" i="1"/>
  <c r="P967" i="1"/>
  <c r="R967" i="1" s="1"/>
  <c r="L967" i="1"/>
  <c r="J967" i="1"/>
  <c r="N967" i="1" s="1"/>
  <c r="Q966" i="1"/>
  <c r="P966" i="1"/>
  <c r="L966" i="1"/>
  <c r="J966" i="1"/>
  <c r="N966" i="1" s="1"/>
  <c r="Q965" i="1"/>
  <c r="P965" i="1"/>
  <c r="L965" i="1"/>
  <c r="J965" i="1"/>
  <c r="N965" i="1" s="1"/>
  <c r="Q964" i="1"/>
  <c r="P964" i="1"/>
  <c r="R964" i="1" s="1"/>
  <c r="L964" i="1"/>
  <c r="J964" i="1"/>
  <c r="Q963" i="1"/>
  <c r="P963" i="1"/>
  <c r="L963" i="1"/>
  <c r="J963" i="1"/>
  <c r="N963" i="1" s="1"/>
  <c r="Q962" i="1"/>
  <c r="P962" i="1"/>
  <c r="R962" i="1" s="1"/>
  <c r="L962" i="1"/>
  <c r="J962" i="1"/>
  <c r="N962" i="1" s="1"/>
  <c r="Q961" i="1"/>
  <c r="R961" i="1" s="1"/>
  <c r="P961" i="1"/>
  <c r="L961" i="1"/>
  <c r="J961" i="1"/>
  <c r="Q960" i="1"/>
  <c r="P960" i="1"/>
  <c r="L960" i="1"/>
  <c r="J960" i="1"/>
  <c r="N960" i="1" s="1"/>
  <c r="Q959" i="1"/>
  <c r="P959" i="1"/>
  <c r="R959" i="1" s="1"/>
  <c r="L959" i="1"/>
  <c r="J959" i="1"/>
  <c r="Q958" i="1"/>
  <c r="P958" i="1"/>
  <c r="R958" i="1" s="1"/>
  <c r="L958" i="1"/>
  <c r="J958" i="1"/>
  <c r="N958" i="1" s="1"/>
  <c r="Q957" i="1"/>
  <c r="P957" i="1"/>
  <c r="R957" i="1" s="1"/>
  <c r="L957" i="1"/>
  <c r="N957" i="1" s="1"/>
  <c r="J957" i="1"/>
  <c r="Q956" i="1"/>
  <c r="P956" i="1"/>
  <c r="L956" i="1"/>
  <c r="J956" i="1"/>
  <c r="Q955" i="1"/>
  <c r="P955" i="1"/>
  <c r="N955" i="1"/>
  <c r="L955" i="1"/>
  <c r="J955" i="1"/>
  <c r="Q954" i="1"/>
  <c r="P954" i="1"/>
  <c r="R954" i="1" s="1"/>
  <c r="L954" i="1"/>
  <c r="J954" i="1"/>
  <c r="N954" i="1" s="1"/>
  <c r="Q953" i="1"/>
  <c r="P953" i="1"/>
  <c r="R953" i="1" s="1"/>
  <c r="L953" i="1"/>
  <c r="J953" i="1"/>
  <c r="N953" i="1" s="1"/>
  <c r="Q952" i="1"/>
  <c r="P952" i="1"/>
  <c r="L952" i="1"/>
  <c r="J952" i="1"/>
  <c r="N952" i="1" s="1"/>
  <c r="Q951" i="1"/>
  <c r="R951" i="1" s="1"/>
  <c r="P951" i="1"/>
  <c r="L951" i="1"/>
  <c r="J951" i="1"/>
  <c r="Q950" i="1"/>
  <c r="P950" i="1"/>
  <c r="R950" i="1" s="1"/>
  <c r="L950" i="1"/>
  <c r="J950" i="1"/>
  <c r="Q949" i="1"/>
  <c r="P949" i="1"/>
  <c r="R949" i="1" s="1"/>
  <c r="L949" i="1"/>
  <c r="J949" i="1"/>
  <c r="Q948" i="1"/>
  <c r="P948" i="1"/>
  <c r="L948" i="1"/>
  <c r="J948" i="1"/>
  <c r="N948" i="1" s="1"/>
  <c r="Q947" i="1"/>
  <c r="P947" i="1"/>
  <c r="R947" i="1" s="1"/>
  <c r="L947" i="1"/>
  <c r="J947" i="1"/>
  <c r="Q946" i="1"/>
  <c r="R946" i="1" s="1"/>
  <c r="P946" i="1"/>
  <c r="L946" i="1"/>
  <c r="J946" i="1"/>
  <c r="N946" i="1" s="1"/>
  <c r="Q945" i="1"/>
  <c r="P945" i="1"/>
  <c r="R945" i="1" s="1"/>
  <c r="L945" i="1"/>
  <c r="J945" i="1"/>
  <c r="R944" i="1"/>
  <c r="Q944" i="1"/>
  <c r="P944" i="1"/>
  <c r="L944" i="1"/>
  <c r="J944" i="1"/>
  <c r="Q943" i="1"/>
  <c r="P943" i="1"/>
  <c r="R943" i="1" s="1"/>
  <c r="L943" i="1"/>
  <c r="J943" i="1"/>
  <c r="N943" i="1" s="1"/>
  <c r="Q942" i="1"/>
  <c r="P942" i="1"/>
  <c r="L942" i="1"/>
  <c r="J942" i="1"/>
  <c r="N942" i="1" s="1"/>
  <c r="Q941" i="1"/>
  <c r="P941" i="1"/>
  <c r="L941" i="1"/>
  <c r="J941" i="1"/>
  <c r="Q940" i="1"/>
  <c r="P940" i="1"/>
  <c r="R940" i="1" s="1"/>
  <c r="N940" i="1"/>
  <c r="L940" i="1"/>
  <c r="J940" i="1"/>
  <c r="Q939" i="1"/>
  <c r="P939" i="1"/>
  <c r="R939" i="1" s="1"/>
  <c r="L939" i="1"/>
  <c r="J939" i="1"/>
  <c r="Q938" i="1"/>
  <c r="P938" i="1"/>
  <c r="N938" i="1"/>
  <c r="L938" i="1"/>
  <c r="J938" i="1"/>
  <c r="Q937" i="1"/>
  <c r="P937" i="1"/>
  <c r="L937" i="1"/>
  <c r="J937" i="1"/>
  <c r="N937" i="1" s="1"/>
  <c r="Q936" i="1"/>
  <c r="P936" i="1"/>
  <c r="R936" i="1" s="1"/>
  <c r="L936" i="1"/>
  <c r="J936" i="1"/>
  <c r="Q935" i="1"/>
  <c r="R935" i="1" s="1"/>
  <c r="P935" i="1"/>
  <c r="L935" i="1"/>
  <c r="J935" i="1"/>
  <c r="Q934" i="1"/>
  <c r="P934" i="1"/>
  <c r="R934" i="1" s="1"/>
  <c r="L934" i="1"/>
  <c r="J934" i="1"/>
  <c r="Q933" i="1"/>
  <c r="P933" i="1"/>
  <c r="R933" i="1" s="1"/>
  <c r="L933" i="1"/>
  <c r="J933" i="1"/>
  <c r="Q932" i="1"/>
  <c r="P932" i="1"/>
  <c r="R932" i="1" s="1"/>
  <c r="L932" i="1"/>
  <c r="J932" i="1"/>
  <c r="N932" i="1" s="1"/>
  <c r="Q931" i="1"/>
  <c r="P931" i="1"/>
  <c r="L931" i="1"/>
  <c r="J931" i="1"/>
  <c r="Q930" i="1"/>
  <c r="P930" i="1"/>
  <c r="L930" i="1"/>
  <c r="J930" i="1"/>
  <c r="N930" i="1" s="1"/>
  <c r="Q929" i="1"/>
  <c r="P929" i="1"/>
  <c r="L929" i="1"/>
  <c r="J929" i="1"/>
  <c r="Q928" i="1"/>
  <c r="P928" i="1"/>
  <c r="R928" i="1" s="1"/>
  <c r="L928" i="1"/>
  <c r="J928" i="1"/>
  <c r="N928" i="1" s="1"/>
  <c r="Q927" i="1"/>
  <c r="P927" i="1"/>
  <c r="R927" i="1" s="1"/>
  <c r="N927" i="1"/>
  <c r="L927" i="1"/>
  <c r="J927" i="1"/>
  <c r="Q926" i="1"/>
  <c r="P926" i="1"/>
  <c r="L926" i="1"/>
  <c r="J926" i="1"/>
  <c r="Q925" i="1"/>
  <c r="R925" i="1" s="1"/>
  <c r="P925" i="1"/>
  <c r="L925" i="1"/>
  <c r="J925" i="1"/>
  <c r="Q924" i="1"/>
  <c r="P924" i="1"/>
  <c r="R924" i="1" s="1"/>
  <c r="L924" i="1"/>
  <c r="J924" i="1"/>
  <c r="R923" i="1"/>
  <c r="Q923" i="1"/>
  <c r="P923" i="1"/>
  <c r="N923" i="1"/>
  <c r="L923" i="1"/>
  <c r="J923" i="1"/>
  <c r="Q922" i="1"/>
  <c r="P922" i="1"/>
  <c r="N922" i="1"/>
  <c r="L922" i="1"/>
  <c r="J922" i="1"/>
  <c r="Q921" i="1"/>
  <c r="P921" i="1"/>
  <c r="R921" i="1" s="1"/>
  <c r="L921" i="1"/>
  <c r="J921" i="1"/>
  <c r="Q920" i="1"/>
  <c r="P920" i="1"/>
  <c r="N920" i="1"/>
  <c r="L920" i="1"/>
  <c r="J920" i="1"/>
  <c r="Q919" i="1"/>
  <c r="P919" i="1"/>
  <c r="R919" i="1" s="1"/>
  <c r="L919" i="1"/>
  <c r="J919" i="1"/>
  <c r="Q918" i="1"/>
  <c r="P918" i="1"/>
  <c r="N918" i="1"/>
  <c r="L918" i="1"/>
  <c r="J918" i="1"/>
  <c r="Q917" i="1"/>
  <c r="P917" i="1"/>
  <c r="L917" i="1"/>
  <c r="J917" i="1"/>
  <c r="Q916" i="1"/>
  <c r="P916" i="1"/>
  <c r="L916" i="1"/>
  <c r="J916" i="1"/>
  <c r="N916" i="1" s="1"/>
  <c r="Q915" i="1"/>
  <c r="P915" i="1"/>
  <c r="L915" i="1"/>
  <c r="J915" i="1"/>
  <c r="R914" i="1"/>
  <c r="Q914" i="1"/>
  <c r="P914" i="1"/>
  <c r="L914" i="1"/>
  <c r="J914" i="1"/>
  <c r="Q913" i="1"/>
  <c r="P913" i="1"/>
  <c r="N913" i="1"/>
  <c r="L913" i="1"/>
  <c r="J913" i="1"/>
  <c r="Q912" i="1"/>
  <c r="P912" i="1"/>
  <c r="L912" i="1"/>
  <c r="J912" i="1"/>
  <c r="N912" i="1" s="1"/>
  <c r="Q911" i="1"/>
  <c r="P911" i="1"/>
  <c r="R911" i="1" s="1"/>
  <c r="L911" i="1"/>
  <c r="J911" i="1"/>
  <c r="Q910" i="1"/>
  <c r="P910" i="1"/>
  <c r="R910" i="1" s="1"/>
  <c r="L910" i="1"/>
  <c r="J910" i="1"/>
  <c r="Q909" i="1"/>
  <c r="P909" i="1"/>
  <c r="R909" i="1" s="1"/>
  <c r="L909" i="1"/>
  <c r="J909" i="1"/>
  <c r="N909" i="1" s="1"/>
  <c r="Q908" i="1"/>
  <c r="P908" i="1"/>
  <c r="N908" i="1"/>
  <c r="L908" i="1"/>
  <c r="J908" i="1"/>
  <c r="Q907" i="1"/>
  <c r="P907" i="1"/>
  <c r="L907" i="1"/>
  <c r="J907" i="1"/>
  <c r="Q906" i="1"/>
  <c r="P906" i="1"/>
  <c r="L906" i="1"/>
  <c r="J906" i="1"/>
  <c r="Q905" i="1"/>
  <c r="P905" i="1"/>
  <c r="L905" i="1"/>
  <c r="J905" i="1"/>
  <c r="N905" i="1" s="1"/>
  <c r="Q904" i="1"/>
  <c r="P904" i="1"/>
  <c r="R904" i="1" s="1"/>
  <c r="L904" i="1"/>
  <c r="J904" i="1"/>
  <c r="Q903" i="1"/>
  <c r="P903" i="1"/>
  <c r="L903" i="1"/>
  <c r="J903" i="1"/>
  <c r="N903" i="1" s="1"/>
  <c r="Q902" i="1"/>
  <c r="P902" i="1"/>
  <c r="R902" i="1" s="1"/>
  <c r="L902" i="1"/>
  <c r="J902" i="1"/>
  <c r="N902" i="1" s="1"/>
  <c r="Q901" i="1"/>
  <c r="R901" i="1" s="1"/>
  <c r="P901" i="1"/>
  <c r="L901" i="1"/>
  <c r="J901" i="1"/>
  <c r="N901" i="1" s="1"/>
  <c r="Q900" i="1"/>
  <c r="P900" i="1"/>
  <c r="L900" i="1"/>
  <c r="J900" i="1"/>
  <c r="N900" i="1" s="1"/>
  <c r="R899" i="1"/>
  <c r="Q899" i="1"/>
  <c r="P899" i="1"/>
  <c r="L899" i="1"/>
  <c r="J899" i="1"/>
  <c r="N899" i="1" s="1"/>
  <c r="Q898" i="1"/>
  <c r="R898" i="1" s="1"/>
  <c r="P898" i="1"/>
  <c r="L898" i="1"/>
  <c r="J898" i="1"/>
  <c r="N898" i="1" s="1"/>
  <c r="Q897" i="1"/>
  <c r="P897" i="1"/>
  <c r="L897" i="1"/>
  <c r="J897" i="1"/>
  <c r="Q896" i="1"/>
  <c r="R896" i="1" s="1"/>
  <c r="P896" i="1"/>
  <c r="L896" i="1"/>
  <c r="J896" i="1"/>
  <c r="N896" i="1" s="1"/>
  <c r="Q895" i="1"/>
  <c r="P895" i="1"/>
  <c r="L895" i="1"/>
  <c r="J895" i="1"/>
  <c r="Q894" i="1"/>
  <c r="P894" i="1"/>
  <c r="R894" i="1" s="1"/>
  <c r="L894" i="1"/>
  <c r="J894" i="1"/>
  <c r="Q893" i="1"/>
  <c r="P893" i="1"/>
  <c r="L893" i="1"/>
  <c r="N893" i="1" s="1"/>
  <c r="J893" i="1"/>
  <c r="Q892" i="1"/>
  <c r="P892" i="1"/>
  <c r="N892" i="1"/>
  <c r="L892" i="1"/>
  <c r="J892" i="1"/>
  <c r="Q891" i="1"/>
  <c r="P891" i="1"/>
  <c r="R891" i="1" s="1"/>
  <c r="L891" i="1"/>
  <c r="J891" i="1"/>
  <c r="N891" i="1" s="1"/>
  <c r="Q890" i="1"/>
  <c r="P890" i="1"/>
  <c r="L890" i="1"/>
  <c r="J890" i="1"/>
  <c r="N890" i="1" s="1"/>
  <c r="Q889" i="1"/>
  <c r="P889" i="1"/>
  <c r="L889" i="1"/>
  <c r="J889" i="1"/>
  <c r="Q888" i="1"/>
  <c r="R888" i="1" s="1"/>
  <c r="P888" i="1"/>
  <c r="L888" i="1"/>
  <c r="N888" i="1" s="1"/>
  <c r="J888" i="1"/>
  <c r="Q887" i="1"/>
  <c r="P887" i="1"/>
  <c r="R887" i="1" s="1"/>
  <c r="L887" i="1"/>
  <c r="J887" i="1"/>
  <c r="N887" i="1" s="1"/>
  <c r="R886" i="1"/>
  <c r="Q886" i="1"/>
  <c r="P886" i="1"/>
  <c r="L886" i="1"/>
  <c r="J886" i="1"/>
  <c r="Q885" i="1"/>
  <c r="P885" i="1"/>
  <c r="R885" i="1" s="1"/>
  <c r="L885" i="1"/>
  <c r="J885" i="1"/>
  <c r="N885" i="1" s="1"/>
  <c r="R884" i="1"/>
  <c r="Q884" i="1"/>
  <c r="P884" i="1"/>
  <c r="L884" i="1"/>
  <c r="J884" i="1"/>
  <c r="Q883" i="1"/>
  <c r="P883" i="1"/>
  <c r="L883" i="1"/>
  <c r="J883" i="1"/>
  <c r="N883" i="1" s="1"/>
  <c r="Q882" i="1"/>
  <c r="P882" i="1"/>
  <c r="L882" i="1"/>
  <c r="J882" i="1"/>
  <c r="N882" i="1" s="1"/>
  <c r="Q881" i="1"/>
  <c r="P881" i="1"/>
  <c r="L881" i="1"/>
  <c r="J881" i="1"/>
  <c r="Q880" i="1"/>
  <c r="P880" i="1"/>
  <c r="R880" i="1" s="1"/>
  <c r="L880" i="1"/>
  <c r="J880" i="1"/>
  <c r="Q879" i="1"/>
  <c r="R879" i="1" s="1"/>
  <c r="P879" i="1"/>
  <c r="L879" i="1"/>
  <c r="J879" i="1"/>
  <c r="Q878" i="1"/>
  <c r="P878" i="1"/>
  <c r="L878" i="1"/>
  <c r="J878" i="1"/>
  <c r="Q877" i="1"/>
  <c r="P877" i="1"/>
  <c r="L877" i="1"/>
  <c r="J877" i="1"/>
  <c r="N877" i="1" s="1"/>
  <c r="Q876" i="1"/>
  <c r="P876" i="1"/>
  <c r="L876" i="1"/>
  <c r="J876" i="1"/>
  <c r="Q875" i="1"/>
  <c r="R875" i="1" s="1"/>
  <c r="P875" i="1"/>
  <c r="L875" i="1"/>
  <c r="J875" i="1"/>
  <c r="N875" i="1" s="1"/>
  <c r="Q874" i="1"/>
  <c r="P874" i="1"/>
  <c r="R874" i="1" s="1"/>
  <c r="L874" i="1"/>
  <c r="J874" i="1"/>
  <c r="Q873" i="1"/>
  <c r="P873" i="1"/>
  <c r="R873" i="1" s="1"/>
  <c r="L873" i="1"/>
  <c r="N873" i="1" s="1"/>
  <c r="J873" i="1"/>
  <c r="Q872" i="1"/>
  <c r="P872" i="1"/>
  <c r="L872" i="1"/>
  <c r="J872" i="1"/>
  <c r="Q871" i="1"/>
  <c r="P871" i="1"/>
  <c r="R871" i="1" s="1"/>
  <c r="L871" i="1"/>
  <c r="J871" i="1"/>
  <c r="Q870" i="1"/>
  <c r="P870" i="1"/>
  <c r="R870" i="1" s="1"/>
  <c r="L870" i="1"/>
  <c r="N870" i="1" s="1"/>
  <c r="J870" i="1"/>
  <c r="Q869" i="1"/>
  <c r="P869" i="1"/>
  <c r="R869" i="1" s="1"/>
  <c r="L869" i="1"/>
  <c r="N869" i="1" s="1"/>
  <c r="J869" i="1"/>
  <c r="Q868" i="1"/>
  <c r="P868" i="1"/>
  <c r="L868" i="1"/>
  <c r="J868" i="1"/>
  <c r="N868" i="1" s="1"/>
  <c r="Q867" i="1"/>
  <c r="P867" i="1"/>
  <c r="L867" i="1"/>
  <c r="N867" i="1" s="1"/>
  <c r="J867" i="1"/>
  <c r="Q866" i="1"/>
  <c r="R866" i="1" s="1"/>
  <c r="P866" i="1"/>
  <c r="L866" i="1"/>
  <c r="J866" i="1"/>
  <c r="N866" i="1" s="1"/>
  <c r="Q865" i="1"/>
  <c r="P865" i="1"/>
  <c r="L865" i="1"/>
  <c r="J865" i="1"/>
  <c r="N865" i="1" s="1"/>
  <c r="R864" i="1"/>
  <c r="Q864" i="1"/>
  <c r="P864" i="1"/>
  <c r="L864" i="1"/>
  <c r="J864" i="1"/>
  <c r="N864" i="1" s="1"/>
  <c r="Q863" i="1"/>
  <c r="P863" i="1"/>
  <c r="L863" i="1"/>
  <c r="J863" i="1"/>
  <c r="N863" i="1" s="1"/>
  <c r="Q862" i="1"/>
  <c r="P862" i="1"/>
  <c r="L862" i="1"/>
  <c r="J862" i="1"/>
  <c r="N862" i="1" s="1"/>
  <c r="Q861" i="1"/>
  <c r="P861" i="1"/>
  <c r="L861" i="1"/>
  <c r="J861" i="1"/>
  <c r="Q860" i="1"/>
  <c r="P860" i="1"/>
  <c r="R860" i="1" s="1"/>
  <c r="L860" i="1"/>
  <c r="J860" i="1"/>
  <c r="Q859" i="1"/>
  <c r="P859" i="1"/>
  <c r="N859" i="1"/>
  <c r="L859" i="1"/>
  <c r="J859" i="1"/>
  <c r="Q858" i="1"/>
  <c r="P858" i="1"/>
  <c r="L858" i="1"/>
  <c r="N858" i="1" s="1"/>
  <c r="J858" i="1"/>
  <c r="Q857" i="1"/>
  <c r="P857" i="1"/>
  <c r="L857" i="1"/>
  <c r="J857" i="1"/>
  <c r="N857" i="1" s="1"/>
  <c r="Q856" i="1"/>
  <c r="P856" i="1"/>
  <c r="L856" i="1"/>
  <c r="J856" i="1"/>
  <c r="R855" i="1"/>
  <c r="Q855" i="1"/>
  <c r="P855" i="1"/>
  <c r="L855" i="1"/>
  <c r="J855" i="1"/>
  <c r="R854" i="1"/>
  <c r="Q854" i="1"/>
  <c r="P854" i="1"/>
  <c r="L854" i="1"/>
  <c r="N854" i="1" s="1"/>
  <c r="J854" i="1"/>
  <c r="Q853" i="1"/>
  <c r="P853" i="1"/>
  <c r="L853" i="1"/>
  <c r="J853" i="1"/>
  <c r="N853" i="1" s="1"/>
  <c r="Q852" i="1"/>
  <c r="P852" i="1"/>
  <c r="R852" i="1" s="1"/>
  <c r="N852" i="1"/>
  <c r="L852" i="1"/>
  <c r="J852" i="1"/>
  <c r="Q851" i="1"/>
  <c r="P851" i="1"/>
  <c r="R851" i="1" s="1"/>
  <c r="L851" i="1"/>
  <c r="J851" i="1"/>
  <c r="N851" i="1" s="1"/>
  <c r="Q850" i="1"/>
  <c r="P850" i="1"/>
  <c r="N850" i="1"/>
  <c r="L850" i="1"/>
  <c r="J850" i="1"/>
  <c r="Q849" i="1"/>
  <c r="P849" i="1"/>
  <c r="R849" i="1" s="1"/>
  <c r="L849" i="1"/>
  <c r="J849" i="1"/>
  <c r="N849" i="1" s="1"/>
  <c r="Q848" i="1"/>
  <c r="P848" i="1"/>
  <c r="R848" i="1" s="1"/>
  <c r="L848" i="1"/>
  <c r="J848" i="1"/>
  <c r="Q847" i="1"/>
  <c r="P847" i="1"/>
  <c r="L847" i="1"/>
  <c r="J847" i="1"/>
  <c r="Q846" i="1"/>
  <c r="P846" i="1"/>
  <c r="R846" i="1" s="1"/>
  <c r="L846" i="1"/>
  <c r="J846" i="1"/>
  <c r="Q845" i="1"/>
  <c r="R845" i="1" s="1"/>
  <c r="P845" i="1"/>
  <c r="L845" i="1"/>
  <c r="N845" i="1" s="1"/>
  <c r="J845" i="1"/>
  <c r="Q844" i="1"/>
  <c r="P844" i="1"/>
  <c r="R844" i="1" s="1"/>
  <c r="L844" i="1"/>
  <c r="J844" i="1"/>
  <c r="Q843" i="1"/>
  <c r="P843" i="1"/>
  <c r="R843" i="1" s="1"/>
  <c r="N843" i="1"/>
  <c r="L843" i="1"/>
  <c r="J843" i="1"/>
  <c r="Q842" i="1"/>
  <c r="P842" i="1"/>
  <c r="R842" i="1" s="1"/>
  <c r="L842" i="1"/>
  <c r="J842" i="1"/>
  <c r="N842" i="1" s="1"/>
  <c r="Q841" i="1"/>
  <c r="R841" i="1" s="1"/>
  <c r="P841" i="1"/>
  <c r="L841" i="1"/>
  <c r="J841" i="1"/>
  <c r="N841" i="1" s="1"/>
  <c r="Q840" i="1"/>
  <c r="P840" i="1"/>
  <c r="R840" i="1" s="1"/>
  <c r="L840" i="1"/>
  <c r="J840" i="1"/>
  <c r="N840" i="1" s="1"/>
  <c r="Q839" i="1"/>
  <c r="P839" i="1"/>
  <c r="R839" i="1" s="1"/>
  <c r="L839" i="1"/>
  <c r="J839" i="1"/>
  <c r="N839" i="1" s="1"/>
  <c r="Q838" i="1"/>
  <c r="P838" i="1"/>
  <c r="R838" i="1" s="1"/>
  <c r="L838" i="1"/>
  <c r="J838" i="1"/>
  <c r="N838" i="1" s="1"/>
  <c r="Q837" i="1"/>
  <c r="P837" i="1"/>
  <c r="L837" i="1"/>
  <c r="J837" i="1"/>
  <c r="N837" i="1" s="1"/>
  <c r="Q836" i="1"/>
  <c r="P836" i="1"/>
  <c r="L836" i="1"/>
  <c r="J836" i="1"/>
  <c r="N836" i="1" s="1"/>
  <c r="Q835" i="1"/>
  <c r="P835" i="1"/>
  <c r="R835" i="1" s="1"/>
  <c r="L835" i="1"/>
  <c r="J835" i="1"/>
  <c r="Q834" i="1"/>
  <c r="P834" i="1"/>
  <c r="R834" i="1" s="1"/>
  <c r="L834" i="1"/>
  <c r="J834" i="1"/>
  <c r="Q833" i="1"/>
  <c r="P833" i="1"/>
  <c r="L833" i="1"/>
  <c r="J833" i="1"/>
  <c r="Q832" i="1"/>
  <c r="P832" i="1"/>
  <c r="L832" i="1"/>
  <c r="J832" i="1"/>
  <c r="Q831" i="1"/>
  <c r="P831" i="1"/>
  <c r="L831" i="1"/>
  <c r="J831" i="1"/>
  <c r="Q830" i="1"/>
  <c r="P830" i="1"/>
  <c r="R830" i="1" s="1"/>
  <c r="L830" i="1"/>
  <c r="J830" i="1"/>
  <c r="N830" i="1" s="1"/>
  <c r="R829" i="1"/>
  <c r="Q829" i="1"/>
  <c r="P829" i="1"/>
  <c r="L829" i="1"/>
  <c r="N829" i="1" s="1"/>
  <c r="J829" i="1"/>
  <c r="Q828" i="1"/>
  <c r="P828" i="1"/>
  <c r="R828" i="1" s="1"/>
  <c r="L828" i="1"/>
  <c r="J828" i="1"/>
  <c r="N828" i="1" s="1"/>
  <c r="Q827" i="1"/>
  <c r="P827" i="1"/>
  <c r="L827" i="1"/>
  <c r="J827" i="1"/>
  <c r="N827" i="1" s="1"/>
  <c r="Q826" i="1"/>
  <c r="P826" i="1"/>
  <c r="L826" i="1"/>
  <c r="J826" i="1"/>
  <c r="Q825" i="1"/>
  <c r="P825" i="1"/>
  <c r="R825" i="1" s="1"/>
  <c r="L825" i="1"/>
  <c r="J825" i="1"/>
  <c r="N825" i="1" s="1"/>
  <c r="Q824" i="1"/>
  <c r="P824" i="1"/>
  <c r="L824" i="1"/>
  <c r="J824" i="1"/>
  <c r="R823" i="1"/>
  <c r="Q823" i="1"/>
  <c r="P823" i="1"/>
  <c r="L823" i="1"/>
  <c r="J823" i="1"/>
  <c r="Q822" i="1"/>
  <c r="P822" i="1"/>
  <c r="L822" i="1"/>
  <c r="J822" i="1"/>
  <c r="Q821" i="1"/>
  <c r="P821" i="1"/>
  <c r="R821" i="1" s="1"/>
  <c r="L821" i="1"/>
  <c r="J821" i="1"/>
  <c r="Q820" i="1"/>
  <c r="P820" i="1"/>
  <c r="R820" i="1" s="1"/>
  <c r="L820" i="1"/>
  <c r="N820" i="1" s="1"/>
  <c r="J820" i="1"/>
  <c r="Q819" i="1"/>
  <c r="P819" i="1"/>
  <c r="R819" i="1" s="1"/>
  <c r="L819" i="1"/>
  <c r="N819" i="1" s="1"/>
  <c r="J819" i="1"/>
  <c r="Q818" i="1"/>
  <c r="P818" i="1"/>
  <c r="L818" i="1"/>
  <c r="N818" i="1" s="1"/>
  <c r="J818" i="1"/>
  <c r="Q817" i="1"/>
  <c r="P817" i="1"/>
  <c r="N817" i="1"/>
  <c r="L817" i="1"/>
  <c r="J817" i="1"/>
  <c r="Q816" i="1"/>
  <c r="R816" i="1" s="1"/>
  <c r="P816" i="1"/>
  <c r="L816" i="1"/>
  <c r="J816" i="1"/>
  <c r="N816" i="1" s="1"/>
  <c r="Q815" i="1"/>
  <c r="P815" i="1"/>
  <c r="L815" i="1"/>
  <c r="N815" i="1" s="1"/>
  <c r="J815" i="1"/>
  <c r="Q814" i="1"/>
  <c r="P814" i="1"/>
  <c r="R814" i="1" s="1"/>
  <c r="L814" i="1"/>
  <c r="J814" i="1"/>
  <c r="N814" i="1" s="1"/>
  <c r="Q813" i="1"/>
  <c r="P813" i="1"/>
  <c r="N813" i="1"/>
  <c r="L813" i="1"/>
  <c r="J813" i="1"/>
  <c r="Q812" i="1"/>
  <c r="P812" i="1"/>
  <c r="L812" i="1"/>
  <c r="J812" i="1"/>
  <c r="N812" i="1" s="1"/>
  <c r="Q811" i="1"/>
  <c r="P811" i="1"/>
  <c r="L811" i="1"/>
  <c r="J811" i="1"/>
  <c r="Q810" i="1"/>
  <c r="P810" i="1"/>
  <c r="L810" i="1"/>
  <c r="J810" i="1"/>
  <c r="N810" i="1" s="1"/>
  <c r="Q809" i="1"/>
  <c r="P809" i="1"/>
  <c r="N809" i="1"/>
  <c r="L809" i="1"/>
  <c r="J809" i="1"/>
  <c r="Q808" i="1"/>
  <c r="P808" i="1"/>
  <c r="L808" i="1"/>
  <c r="J808" i="1"/>
  <c r="Q807" i="1"/>
  <c r="P807" i="1"/>
  <c r="L807" i="1"/>
  <c r="J807" i="1"/>
  <c r="N807" i="1" s="1"/>
  <c r="Q806" i="1"/>
  <c r="P806" i="1"/>
  <c r="L806" i="1"/>
  <c r="J806" i="1"/>
  <c r="Q805" i="1"/>
  <c r="P805" i="1"/>
  <c r="R805" i="1" s="1"/>
  <c r="L805" i="1"/>
  <c r="J805" i="1"/>
  <c r="N805" i="1" s="1"/>
  <c r="Q804" i="1"/>
  <c r="P804" i="1"/>
  <c r="L804" i="1"/>
  <c r="N804" i="1" s="1"/>
  <c r="J804" i="1"/>
  <c r="Q803" i="1"/>
  <c r="P803" i="1"/>
  <c r="R803" i="1" s="1"/>
  <c r="L803" i="1"/>
  <c r="J803" i="1"/>
  <c r="N803" i="1" s="1"/>
  <c r="Q802" i="1"/>
  <c r="P802" i="1"/>
  <c r="N802" i="1"/>
  <c r="L802" i="1"/>
  <c r="J802" i="1"/>
  <c r="Q801" i="1"/>
  <c r="P801" i="1"/>
  <c r="R801" i="1" s="1"/>
  <c r="L801" i="1"/>
  <c r="J801" i="1"/>
  <c r="N801" i="1" s="1"/>
  <c r="Q800" i="1"/>
  <c r="P800" i="1"/>
  <c r="R800" i="1" s="1"/>
  <c r="L800" i="1"/>
  <c r="J800" i="1"/>
  <c r="Q799" i="1"/>
  <c r="P799" i="1"/>
  <c r="R799" i="1" s="1"/>
  <c r="L799" i="1"/>
  <c r="J799" i="1"/>
  <c r="N799" i="1" s="1"/>
  <c r="Q798" i="1"/>
  <c r="P798" i="1"/>
  <c r="R798" i="1" s="1"/>
  <c r="L798" i="1"/>
  <c r="J798" i="1"/>
  <c r="Q797" i="1"/>
  <c r="P797" i="1"/>
  <c r="L797" i="1"/>
  <c r="J797" i="1"/>
  <c r="Q796" i="1"/>
  <c r="P796" i="1"/>
  <c r="R796" i="1" s="1"/>
  <c r="L796" i="1"/>
  <c r="J796" i="1"/>
  <c r="R795" i="1"/>
  <c r="Q795" i="1"/>
  <c r="P795" i="1"/>
  <c r="L795" i="1"/>
  <c r="N795" i="1" s="1"/>
  <c r="J795" i="1"/>
  <c r="Q794" i="1"/>
  <c r="P794" i="1"/>
  <c r="R794" i="1" s="1"/>
  <c r="L794" i="1"/>
  <c r="N794" i="1" s="1"/>
  <c r="J794" i="1"/>
  <c r="Q793" i="1"/>
  <c r="P793" i="1"/>
  <c r="L793" i="1"/>
  <c r="J793" i="1"/>
  <c r="N793" i="1" s="1"/>
  <c r="Q792" i="1"/>
  <c r="P792" i="1"/>
  <c r="R792" i="1" s="1"/>
  <c r="L792" i="1"/>
  <c r="J792" i="1"/>
  <c r="N792" i="1" s="1"/>
  <c r="Q791" i="1"/>
  <c r="R791" i="1" s="1"/>
  <c r="P791" i="1"/>
  <c r="L791" i="1"/>
  <c r="J791" i="1"/>
  <c r="N791" i="1" s="1"/>
  <c r="Q790" i="1"/>
  <c r="P790" i="1"/>
  <c r="R790" i="1" s="1"/>
  <c r="L790" i="1"/>
  <c r="J790" i="1"/>
  <c r="N790" i="1" s="1"/>
  <c r="R789" i="1"/>
  <c r="Q789" i="1"/>
  <c r="P789" i="1"/>
  <c r="L789" i="1"/>
  <c r="J789" i="1"/>
  <c r="N789" i="1" s="1"/>
  <c r="Q788" i="1"/>
  <c r="P788" i="1"/>
  <c r="R788" i="1" s="1"/>
  <c r="L788" i="1"/>
  <c r="J788" i="1"/>
  <c r="N788" i="1" s="1"/>
  <c r="Q787" i="1"/>
  <c r="P787" i="1"/>
  <c r="L787" i="1"/>
  <c r="J787" i="1"/>
  <c r="Q786" i="1"/>
  <c r="P786" i="1"/>
  <c r="L786" i="1"/>
  <c r="J786" i="1"/>
  <c r="N786" i="1" s="1"/>
  <c r="Q785" i="1"/>
  <c r="P785" i="1"/>
  <c r="R785" i="1" s="1"/>
  <c r="L785" i="1"/>
  <c r="J785" i="1"/>
  <c r="Q784" i="1"/>
  <c r="P784" i="1"/>
  <c r="R784" i="1" s="1"/>
  <c r="L784" i="1"/>
  <c r="J784" i="1"/>
  <c r="Q783" i="1"/>
  <c r="P783" i="1"/>
  <c r="R783" i="1" s="1"/>
  <c r="L783" i="1"/>
  <c r="J783" i="1"/>
  <c r="Q782" i="1"/>
  <c r="P782" i="1"/>
  <c r="L782" i="1"/>
  <c r="J782" i="1"/>
  <c r="Q781" i="1"/>
  <c r="P781" i="1"/>
  <c r="L781" i="1"/>
  <c r="J781" i="1"/>
  <c r="N781" i="1" s="1"/>
  <c r="Q780" i="1"/>
  <c r="R780" i="1" s="1"/>
  <c r="P780" i="1"/>
  <c r="L780" i="1"/>
  <c r="J780" i="1"/>
  <c r="N780" i="1" s="1"/>
  <c r="Q779" i="1"/>
  <c r="P779" i="1"/>
  <c r="L779" i="1"/>
  <c r="N779" i="1" s="1"/>
  <c r="J779" i="1"/>
  <c r="Q778" i="1"/>
  <c r="P778" i="1"/>
  <c r="N778" i="1"/>
  <c r="L778" i="1"/>
  <c r="J778" i="1"/>
  <c r="Q777" i="1"/>
  <c r="P777" i="1"/>
  <c r="R777" i="1" s="1"/>
  <c r="N777" i="1"/>
  <c r="L777" i="1"/>
  <c r="J777" i="1"/>
  <c r="Q776" i="1"/>
  <c r="P776" i="1"/>
  <c r="L776" i="1"/>
  <c r="J776" i="1"/>
  <c r="Q775" i="1"/>
  <c r="P775" i="1"/>
  <c r="N775" i="1"/>
  <c r="L775" i="1"/>
  <c r="J775" i="1"/>
  <c r="Q774" i="1"/>
  <c r="P774" i="1"/>
  <c r="R774" i="1" s="1"/>
  <c r="L774" i="1"/>
  <c r="J774" i="1"/>
  <c r="Q773" i="1"/>
  <c r="P773" i="1"/>
  <c r="R773" i="1" s="1"/>
  <c r="L773" i="1"/>
  <c r="N773" i="1" s="1"/>
  <c r="J773" i="1"/>
  <c r="Q772" i="1"/>
  <c r="P772" i="1"/>
  <c r="L772" i="1"/>
  <c r="J772" i="1"/>
  <c r="Q771" i="1"/>
  <c r="P771" i="1"/>
  <c r="R771" i="1" s="1"/>
  <c r="L771" i="1"/>
  <c r="J771" i="1"/>
  <c r="N771" i="1" s="1"/>
  <c r="R770" i="1"/>
  <c r="Q770" i="1"/>
  <c r="P770" i="1"/>
  <c r="L770" i="1"/>
  <c r="N770" i="1" s="1"/>
  <c r="J770" i="1"/>
  <c r="Q769" i="1"/>
  <c r="P769" i="1"/>
  <c r="R769" i="1" s="1"/>
  <c r="L769" i="1"/>
  <c r="N769" i="1" s="1"/>
  <c r="J769" i="1"/>
  <c r="Q768" i="1"/>
  <c r="P768" i="1"/>
  <c r="N768" i="1"/>
  <c r="L768" i="1"/>
  <c r="J768" i="1"/>
  <c r="Q767" i="1"/>
  <c r="P767" i="1"/>
  <c r="R767" i="1" s="1"/>
  <c r="L767" i="1"/>
  <c r="J767" i="1"/>
  <c r="N767" i="1" s="1"/>
  <c r="Q766" i="1"/>
  <c r="P766" i="1"/>
  <c r="L766" i="1"/>
  <c r="J766" i="1"/>
  <c r="Q765" i="1"/>
  <c r="P765" i="1"/>
  <c r="L765" i="1"/>
  <c r="J765" i="1"/>
  <c r="N765" i="1" s="1"/>
  <c r="Q764" i="1"/>
  <c r="P764" i="1"/>
  <c r="R764" i="1" s="1"/>
  <c r="L764" i="1"/>
  <c r="J764" i="1"/>
  <c r="Q763" i="1"/>
  <c r="P763" i="1"/>
  <c r="L763" i="1"/>
  <c r="J763" i="1"/>
  <c r="N763" i="1" s="1"/>
  <c r="Q762" i="1"/>
  <c r="P762" i="1"/>
  <c r="L762" i="1"/>
  <c r="J762" i="1"/>
  <c r="Q761" i="1"/>
  <c r="P761" i="1"/>
  <c r="L761" i="1"/>
  <c r="J761" i="1"/>
  <c r="N761" i="1" s="1"/>
  <c r="Q760" i="1"/>
  <c r="P760" i="1"/>
  <c r="R760" i="1" s="1"/>
  <c r="L760" i="1"/>
  <c r="J760" i="1"/>
  <c r="Q759" i="1"/>
  <c r="P759" i="1"/>
  <c r="R759" i="1" s="1"/>
  <c r="L759" i="1"/>
  <c r="J759" i="1"/>
  <c r="N759" i="1" s="1"/>
  <c r="Q758" i="1"/>
  <c r="P758" i="1"/>
  <c r="R758" i="1" s="1"/>
  <c r="L758" i="1"/>
  <c r="J758" i="1"/>
  <c r="N758" i="1" s="1"/>
  <c r="Q757" i="1"/>
  <c r="P757" i="1"/>
  <c r="L757" i="1"/>
  <c r="J757" i="1"/>
  <c r="Q756" i="1"/>
  <c r="P756" i="1"/>
  <c r="L756" i="1"/>
  <c r="J756" i="1"/>
  <c r="N756" i="1" s="1"/>
  <c r="Q755" i="1"/>
  <c r="P755" i="1"/>
  <c r="R755" i="1" s="1"/>
  <c r="L755" i="1"/>
  <c r="J755" i="1"/>
  <c r="N755" i="1" s="1"/>
  <c r="Q754" i="1"/>
  <c r="P754" i="1"/>
  <c r="L754" i="1"/>
  <c r="J754" i="1"/>
  <c r="N754" i="1" s="1"/>
  <c r="Q753" i="1"/>
  <c r="P753" i="1"/>
  <c r="R753" i="1" s="1"/>
  <c r="N753" i="1"/>
  <c r="L753" i="1"/>
  <c r="J753" i="1"/>
  <c r="Q752" i="1"/>
  <c r="P752" i="1"/>
  <c r="L752" i="1"/>
  <c r="J752" i="1"/>
  <c r="N752" i="1" s="1"/>
  <c r="Q751" i="1"/>
  <c r="P751" i="1"/>
  <c r="R751" i="1" s="1"/>
  <c r="L751" i="1"/>
  <c r="J751" i="1"/>
  <c r="Q750" i="1"/>
  <c r="P750" i="1"/>
  <c r="R750" i="1" s="1"/>
  <c r="L750" i="1"/>
  <c r="J750" i="1"/>
  <c r="Q749" i="1"/>
  <c r="P749" i="1"/>
  <c r="R749" i="1" s="1"/>
  <c r="L749" i="1"/>
  <c r="J749" i="1"/>
  <c r="N749" i="1" s="1"/>
  <c r="Q748" i="1"/>
  <c r="P748" i="1"/>
  <c r="R748" i="1" s="1"/>
  <c r="L748" i="1"/>
  <c r="N748" i="1" s="1"/>
  <c r="J748" i="1"/>
  <c r="Q747" i="1"/>
  <c r="P747" i="1"/>
  <c r="L747" i="1"/>
  <c r="J747" i="1"/>
  <c r="Q746" i="1"/>
  <c r="P746" i="1"/>
  <c r="R746" i="1" s="1"/>
  <c r="L746" i="1"/>
  <c r="J746" i="1"/>
  <c r="N746" i="1" s="1"/>
  <c r="R745" i="1"/>
  <c r="Q745" i="1"/>
  <c r="P745" i="1"/>
  <c r="L745" i="1"/>
  <c r="N745" i="1" s="1"/>
  <c r="J745" i="1"/>
  <c r="Q744" i="1"/>
  <c r="P744" i="1"/>
  <c r="R744" i="1" s="1"/>
  <c r="L744" i="1"/>
  <c r="J744" i="1"/>
  <c r="Q743" i="1"/>
  <c r="P743" i="1"/>
  <c r="L743" i="1"/>
  <c r="J743" i="1"/>
  <c r="N743" i="1" s="1"/>
  <c r="Q742" i="1"/>
  <c r="P742" i="1"/>
  <c r="L742" i="1"/>
  <c r="J742" i="1"/>
  <c r="N742" i="1" s="1"/>
  <c r="Q741" i="1"/>
  <c r="R741" i="1" s="1"/>
  <c r="P741" i="1"/>
  <c r="L741" i="1"/>
  <c r="J741" i="1"/>
  <c r="N741" i="1" s="1"/>
  <c r="Q740" i="1"/>
  <c r="P740" i="1"/>
  <c r="R740" i="1" s="1"/>
  <c r="L740" i="1"/>
  <c r="J740" i="1"/>
  <c r="R739" i="1"/>
  <c r="Q739" i="1"/>
  <c r="P739" i="1"/>
  <c r="L739" i="1"/>
  <c r="J739" i="1"/>
  <c r="Q738" i="1"/>
  <c r="P738" i="1"/>
  <c r="L738" i="1"/>
  <c r="J738" i="1"/>
  <c r="N738" i="1" s="1"/>
  <c r="Q737" i="1"/>
  <c r="P737" i="1"/>
  <c r="L737" i="1"/>
  <c r="J737" i="1"/>
  <c r="Q736" i="1"/>
  <c r="P736" i="1"/>
  <c r="L736" i="1"/>
  <c r="J736" i="1"/>
  <c r="Q735" i="1"/>
  <c r="P735" i="1"/>
  <c r="L735" i="1"/>
  <c r="J735" i="1"/>
  <c r="R734" i="1"/>
  <c r="Q734" i="1"/>
  <c r="P734" i="1"/>
  <c r="L734" i="1"/>
  <c r="N734" i="1" s="1"/>
  <c r="J734" i="1"/>
  <c r="Q733" i="1"/>
  <c r="P733" i="1"/>
  <c r="L733" i="1"/>
  <c r="J733" i="1"/>
  <c r="N733" i="1" s="1"/>
  <c r="Q732" i="1"/>
  <c r="P732" i="1"/>
  <c r="L732" i="1"/>
  <c r="J732" i="1"/>
  <c r="N732" i="1" s="1"/>
  <c r="Q731" i="1"/>
  <c r="P731" i="1"/>
  <c r="R731" i="1" s="1"/>
  <c r="L731" i="1"/>
  <c r="J731" i="1"/>
  <c r="N731" i="1" s="1"/>
  <c r="Q730" i="1"/>
  <c r="R730" i="1" s="1"/>
  <c r="P730" i="1"/>
  <c r="L730" i="1"/>
  <c r="J730" i="1"/>
  <c r="Q729" i="1"/>
  <c r="P729" i="1"/>
  <c r="R729" i="1" s="1"/>
  <c r="L729" i="1"/>
  <c r="J729" i="1"/>
  <c r="Q728" i="1"/>
  <c r="P728" i="1"/>
  <c r="R728" i="1" s="1"/>
  <c r="N728" i="1"/>
  <c r="L728" i="1"/>
  <c r="J728" i="1"/>
  <c r="Q727" i="1"/>
  <c r="P727" i="1"/>
  <c r="R727" i="1" s="1"/>
  <c r="L727" i="1"/>
  <c r="J727" i="1"/>
  <c r="N727" i="1" s="1"/>
  <c r="Q726" i="1"/>
  <c r="P726" i="1"/>
  <c r="R726" i="1" s="1"/>
  <c r="L726" i="1"/>
  <c r="J726" i="1"/>
  <c r="Q725" i="1"/>
  <c r="P725" i="1"/>
  <c r="L725" i="1"/>
  <c r="J725" i="1"/>
  <c r="N725" i="1" s="1"/>
  <c r="Q724" i="1"/>
  <c r="P724" i="1"/>
  <c r="R724" i="1" s="1"/>
  <c r="L724" i="1"/>
  <c r="J724" i="1"/>
  <c r="Q723" i="1"/>
  <c r="P723" i="1"/>
  <c r="R723" i="1" s="1"/>
  <c r="L723" i="1"/>
  <c r="J723" i="1"/>
  <c r="Q722" i="1"/>
  <c r="P722" i="1"/>
  <c r="L722" i="1"/>
  <c r="J722" i="1"/>
  <c r="N722" i="1" s="1"/>
  <c r="R721" i="1"/>
  <c r="Q721" i="1"/>
  <c r="P721" i="1"/>
  <c r="L721" i="1"/>
  <c r="J721" i="1"/>
  <c r="Q720" i="1"/>
  <c r="P720" i="1"/>
  <c r="R720" i="1" s="1"/>
  <c r="L720" i="1"/>
  <c r="J720" i="1"/>
  <c r="R719" i="1"/>
  <c r="Q719" i="1"/>
  <c r="P719" i="1"/>
  <c r="L719" i="1"/>
  <c r="J719" i="1"/>
  <c r="N719" i="1" s="1"/>
  <c r="Q718" i="1"/>
  <c r="P718" i="1"/>
  <c r="L718" i="1"/>
  <c r="N718" i="1" s="1"/>
  <c r="J718" i="1"/>
  <c r="Q717" i="1"/>
  <c r="P717" i="1"/>
  <c r="L717" i="1"/>
  <c r="J717" i="1"/>
  <c r="N717" i="1" s="1"/>
  <c r="Q716" i="1"/>
  <c r="R716" i="1" s="1"/>
  <c r="P716" i="1"/>
  <c r="L716" i="1"/>
  <c r="J716" i="1"/>
  <c r="Q715" i="1"/>
  <c r="P715" i="1"/>
  <c r="L715" i="1"/>
  <c r="J715" i="1"/>
  <c r="N715" i="1" s="1"/>
  <c r="Q714" i="1"/>
  <c r="P714" i="1"/>
  <c r="R714" i="1" s="1"/>
  <c r="L714" i="1"/>
  <c r="J714" i="1"/>
  <c r="N714" i="1" s="1"/>
  <c r="Q713" i="1"/>
  <c r="P713" i="1"/>
  <c r="L713" i="1"/>
  <c r="J713" i="1"/>
  <c r="Q712" i="1"/>
  <c r="P712" i="1"/>
  <c r="L712" i="1"/>
  <c r="J712" i="1"/>
  <c r="N712" i="1" s="1"/>
  <c r="Q711" i="1"/>
  <c r="P711" i="1"/>
  <c r="R711" i="1" s="1"/>
  <c r="L711" i="1"/>
  <c r="J711" i="1"/>
  <c r="Q710" i="1"/>
  <c r="P710" i="1"/>
  <c r="L710" i="1"/>
  <c r="J710" i="1"/>
  <c r="Q709" i="1"/>
  <c r="P709" i="1"/>
  <c r="R709" i="1" s="1"/>
  <c r="N709" i="1"/>
  <c r="L709" i="1"/>
  <c r="J709" i="1"/>
  <c r="Q708" i="1"/>
  <c r="P708" i="1"/>
  <c r="L708" i="1"/>
  <c r="N708" i="1" s="1"/>
  <c r="J708" i="1"/>
  <c r="Q707" i="1"/>
  <c r="P707" i="1"/>
  <c r="L707" i="1"/>
  <c r="J707" i="1"/>
  <c r="N707" i="1" s="1"/>
  <c r="Q706" i="1"/>
  <c r="P706" i="1"/>
  <c r="L706" i="1"/>
  <c r="J706" i="1"/>
  <c r="Q705" i="1"/>
  <c r="P705" i="1"/>
  <c r="R705" i="1" s="1"/>
  <c r="L705" i="1"/>
  <c r="J705" i="1"/>
  <c r="Q704" i="1"/>
  <c r="R704" i="1" s="1"/>
  <c r="P704" i="1"/>
  <c r="L704" i="1"/>
  <c r="N704" i="1" s="1"/>
  <c r="J704" i="1"/>
  <c r="Q703" i="1"/>
  <c r="P703" i="1"/>
  <c r="L703" i="1"/>
  <c r="J703" i="1"/>
  <c r="N703" i="1" s="1"/>
  <c r="Q702" i="1"/>
  <c r="P702" i="1"/>
  <c r="R702" i="1" s="1"/>
  <c r="L702" i="1"/>
  <c r="J702" i="1"/>
  <c r="Q701" i="1"/>
  <c r="P701" i="1"/>
  <c r="R701" i="1" s="1"/>
  <c r="L701" i="1"/>
  <c r="J701" i="1"/>
  <c r="N701" i="1" s="1"/>
  <c r="Q700" i="1"/>
  <c r="P700" i="1"/>
  <c r="N700" i="1"/>
  <c r="L700" i="1"/>
  <c r="J700" i="1"/>
  <c r="Q699" i="1"/>
  <c r="P699" i="1"/>
  <c r="L699" i="1"/>
  <c r="J699" i="1"/>
  <c r="Q698" i="1"/>
  <c r="P698" i="1"/>
  <c r="R698" i="1" s="1"/>
  <c r="L698" i="1"/>
  <c r="J698" i="1"/>
  <c r="Q697" i="1"/>
  <c r="P697" i="1"/>
  <c r="L697" i="1"/>
  <c r="J697" i="1"/>
  <c r="N697" i="1" s="1"/>
  <c r="Q696" i="1"/>
  <c r="P696" i="1"/>
  <c r="R696" i="1" s="1"/>
  <c r="L696" i="1"/>
  <c r="J696" i="1"/>
  <c r="R695" i="1"/>
  <c r="Q695" i="1"/>
  <c r="P695" i="1"/>
  <c r="L695" i="1"/>
  <c r="J695" i="1"/>
  <c r="Q694" i="1"/>
  <c r="P694" i="1"/>
  <c r="R694" i="1" s="1"/>
  <c r="L694" i="1"/>
  <c r="J694" i="1"/>
  <c r="N694" i="1" s="1"/>
  <c r="Q693" i="1"/>
  <c r="P693" i="1"/>
  <c r="R693" i="1" s="1"/>
  <c r="L693" i="1"/>
  <c r="J693" i="1"/>
  <c r="N693" i="1" s="1"/>
  <c r="Q692" i="1"/>
  <c r="P692" i="1"/>
  <c r="R692" i="1" s="1"/>
  <c r="L692" i="1"/>
  <c r="J692" i="1"/>
  <c r="N692" i="1" s="1"/>
  <c r="Q691" i="1"/>
  <c r="P691" i="1"/>
  <c r="L691" i="1"/>
  <c r="J691" i="1"/>
  <c r="N691" i="1" s="1"/>
  <c r="Q690" i="1"/>
  <c r="P690" i="1"/>
  <c r="N690" i="1"/>
  <c r="L690" i="1"/>
  <c r="J690" i="1"/>
  <c r="R689" i="1"/>
  <c r="Q689" i="1"/>
  <c r="P689" i="1"/>
  <c r="L689" i="1"/>
  <c r="J689" i="1"/>
  <c r="N689" i="1" s="1"/>
  <c r="Q688" i="1"/>
  <c r="P688" i="1"/>
  <c r="R688" i="1" s="1"/>
  <c r="L688" i="1"/>
  <c r="J688" i="1"/>
  <c r="N688" i="1" s="1"/>
  <c r="Q687" i="1"/>
  <c r="P687" i="1"/>
  <c r="L687" i="1"/>
  <c r="J687" i="1"/>
  <c r="N687" i="1" s="1"/>
  <c r="Q686" i="1"/>
  <c r="P686" i="1"/>
  <c r="R686" i="1" s="1"/>
  <c r="L686" i="1"/>
  <c r="J686" i="1"/>
  <c r="Q685" i="1"/>
  <c r="P685" i="1"/>
  <c r="L685" i="1"/>
  <c r="J685" i="1"/>
  <c r="Q684" i="1"/>
  <c r="P684" i="1"/>
  <c r="L684" i="1"/>
  <c r="J684" i="1"/>
  <c r="N684" i="1" s="1"/>
  <c r="Q683" i="1"/>
  <c r="P683" i="1"/>
  <c r="R683" i="1" s="1"/>
  <c r="L683" i="1"/>
  <c r="J683" i="1"/>
  <c r="Q682" i="1"/>
  <c r="P682" i="1"/>
  <c r="R682" i="1" s="1"/>
  <c r="L682" i="1"/>
  <c r="J682" i="1"/>
  <c r="N682" i="1" s="1"/>
  <c r="Q681" i="1"/>
  <c r="P681" i="1"/>
  <c r="L681" i="1"/>
  <c r="J681" i="1"/>
  <c r="Q680" i="1"/>
  <c r="P680" i="1"/>
  <c r="R680" i="1" s="1"/>
  <c r="L680" i="1"/>
  <c r="J680" i="1"/>
  <c r="N680" i="1" s="1"/>
  <c r="Q679" i="1"/>
  <c r="P679" i="1"/>
  <c r="L679" i="1"/>
  <c r="J679" i="1"/>
  <c r="N679" i="1" s="1"/>
  <c r="Q678" i="1"/>
  <c r="P678" i="1"/>
  <c r="L678" i="1"/>
  <c r="J678" i="1"/>
  <c r="Q677" i="1"/>
  <c r="P677" i="1"/>
  <c r="L677" i="1"/>
  <c r="J677" i="1"/>
  <c r="R676" i="1"/>
  <c r="Q676" i="1"/>
  <c r="P676" i="1"/>
  <c r="L676" i="1"/>
  <c r="J676" i="1"/>
  <c r="Q675" i="1"/>
  <c r="P675" i="1"/>
  <c r="R675" i="1" s="1"/>
  <c r="L675" i="1"/>
  <c r="J675" i="1"/>
  <c r="R674" i="1"/>
  <c r="Q674" i="1"/>
  <c r="P674" i="1"/>
  <c r="L674" i="1"/>
  <c r="N674" i="1" s="1"/>
  <c r="J674" i="1"/>
  <c r="Q673" i="1"/>
  <c r="P673" i="1"/>
  <c r="L673" i="1"/>
  <c r="J673" i="1"/>
  <c r="Q672" i="1"/>
  <c r="P672" i="1"/>
  <c r="R672" i="1" s="1"/>
  <c r="N672" i="1"/>
  <c r="L672" i="1"/>
  <c r="J672" i="1"/>
  <c r="Q671" i="1"/>
  <c r="P671" i="1"/>
  <c r="L671" i="1"/>
  <c r="J671" i="1"/>
  <c r="N671" i="1" s="1"/>
  <c r="Q670" i="1"/>
  <c r="P670" i="1"/>
  <c r="L670" i="1"/>
  <c r="J670" i="1"/>
  <c r="N670" i="1" s="1"/>
  <c r="R669" i="1"/>
  <c r="Q669" i="1"/>
  <c r="P669" i="1"/>
  <c r="L669" i="1"/>
  <c r="N669" i="1" s="1"/>
  <c r="J669" i="1"/>
  <c r="Q668" i="1"/>
  <c r="P668" i="1"/>
  <c r="R668" i="1" s="1"/>
  <c r="L668" i="1"/>
  <c r="J668" i="1"/>
  <c r="R667" i="1"/>
  <c r="Q667" i="1"/>
  <c r="P667" i="1"/>
  <c r="L667" i="1"/>
  <c r="N667" i="1" s="1"/>
  <c r="J667" i="1"/>
  <c r="Q666" i="1"/>
  <c r="P666" i="1"/>
  <c r="L666" i="1"/>
  <c r="J666" i="1"/>
  <c r="N666" i="1" s="1"/>
  <c r="R665" i="1"/>
  <c r="Q665" i="1"/>
  <c r="P665" i="1"/>
  <c r="L665" i="1"/>
  <c r="N665" i="1" s="1"/>
  <c r="J665" i="1"/>
  <c r="Q664" i="1"/>
  <c r="P664" i="1"/>
  <c r="L664" i="1"/>
  <c r="J664" i="1"/>
  <c r="R663" i="1"/>
  <c r="Q663" i="1"/>
  <c r="P663" i="1"/>
  <c r="L663" i="1"/>
  <c r="J663" i="1"/>
  <c r="Q662" i="1"/>
  <c r="P662" i="1"/>
  <c r="R662" i="1" s="1"/>
  <c r="L662" i="1"/>
  <c r="J662" i="1"/>
  <c r="Q661" i="1"/>
  <c r="P661" i="1"/>
  <c r="R661" i="1" s="1"/>
  <c r="L661" i="1"/>
  <c r="J661" i="1"/>
  <c r="Q660" i="1"/>
  <c r="P660" i="1"/>
  <c r="L660" i="1"/>
  <c r="J660" i="1"/>
  <c r="N660" i="1" s="1"/>
  <c r="Q659" i="1"/>
  <c r="P659" i="1"/>
  <c r="R659" i="1" s="1"/>
  <c r="N659" i="1"/>
  <c r="L659" i="1"/>
  <c r="J659" i="1"/>
  <c r="Q658" i="1"/>
  <c r="R658" i="1" s="1"/>
  <c r="P658" i="1"/>
  <c r="L658" i="1"/>
  <c r="J658" i="1"/>
  <c r="N658" i="1" s="1"/>
  <c r="Q657" i="1"/>
  <c r="P657" i="1"/>
  <c r="L657" i="1"/>
  <c r="J657" i="1"/>
  <c r="Q656" i="1"/>
  <c r="P656" i="1"/>
  <c r="R656" i="1" s="1"/>
  <c r="L656" i="1"/>
  <c r="J656" i="1"/>
  <c r="N656" i="1" s="1"/>
  <c r="Q655" i="1"/>
  <c r="P655" i="1"/>
  <c r="R655" i="1" s="1"/>
  <c r="L655" i="1"/>
  <c r="N655" i="1" s="1"/>
  <c r="J655" i="1"/>
  <c r="Q654" i="1"/>
  <c r="P654" i="1"/>
  <c r="L654" i="1"/>
  <c r="N654" i="1" s="1"/>
  <c r="J654" i="1"/>
  <c r="Q653" i="1"/>
  <c r="P653" i="1"/>
  <c r="L653" i="1"/>
  <c r="N653" i="1" s="1"/>
  <c r="J653" i="1"/>
  <c r="Q652" i="1"/>
  <c r="P652" i="1"/>
  <c r="L652" i="1"/>
  <c r="J652" i="1"/>
  <c r="Q651" i="1"/>
  <c r="P651" i="1"/>
  <c r="R651" i="1" s="1"/>
  <c r="L651" i="1"/>
  <c r="J651" i="1"/>
  <c r="N651" i="1" s="1"/>
  <c r="Q650" i="1"/>
  <c r="P650" i="1"/>
  <c r="L650" i="1"/>
  <c r="J650" i="1"/>
  <c r="N650" i="1" s="1"/>
  <c r="Q649" i="1"/>
  <c r="P649" i="1"/>
  <c r="R649" i="1" s="1"/>
  <c r="L649" i="1"/>
  <c r="J649" i="1"/>
  <c r="N649" i="1" s="1"/>
  <c r="Q648" i="1"/>
  <c r="R648" i="1" s="1"/>
  <c r="P648" i="1"/>
  <c r="L648" i="1"/>
  <c r="J648" i="1"/>
  <c r="Q647" i="1"/>
  <c r="P647" i="1"/>
  <c r="L647" i="1"/>
  <c r="J647" i="1"/>
  <c r="N647" i="1" s="1"/>
  <c r="Q646" i="1"/>
  <c r="P646" i="1"/>
  <c r="R646" i="1" s="1"/>
  <c r="L646" i="1"/>
  <c r="J646" i="1"/>
  <c r="Q645" i="1"/>
  <c r="P645" i="1"/>
  <c r="R645" i="1" s="1"/>
  <c r="L645" i="1"/>
  <c r="J645" i="1"/>
  <c r="N645" i="1" s="1"/>
  <c r="Q644" i="1"/>
  <c r="P644" i="1"/>
  <c r="R644" i="1" s="1"/>
  <c r="L644" i="1"/>
  <c r="J644" i="1"/>
  <c r="Q643" i="1"/>
  <c r="P643" i="1"/>
  <c r="L643" i="1"/>
  <c r="N643" i="1" s="1"/>
  <c r="J643" i="1"/>
  <c r="Q642" i="1"/>
  <c r="P642" i="1"/>
  <c r="R642" i="1" s="1"/>
  <c r="L642" i="1"/>
  <c r="J642" i="1"/>
  <c r="N642" i="1" s="1"/>
  <c r="R641" i="1"/>
  <c r="Q641" i="1"/>
  <c r="P641" i="1"/>
  <c r="L641" i="1"/>
  <c r="J641" i="1"/>
  <c r="Q640" i="1"/>
  <c r="P640" i="1"/>
  <c r="R640" i="1" s="1"/>
  <c r="L640" i="1"/>
  <c r="J640" i="1"/>
  <c r="Q639" i="1"/>
  <c r="R639" i="1" s="1"/>
  <c r="P639" i="1"/>
  <c r="L639" i="1"/>
  <c r="J639" i="1"/>
  <c r="Q638" i="1"/>
  <c r="P638" i="1"/>
  <c r="R638" i="1" s="1"/>
  <c r="L638" i="1"/>
  <c r="N638" i="1" s="1"/>
  <c r="J638" i="1"/>
  <c r="Q637" i="1"/>
  <c r="R637" i="1" s="1"/>
  <c r="P637" i="1"/>
  <c r="L637" i="1"/>
  <c r="J637" i="1"/>
  <c r="Q636" i="1"/>
  <c r="P636" i="1"/>
  <c r="L636" i="1"/>
  <c r="J636" i="1"/>
  <c r="Q635" i="1"/>
  <c r="P635" i="1"/>
  <c r="R635" i="1" s="1"/>
  <c r="N635" i="1"/>
  <c r="L635" i="1"/>
  <c r="J635" i="1"/>
  <c r="Q634" i="1"/>
  <c r="P634" i="1"/>
  <c r="R634" i="1" s="1"/>
  <c r="L634" i="1"/>
  <c r="J634" i="1"/>
  <c r="N634" i="1" s="1"/>
  <c r="Q633" i="1"/>
  <c r="P633" i="1"/>
  <c r="N633" i="1"/>
  <c r="L633" i="1"/>
  <c r="J633" i="1"/>
  <c r="Q632" i="1"/>
  <c r="P632" i="1"/>
  <c r="R632" i="1" s="1"/>
  <c r="L632" i="1"/>
  <c r="J632" i="1"/>
  <c r="N632" i="1" s="1"/>
  <c r="Q631" i="1"/>
  <c r="P631" i="1"/>
  <c r="L631" i="1"/>
  <c r="J631" i="1"/>
  <c r="Q630" i="1"/>
  <c r="P630" i="1"/>
  <c r="R630" i="1" s="1"/>
  <c r="L630" i="1"/>
  <c r="J630" i="1"/>
  <c r="N630" i="1" s="1"/>
  <c r="Q629" i="1"/>
  <c r="P629" i="1"/>
  <c r="R629" i="1" s="1"/>
  <c r="L629" i="1"/>
  <c r="J629" i="1"/>
  <c r="Q628" i="1"/>
  <c r="P628" i="1"/>
  <c r="R628" i="1" s="1"/>
  <c r="L628" i="1"/>
  <c r="J628" i="1"/>
  <c r="Q627" i="1"/>
  <c r="P627" i="1"/>
  <c r="R627" i="1" s="1"/>
  <c r="L627" i="1"/>
  <c r="J627" i="1"/>
  <c r="N627" i="1" s="1"/>
  <c r="Q626" i="1"/>
  <c r="P626" i="1"/>
  <c r="L626" i="1"/>
  <c r="J626" i="1"/>
  <c r="Q625" i="1"/>
  <c r="P625" i="1"/>
  <c r="R625" i="1" s="1"/>
  <c r="L625" i="1"/>
  <c r="J625" i="1"/>
  <c r="Q624" i="1"/>
  <c r="P624" i="1"/>
  <c r="L624" i="1"/>
  <c r="J624" i="1"/>
  <c r="Q623" i="1"/>
  <c r="P623" i="1"/>
  <c r="R623" i="1" s="1"/>
  <c r="L623" i="1"/>
  <c r="N623" i="1" s="1"/>
  <c r="J623" i="1"/>
  <c r="Q622" i="1"/>
  <c r="P622" i="1"/>
  <c r="N622" i="1"/>
  <c r="L622" i="1"/>
  <c r="J622" i="1"/>
  <c r="Q621" i="1"/>
  <c r="P621" i="1"/>
  <c r="L621" i="1"/>
  <c r="J621" i="1"/>
  <c r="N621" i="1" s="1"/>
  <c r="Q620" i="1"/>
  <c r="P620" i="1"/>
  <c r="L620" i="1"/>
  <c r="J620" i="1"/>
  <c r="N620" i="1" s="1"/>
  <c r="Q619" i="1"/>
  <c r="P619" i="1"/>
  <c r="R619" i="1" s="1"/>
  <c r="L619" i="1"/>
  <c r="J619" i="1"/>
  <c r="N619" i="1" s="1"/>
  <c r="Q618" i="1"/>
  <c r="P618" i="1"/>
  <c r="R618" i="1" s="1"/>
  <c r="L618" i="1"/>
  <c r="J618" i="1"/>
  <c r="Q617" i="1"/>
  <c r="P617" i="1"/>
  <c r="R617" i="1" s="1"/>
  <c r="L617" i="1"/>
  <c r="J617" i="1"/>
  <c r="N617" i="1" s="1"/>
  <c r="Q616" i="1"/>
  <c r="P616" i="1"/>
  <c r="R616" i="1" s="1"/>
  <c r="L616" i="1"/>
  <c r="J616" i="1"/>
  <c r="N616" i="1" s="1"/>
  <c r="Q615" i="1"/>
  <c r="P615" i="1"/>
  <c r="R615" i="1" s="1"/>
  <c r="L615" i="1"/>
  <c r="J615" i="1"/>
  <c r="N615" i="1" s="1"/>
  <c r="Q614" i="1"/>
  <c r="P614" i="1"/>
  <c r="R614" i="1" s="1"/>
  <c r="L614" i="1"/>
  <c r="J614" i="1"/>
  <c r="Q613" i="1"/>
  <c r="P613" i="1"/>
  <c r="R613" i="1" s="1"/>
  <c r="L613" i="1"/>
  <c r="J613" i="1"/>
  <c r="Q612" i="1"/>
  <c r="P612" i="1"/>
  <c r="N612" i="1"/>
  <c r="L612" i="1"/>
  <c r="J612" i="1"/>
  <c r="Q611" i="1"/>
  <c r="P611" i="1"/>
  <c r="L611" i="1"/>
  <c r="J611" i="1"/>
  <c r="Q610" i="1"/>
  <c r="P610" i="1"/>
  <c r="R610" i="1" s="1"/>
  <c r="L610" i="1"/>
  <c r="N610" i="1" s="1"/>
  <c r="J610" i="1"/>
  <c r="Q609" i="1"/>
  <c r="P609" i="1"/>
  <c r="L609" i="1"/>
  <c r="J609" i="1"/>
  <c r="Q608" i="1"/>
  <c r="P608" i="1"/>
  <c r="L608" i="1"/>
  <c r="J608" i="1"/>
  <c r="Q607" i="1"/>
  <c r="P607" i="1"/>
  <c r="N607" i="1"/>
  <c r="L607" i="1"/>
  <c r="J607" i="1"/>
  <c r="Q606" i="1"/>
  <c r="P606" i="1"/>
  <c r="R606" i="1" s="1"/>
  <c r="L606" i="1"/>
  <c r="J606" i="1"/>
  <c r="Q605" i="1"/>
  <c r="P605" i="1"/>
  <c r="N605" i="1"/>
  <c r="L605" i="1"/>
  <c r="J605" i="1"/>
  <c r="Q604" i="1"/>
  <c r="P604" i="1"/>
  <c r="L604" i="1"/>
  <c r="J604" i="1"/>
  <c r="N604" i="1" s="1"/>
  <c r="Q603" i="1"/>
  <c r="P603" i="1"/>
  <c r="L603" i="1"/>
  <c r="J603" i="1"/>
  <c r="N603" i="1" s="1"/>
  <c r="Q602" i="1"/>
  <c r="P602" i="1"/>
  <c r="R602" i="1" s="1"/>
  <c r="L602" i="1"/>
  <c r="J602" i="1"/>
  <c r="N602" i="1" s="1"/>
  <c r="Q601" i="1"/>
  <c r="P601" i="1"/>
  <c r="R601" i="1" s="1"/>
  <c r="L601" i="1"/>
  <c r="J601" i="1"/>
  <c r="Q600" i="1"/>
  <c r="P600" i="1"/>
  <c r="R600" i="1" s="1"/>
  <c r="L600" i="1"/>
  <c r="J600" i="1"/>
  <c r="N600" i="1" s="1"/>
  <c r="Q599" i="1"/>
  <c r="P599" i="1"/>
  <c r="R599" i="1" s="1"/>
  <c r="L599" i="1"/>
  <c r="J599" i="1"/>
  <c r="Q598" i="1"/>
  <c r="R598" i="1" s="1"/>
  <c r="P598" i="1"/>
  <c r="L598" i="1"/>
  <c r="J598" i="1"/>
  <c r="Q597" i="1"/>
  <c r="P597" i="1"/>
  <c r="R597" i="1" s="1"/>
  <c r="L597" i="1"/>
  <c r="J597" i="1"/>
  <c r="N597" i="1" s="1"/>
  <c r="R596" i="1"/>
  <c r="Q596" i="1"/>
  <c r="P596" i="1"/>
  <c r="L596" i="1"/>
  <c r="J596" i="1"/>
  <c r="Q595" i="1"/>
  <c r="P595" i="1"/>
  <c r="R595" i="1" s="1"/>
  <c r="L595" i="1"/>
  <c r="J595" i="1"/>
  <c r="N595" i="1" s="1"/>
  <c r="Q594" i="1"/>
  <c r="P594" i="1"/>
  <c r="L594" i="1"/>
  <c r="J594" i="1"/>
  <c r="N594" i="1" s="1"/>
  <c r="Q593" i="1"/>
  <c r="P593" i="1"/>
  <c r="L593" i="1"/>
  <c r="J593" i="1"/>
  <c r="Q592" i="1"/>
  <c r="P592" i="1"/>
  <c r="R592" i="1" s="1"/>
  <c r="L592" i="1"/>
  <c r="J592" i="1"/>
  <c r="Q591" i="1"/>
  <c r="P591" i="1"/>
  <c r="R591" i="1" s="1"/>
  <c r="L591" i="1"/>
  <c r="J591" i="1"/>
  <c r="N591" i="1" s="1"/>
  <c r="Q590" i="1"/>
  <c r="P590" i="1"/>
  <c r="N590" i="1"/>
  <c r="L590" i="1"/>
  <c r="J590" i="1"/>
  <c r="Q589" i="1"/>
  <c r="P589" i="1"/>
  <c r="R589" i="1" s="1"/>
  <c r="L589" i="1"/>
  <c r="J589" i="1"/>
  <c r="N589" i="1" s="1"/>
  <c r="R588" i="1"/>
  <c r="Q588" i="1"/>
  <c r="P588" i="1"/>
  <c r="L588" i="1"/>
  <c r="J588" i="1"/>
  <c r="Q587" i="1"/>
  <c r="P587" i="1"/>
  <c r="R587" i="1" s="1"/>
  <c r="L587" i="1"/>
  <c r="J587" i="1"/>
  <c r="N587" i="1" s="1"/>
  <c r="R586" i="1"/>
  <c r="Q586" i="1"/>
  <c r="P586" i="1"/>
  <c r="L586" i="1"/>
  <c r="J586" i="1"/>
  <c r="Q585" i="1"/>
  <c r="P585" i="1"/>
  <c r="L585" i="1"/>
  <c r="J585" i="1"/>
  <c r="N585" i="1" s="1"/>
  <c r="Q584" i="1"/>
  <c r="P584" i="1"/>
  <c r="L584" i="1"/>
  <c r="J584" i="1"/>
  <c r="N584" i="1" s="1"/>
  <c r="Q583" i="1"/>
  <c r="R583" i="1" s="1"/>
  <c r="P583" i="1"/>
  <c r="L583" i="1"/>
  <c r="J583" i="1"/>
  <c r="N583" i="1" s="1"/>
  <c r="Q582" i="1"/>
  <c r="P582" i="1"/>
  <c r="R582" i="1" s="1"/>
  <c r="L582" i="1"/>
  <c r="J582" i="1"/>
  <c r="N582" i="1" s="1"/>
  <c r="R581" i="1"/>
  <c r="Q581" i="1"/>
  <c r="P581" i="1"/>
  <c r="L581" i="1"/>
  <c r="J581" i="1"/>
  <c r="Q580" i="1"/>
  <c r="R580" i="1" s="1"/>
  <c r="P580" i="1"/>
  <c r="L580" i="1"/>
  <c r="J580" i="1"/>
  <c r="N580" i="1" s="1"/>
  <c r="Q579" i="1"/>
  <c r="P579" i="1"/>
  <c r="L579" i="1"/>
  <c r="J579" i="1"/>
  <c r="N579" i="1" s="1"/>
  <c r="Q578" i="1"/>
  <c r="P578" i="1"/>
  <c r="R578" i="1" s="1"/>
  <c r="L578" i="1"/>
  <c r="J578" i="1"/>
  <c r="N578" i="1" s="1"/>
  <c r="Q577" i="1"/>
  <c r="P577" i="1"/>
  <c r="L577" i="1"/>
  <c r="J577" i="1"/>
  <c r="N577" i="1" s="1"/>
  <c r="Q576" i="1"/>
  <c r="P576" i="1"/>
  <c r="R576" i="1" s="1"/>
  <c r="L576" i="1"/>
  <c r="J576" i="1"/>
  <c r="Q575" i="1"/>
  <c r="P575" i="1"/>
  <c r="L575" i="1"/>
  <c r="J575" i="1"/>
  <c r="N575" i="1" s="1"/>
  <c r="Q574" i="1"/>
  <c r="P574" i="1"/>
  <c r="L574" i="1"/>
  <c r="J574" i="1"/>
  <c r="N574" i="1" s="1"/>
  <c r="Q573" i="1"/>
  <c r="R573" i="1" s="1"/>
  <c r="P573" i="1"/>
  <c r="L573" i="1"/>
  <c r="J573" i="1"/>
  <c r="Q572" i="1"/>
  <c r="P572" i="1"/>
  <c r="L572" i="1"/>
  <c r="J572" i="1"/>
  <c r="Q571" i="1"/>
  <c r="P571" i="1"/>
  <c r="L571" i="1"/>
  <c r="J571" i="1"/>
  <c r="Q570" i="1"/>
  <c r="P570" i="1"/>
  <c r="R570" i="1" s="1"/>
  <c r="L570" i="1"/>
  <c r="N570" i="1" s="1"/>
  <c r="J570" i="1"/>
  <c r="Q569" i="1"/>
  <c r="P569" i="1"/>
  <c r="R569" i="1" s="1"/>
  <c r="N569" i="1"/>
  <c r="L569" i="1"/>
  <c r="J569" i="1"/>
  <c r="Q568" i="1"/>
  <c r="P568" i="1"/>
  <c r="L568" i="1"/>
  <c r="J568" i="1"/>
  <c r="N568" i="1" s="1"/>
  <c r="Q567" i="1"/>
  <c r="P567" i="1"/>
  <c r="L567" i="1"/>
  <c r="J567" i="1"/>
  <c r="N567" i="1" s="1"/>
  <c r="R566" i="1"/>
  <c r="Q566" i="1"/>
  <c r="P566" i="1"/>
  <c r="L566" i="1"/>
  <c r="J566" i="1"/>
  <c r="Q565" i="1"/>
  <c r="P565" i="1"/>
  <c r="R565" i="1" s="1"/>
  <c r="L565" i="1"/>
  <c r="N565" i="1" s="1"/>
  <c r="J565" i="1"/>
  <c r="Q564" i="1"/>
  <c r="P564" i="1"/>
  <c r="L564" i="1"/>
  <c r="J564" i="1"/>
  <c r="Q563" i="1"/>
  <c r="P563" i="1"/>
  <c r="R563" i="1" s="1"/>
  <c r="L563" i="1"/>
  <c r="J563" i="1"/>
  <c r="R562" i="1"/>
  <c r="Q562" i="1"/>
  <c r="P562" i="1"/>
  <c r="L562" i="1"/>
  <c r="N562" i="1" s="1"/>
  <c r="J562" i="1"/>
  <c r="Q561" i="1"/>
  <c r="P561" i="1"/>
  <c r="R561" i="1" s="1"/>
  <c r="L561" i="1"/>
  <c r="J561" i="1"/>
  <c r="N561" i="1" s="1"/>
  <c r="Q560" i="1"/>
  <c r="P560" i="1"/>
  <c r="L560" i="1"/>
  <c r="J560" i="1"/>
  <c r="N560" i="1" s="1"/>
  <c r="Q559" i="1"/>
  <c r="P559" i="1"/>
  <c r="L559" i="1"/>
  <c r="J559" i="1"/>
  <c r="Q558" i="1"/>
  <c r="R558" i="1" s="1"/>
  <c r="P558" i="1"/>
  <c r="L558" i="1"/>
  <c r="J558" i="1"/>
  <c r="Q557" i="1"/>
  <c r="P557" i="1"/>
  <c r="L557" i="1"/>
  <c r="J557" i="1"/>
  <c r="N557" i="1" s="1"/>
  <c r="Q556" i="1"/>
  <c r="R556" i="1" s="1"/>
  <c r="P556" i="1"/>
  <c r="L556" i="1"/>
  <c r="J556" i="1"/>
  <c r="Q555" i="1"/>
  <c r="P555" i="1"/>
  <c r="L555" i="1"/>
  <c r="J555" i="1"/>
  <c r="N555" i="1" s="1"/>
  <c r="Q554" i="1"/>
  <c r="P554" i="1"/>
  <c r="L554" i="1"/>
  <c r="J554" i="1"/>
  <c r="Q553" i="1"/>
  <c r="P553" i="1"/>
  <c r="L553" i="1"/>
  <c r="J553" i="1"/>
  <c r="N553" i="1" s="1"/>
  <c r="Q552" i="1"/>
  <c r="P552" i="1"/>
  <c r="L552" i="1"/>
  <c r="J552" i="1"/>
  <c r="R551" i="1"/>
  <c r="Q551" i="1"/>
  <c r="P551" i="1"/>
  <c r="L551" i="1"/>
  <c r="J551" i="1"/>
  <c r="Q550" i="1"/>
  <c r="P550" i="1"/>
  <c r="R550" i="1" s="1"/>
  <c r="L550" i="1"/>
  <c r="J550" i="1"/>
  <c r="Q549" i="1"/>
  <c r="P549" i="1"/>
  <c r="L549" i="1"/>
  <c r="N549" i="1" s="1"/>
  <c r="J549" i="1"/>
  <c r="Q548" i="1"/>
  <c r="P548" i="1"/>
  <c r="L548" i="1"/>
  <c r="J548" i="1"/>
  <c r="N548" i="1" s="1"/>
  <c r="Q547" i="1"/>
  <c r="P547" i="1"/>
  <c r="L547" i="1"/>
  <c r="J547" i="1"/>
  <c r="N547" i="1" s="1"/>
  <c r="Q546" i="1"/>
  <c r="P546" i="1"/>
  <c r="R546" i="1" s="1"/>
  <c r="L546" i="1"/>
  <c r="J546" i="1"/>
  <c r="Q545" i="1"/>
  <c r="P545" i="1"/>
  <c r="N545" i="1"/>
  <c r="L545" i="1"/>
  <c r="J545" i="1"/>
  <c r="Q544" i="1"/>
  <c r="P544" i="1"/>
  <c r="R544" i="1" s="1"/>
  <c r="L544" i="1"/>
  <c r="J544" i="1"/>
  <c r="N544" i="1" s="1"/>
  <c r="Q543" i="1"/>
  <c r="P543" i="1"/>
  <c r="L543" i="1"/>
  <c r="J543" i="1"/>
  <c r="Q542" i="1"/>
  <c r="P542" i="1"/>
  <c r="L542" i="1"/>
  <c r="J542" i="1"/>
  <c r="N542" i="1" s="1"/>
  <c r="Q541" i="1"/>
  <c r="P541" i="1"/>
  <c r="R541" i="1" s="1"/>
  <c r="L541" i="1"/>
  <c r="J541" i="1"/>
  <c r="N541" i="1" s="1"/>
  <c r="Q540" i="1"/>
  <c r="P540" i="1"/>
  <c r="L540" i="1"/>
  <c r="J540" i="1"/>
  <c r="N540" i="1" s="1"/>
  <c r="Q539" i="1"/>
  <c r="P539" i="1"/>
  <c r="R539" i="1" s="1"/>
  <c r="L539" i="1"/>
  <c r="J539" i="1"/>
  <c r="N539" i="1" s="1"/>
  <c r="R538" i="1"/>
  <c r="Q538" i="1"/>
  <c r="P538" i="1"/>
  <c r="L538" i="1"/>
  <c r="J538" i="1"/>
  <c r="Q537" i="1"/>
  <c r="P537" i="1"/>
  <c r="R537" i="1" s="1"/>
  <c r="L537" i="1"/>
  <c r="J537" i="1"/>
  <c r="N537" i="1" s="1"/>
  <c r="R536" i="1"/>
  <c r="Q536" i="1"/>
  <c r="P536" i="1"/>
  <c r="L536" i="1"/>
  <c r="J536" i="1"/>
  <c r="Q535" i="1"/>
  <c r="P535" i="1"/>
  <c r="R535" i="1" s="1"/>
  <c r="L535" i="1"/>
  <c r="J535" i="1"/>
  <c r="N535" i="1" s="1"/>
  <c r="Q534" i="1"/>
  <c r="P534" i="1"/>
  <c r="N534" i="1"/>
  <c r="L534" i="1"/>
  <c r="J534" i="1"/>
  <c r="Q533" i="1"/>
  <c r="P533" i="1"/>
  <c r="L533" i="1"/>
  <c r="J533" i="1"/>
  <c r="Q532" i="1"/>
  <c r="R532" i="1" s="1"/>
  <c r="P532" i="1"/>
  <c r="N532" i="1"/>
  <c r="L532" i="1"/>
  <c r="J532" i="1"/>
  <c r="Q531" i="1"/>
  <c r="P531" i="1"/>
  <c r="R531" i="1" s="1"/>
  <c r="L531" i="1"/>
  <c r="J531" i="1"/>
  <c r="R530" i="1"/>
  <c r="Q530" i="1"/>
  <c r="P530" i="1"/>
  <c r="L530" i="1"/>
  <c r="J530" i="1"/>
  <c r="N530" i="1" s="1"/>
  <c r="Q529" i="1"/>
  <c r="P529" i="1"/>
  <c r="R529" i="1" s="1"/>
  <c r="L529" i="1"/>
  <c r="J529" i="1"/>
  <c r="R528" i="1"/>
  <c r="Q528" i="1"/>
  <c r="P528" i="1"/>
  <c r="L528" i="1"/>
  <c r="J528" i="1"/>
  <c r="N528" i="1" s="1"/>
  <c r="Q527" i="1"/>
  <c r="P527" i="1"/>
  <c r="R527" i="1" s="1"/>
  <c r="L527" i="1"/>
  <c r="J527" i="1"/>
  <c r="R526" i="1"/>
  <c r="Q526" i="1"/>
  <c r="P526" i="1"/>
  <c r="L526" i="1"/>
  <c r="J526" i="1"/>
  <c r="N526" i="1" s="1"/>
  <c r="Q525" i="1"/>
  <c r="P525" i="1"/>
  <c r="R525" i="1" s="1"/>
  <c r="L525" i="1"/>
  <c r="J525" i="1"/>
  <c r="Q524" i="1"/>
  <c r="P524" i="1"/>
  <c r="L524" i="1"/>
  <c r="J524" i="1"/>
  <c r="Q523" i="1"/>
  <c r="P523" i="1"/>
  <c r="L523" i="1"/>
  <c r="J523" i="1"/>
  <c r="Q522" i="1"/>
  <c r="P522" i="1"/>
  <c r="L522" i="1"/>
  <c r="J522" i="1"/>
  <c r="Q521" i="1"/>
  <c r="P521" i="1"/>
  <c r="R521" i="1" s="1"/>
  <c r="L521" i="1"/>
  <c r="J521" i="1"/>
  <c r="Q520" i="1"/>
  <c r="P520" i="1"/>
  <c r="R520" i="1" s="1"/>
  <c r="N520" i="1"/>
  <c r="L520" i="1"/>
  <c r="J520" i="1"/>
  <c r="Q519" i="1"/>
  <c r="P519" i="1"/>
  <c r="L519" i="1"/>
  <c r="J519" i="1"/>
  <c r="N519" i="1" s="1"/>
  <c r="Q518" i="1"/>
  <c r="P518" i="1"/>
  <c r="L518" i="1"/>
  <c r="J518" i="1"/>
  <c r="Q517" i="1"/>
  <c r="R517" i="1" s="1"/>
  <c r="P517" i="1"/>
  <c r="L517" i="1"/>
  <c r="J517" i="1"/>
  <c r="N517" i="1" s="1"/>
  <c r="Q516" i="1"/>
  <c r="P516" i="1"/>
  <c r="R516" i="1" s="1"/>
  <c r="L516" i="1"/>
  <c r="J516" i="1"/>
  <c r="N516" i="1" s="1"/>
  <c r="R515" i="1"/>
  <c r="Q515" i="1"/>
  <c r="P515" i="1"/>
  <c r="L515" i="1"/>
  <c r="J515" i="1"/>
  <c r="Q514" i="1"/>
  <c r="P514" i="1"/>
  <c r="R514" i="1" s="1"/>
  <c r="L514" i="1"/>
  <c r="J514" i="1"/>
  <c r="N514" i="1" s="1"/>
  <c r="R513" i="1"/>
  <c r="Q513" i="1"/>
  <c r="P513" i="1"/>
  <c r="L513" i="1"/>
  <c r="J513" i="1"/>
  <c r="N513" i="1" s="1"/>
  <c r="Q512" i="1"/>
  <c r="P512" i="1"/>
  <c r="R512" i="1" s="1"/>
  <c r="L512" i="1"/>
  <c r="J512" i="1"/>
  <c r="R511" i="1"/>
  <c r="Q511" i="1"/>
  <c r="P511" i="1"/>
  <c r="L511" i="1"/>
  <c r="J511" i="1"/>
  <c r="N511" i="1" s="1"/>
  <c r="Q510" i="1"/>
  <c r="P510" i="1"/>
  <c r="R510" i="1" s="1"/>
  <c r="L510" i="1"/>
  <c r="J510" i="1"/>
  <c r="N510" i="1" s="1"/>
  <c r="Q509" i="1"/>
  <c r="P509" i="1"/>
  <c r="L509" i="1"/>
  <c r="J509" i="1"/>
  <c r="Q508" i="1"/>
  <c r="R508" i="1" s="1"/>
  <c r="P508" i="1"/>
  <c r="L508" i="1"/>
  <c r="J508" i="1"/>
  <c r="N508" i="1" s="1"/>
  <c r="Q507" i="1"/>
  <c r="P507" i="1"/>
  <c r="R507" i="1" s="1"/>
  <c r="N507" i="1"/>
  <c r="L507" i="1"/>
  <c r="J507" i="1"/>
  <c r="Q506" i="1"/>
  <c r="P506" i="1"/>
  <c r="R506" i="1" s="1"/>
  <c r="L506" i="1"/>
  <c r="J506" i="1"/>
  <c r="N506" i="1" s="1"/>
  <c r="Q505" i="1"/>
  <c r="P505" i="1"/>
  <c r="L505" i="1"/>
  <c r="N505" i="1" s="1"/>
  <c r="J505" i="1"/>
  <c r="Q504" i="1"/>
  <c r="P504" i="1"/>
  <c r="R504" i="1" s="1"/>
  <c r="L504" i="1"/>
  <c r="J504" i="1"/>
  <c r="Q503" i="1"/>
  <c r="P503" i="1"/>
  <c r="L503" i="1"/>
  <c r="J503" i="1"/>
  <c r="N503" i="1" s="1"/>
  <c r="R502" i="1"/>
  <c r="Q502" i="1"/>
  <c r="P502" i="1"/>
  <c r="L502" i="1"/>
  <c r="J502" i="1"/>
  <c r="N502" i="1" s="1"/>
  <c r="Q501" i="1"/>
  <c r="P501" i="1"/>
  <c r="R501" i="1" s="1"/>
  <c r="L501" i="1"/>
  <c r="J501" i="1"/>
  <c r="R500" i="1"/>
  <c r="Q500" i="1"/>
  <c r="P500" i="1"/>
  <c r="L500" i="1"/>
  <c r="J500" i="1"/>
  <c r="N500" i="1" s="1"/>
  <c r="Q499" i="1"/>
  <c r="P499" i="1"/>
  <c r="R499" i="1" s="1"/>
  <c r="L499" i="1"/>
  <c r="J499" i="1"/>
  <c r="Q498" i="1"/>
  <c r="R498" i="1" s="1"/>
  <c r="P498" i="1"/>
  <c r="L498" i="1"/>
  <c r="J498" i="1"/>
  <c r="N498" i="1" s="1"/>
  <c r="Q497" i="1"/>
  <c r="P497" i="1"/>
  <c r="R497" i="1" s="1"/>
  <c r="L497" i="1"/>
  <c r="J497" i="1"/>
  <c r="N497" i="1" s="1"/>
  <c r="R496" i="1"/>
  <c r="Q496" i="1"/>
  <c r="P496" i="1"/>
  <c r="L496" i="1"/>
  <c r="J496" i="1"/>
  <c r="N496" i="1" s="1"/>
  <c r="Q495" i="1"/>
  <c r="P495" i="1"/>
  <c r="R495" i="1" s="1"/>
  <c r="L495" i="1"/>
  <c r="J495" i="1"/>
  <c r="N495" i="1" s="1"/>
  <c r="Q494" i="1"/>
  <c r="P494" i="1"/>
  <c r="L494" i="1"/>
  <c r="J494" i="1"/>
  <c r="N494" i="1" s="1"/>
  <c r="Q493" i="1"/>
  <c r="R493" i="1" s="1"/>
  <c r="P493" i="1"/>
  <c r="L493" i="1"/>
  <c r="J493" i="1"/>
  <c r="N493" i="1" s="1"/>
  <c r="Q492" i="1"/>
  <c r="P492" i="1"/>
  <c r="R492" i="1" s="1"/>
  <c r="L492" i="1"/>
  <c r="J492" i="1"/>
  <c r="Q491" i="1"/>
  <c r="P491" i="1"/>
  <c r="L491" i="1"/>
  <c r="J491" i="1"/>
  <c r="Q490" i="1"/>
  <c r="P490" i="1"/>
  <c r="R490" i="1" s="1"/>
  <c r="L490" i="1"/>
  <c r="J490" i="1"/>
  <c r="N490" i="1" s="1"/>
  <c r="Q489" i="1"/>
  <c r="P489" i="1"/>
  <c r="R489" i="1" s="1"/>
  <c r="L489" i="1"/>
  <c r="J489" i="1"/>
  <c r="N489" i="1" s="1"/>
  <c r="Q488" i="1"/>
  <c r="P488" i="1"/>
  <c r="R488" i="1" s="1"/>
  <c r="L488" i="1"/>
  <c r="J488" i="1"/>
  <c r="N488" i="1" s="1"/>
  <c r="R487" i="1"/>
  <c r="Q487" i="1"/>
  <c r="P487" i="1"/>
  <c r="L487" i="1"/>
  <c r="J487" i="1"/>
  <c r="N487" i="1" s="1"/>
  <c r="Q486" i="1"/>
  <c r="P486" i="1"/>
  <c r="R486" i="1" s="1"/>
  <c r="L486" i="1"/>
  <c r="J486" i="1"/>
  <c r="Q485" i="1"/>
  <c r="P485" i="1"/>
  <c r="L485" i="1"/>
  <c r="J485" i="1"/>
  <c r="N485" i="1" s="1"/>
  <c r="Q484" i="1"/>
  <c r="P484" i="1"/>
  <c r="R484" i="1" s="1"/>
  <c r="L484" i="1"/>
  <c r="J484" i="1"/>
  <c r="N484" i="1" s="1"/>
  <c r="Q483" i="1"/>
  <c r="R483" i="1" s="1"/>
  <c r="P483" i="1"/>
  <c r="L483" i="1"/>
  <c r="J483" i="1"/>
  <c r="Q482" i="1"/>
  <c r="P482" i="1"/>
  <c r="R482" i="1" s="1"/>
  <c r="L482" i="1"/>
  <c r="J482" i="1"/>
  <c r="N482" i="1" s="1"/>
  <c r="R481" i="1"/>
  <c r="Q481" i="1"/>
  <c r="P481" i="1"/>
  <c r="L481" i="1"/>
  <c r="J481" i="1"/>
  <c r="Q480" i="1"/>
  <c r="P480" i="1"/>
  <c r="R480" i="1" s="1"/>
  <c r="L480" i="1"/>
  <c r="J480" i="1"/>
  <c r="Q479" i="1"/>
  <c r="P479" i="1"/>
  <c r="L479" i="1"/>
  <c r="J479" i="1"/>
  <c r="N479" i="1" s="1"/>
  <c r="Q478" i="1"/>
  <c r="P478" i="1"/>
  <c r="R478" i="1" s="1"/>
  <c r="L478" i="1"/>
  <c r="J478" i="1"/>
  <c r="N478" i="1" s="1"/>
  <c r="Q477" i="1"/>
  <c r="P477" i="1"/>
  <c r="L477" i="1"/>
  <c r="J477" i="1"/>
  <c r="N477" i="1" s="1"/>
  <c r="Q476" i="1"/>
  <c r="P476" i="1"/>
  <c r="R476" i="1" s="1"/>
  <c r="L476" i="1"/>
  <c r="J476" i="1"/>
  <c r="N476" i="1" s="1"/>
  <c r="Q475" i="1"/>
  <c r="P475" i="1"/>
  <c r="L475" i="1"/>
  <c r="J475" i="1"/>
  <c r="N475" i="1" s="1"/>
  <c r="Q474" i="1"/>
  <c r="P474" i="1"/>
  <c r="R474" i="1" s="1"/>
  <c r="L474" i="1"/>
  <c r="J474" i="1"/>
  <c r="N474" i="1" s="1"/>
  <c r="Q473" i="1"/>
  <c r="R473" i="1" s="1"/>
  <c r="P473" i="1"/>
  <c r="L473" i="1"/>
  <c r="J473" i="1"/>
  <c r="Q472" i="1"/>
  <c r="P472" i="1"/>
  <c r="L472" i="1"/>
  <c r="J472" i="1"/>
  <c r="N472" i="1" s="1"/>
  <c r="Q471" i="1"/>
  <c r="P471" i="1"/>
  <c r="R471" i="1" s="1"/>
  <c r="L471" i="1"/>
  <c r="J471" i="1"/>
  <c r="Q470" i="1"/>
  <c r="P470" i="1"/>
  <c r="R470" i="1" s="1"/>
  <c r="L470" i="1"/>
  <c r="J470" i="1"/>
  <c r="N470" i="1" s="1"/>
  <c r="Q469" i="1"/>
  <c r="P469" i="1"/>
  <c r="R469" i="1" s="1"/>
  <c r="N469" i="1"/>
  <c r="L469" i="1"/>
  <c r="J469" i="1"/>
  <c r="Q468" i="1"/>
  <c r="P468" i="1"/>
  <c r="L468" i="1"/>
  <c r="J468" i="1"/>
  <c r="N468" i="1" s="1"/>
  <c r="Q467" i="1"/>
  <c r="R467" i="1" s="1"/>
  <c r="P467" i="1"/>
  <c r="L467" i="1"/>
  <c r="J467" i="1"/>
  <c r="N467" i="1" s="1"/>
  <c r="R466" i="1"/>
  <c r="Q466" i="1"/>
  <c r="P466" i="1"/>
  <c r="L466" i="1"/>
  <c r="J466" i="1"/>
  <c r="Q465" i="1"/>
  <c r="P465" i="1"/>
  <c r="R465" i="1" s="1"/>
  <c r="L465" i="1"/>
  <c r="N465" i="1" s="1"/>
  <c r="J465" i="1"/>
  <c r="Q464" i="1"/>
  <c r="P464" i="1"/>
  <c r="L464" i="1"/>
  <c r="J464" i="1"/>
  <c r="Q463" i="1"/>
  <c r="P463" i="1"/>
  <c r="R463" i="1" s="1"/>
  <c r="L463" i="1"/>
  <c r="J463" i="1"/>
  <c r="R462" i="1"/>
  <c r="Q462" i="1"/>
  <c r="P462" i="1"/>
  <c r="L462" i="1"/>
  <c r="N462" i="1" s="1"/>
  <c r="J462" i="1"/>
  <c r="Q461" i="1"/>
  <c r="P461" i="1"/>
  <c r="R461" i="1" s="1"/>
  <c r="L461" i="1"/>
  <c r="J461" i="1"/>
  <c r="Q460" i="1"/>
  <c r="P460" i="1"/>
  <c r="L460" i="1"/>
  <c r="J460" i="1"/>
  <c r="N460" i="1" s="1"/>
  <c r="Q459" i="1"/>
  <c r="P459" i="1"/>
  <c r="R459" i="1" s="1"/>
  <c r="L459" i="1"/>
  <c r="J459" i="1"/>
  <c r="Q458" i="1"/>
  <c r="R458" i="1" s="1"/>
  <c r="P458" i="1"/>
  <c r="L458" i="1"/>
  <c r="J458" i="1"/>
  <c r="Q457" i="1"/>
  <c r="P457" i="1"/>
  <c r="L457" i="1"/>
  <c r="J457" i="1"/>
  <c r="N457" i="1" s="1"/>
  <c r="Q456" i="1"/>
  <c r="R456" i="1" s="1"/>
  <c r="P456" i="1"/>
  <c r="L456" i="1"/>
  <c r="J456" i="1"/>
  <c r="Q455" i="1"/>
  <c r="P455" i="1"/>
  <c r="L455" i="1"/>
  <c r="J455" i="1"/>
  <c r="N455" i="1" s="1"/>
  <c r="Q454" i="1"/>
  <c r="P454" i="1"/>
  <c r="R454" i="1" s="1"/>
  <c r="L454" i="1"/>
  <c r="J454" i="1"/>
  <c r="Q453" i="1"/>
  <c r="P453" i="1"/>
  <c r="L453" i="1"/>
  <c r="J453" i="1"/>
  <c r="N453" i="1" s="1"/>
  <c r="Q452" i="1"/>
  <c r="P452" i="1"/>
  <c r="R452" i="1" s="1"/>
  <c r="L452" i="1"/>
  <c r="J452" i="1"/>
  <c r="Q451" i="1"/>
  <c r="P451" i="1"/>
  <c r="R451" i="1" s="1"/>
  <c r="L451" i="1"/>
  <c r="J451" i="1"/>
  <c r="Q450" i="1"/>
  <c r="P450" i="1"/>
  <c r="R450" i="1" s="1"/>
  <c r="N450" i="1"/>
  <c r="L450" i="1"/>
  <c r="J450" i="1"/>
  <c r="Q449" i="1"/>
  <c r="P449" i="1"/>
  <c r="R449" i="1" s="1"/>
  <c r="L449" i="1"/>
  <c r="J449" i="1"/>
  <c r="N449" i="1" s="1"/>
  <c r="Q448" i="1"/>
  <c r="P448" i="1"/>
  <c r="L448" i="1"/>
  <c r="J448" i="1"/>
  <c r="Q447" i="1"/>
  <c r="P447" i="1"/>
  <c r="L447" i="1"/>
  <c r="J447" i="1"/>
  <c r="N447" i="1" s="1"/>
  <c r="Q446" i="1"/>
  <c r="P446" i="1"/>
  <c r="R446" i="1" s="1"/>
  <c r="L446" i="1"/>
  <c r="J446" i="1"/>
  <c r="Q445" i="1"/>
  <c r="P445" i="1"/>
  <c r="L445" i="1"/>
  <c r="J445" i="1"/>
  <c r="N445" i="1" s="1"/>
  <c r="Q444" i="1"/>
  <c r="P444" i="1"/>
  <c r="L444" i="1"/>
  <c r="J444" i="1"/>
  <c r="Q443" i="1"/>
  <c r="R443" i="1" s="1"/>
  <c r="P443" i="1"/>
  <c r="L443" i="1"/>
  <c r="J443" i="1"/>
  <c r="N443" i="1" s="1"/>
  <c r="Q442" i="1"/>
  <c r="P442" i="1"/>
  <c r="R442" i="1" s="1"/>
  <c r="L442" i="1"/>
  <c r="J442" i="1"/>
  <c r="R441" i="1"/>
  <c r="Q441" i="1"/>
  <c r="P441" i="1"/>
  <c r="L441" i="1"/>
  <c r="J441" i="1"/>
  <c r="Q440" i="1"/>
  <c r="P440" i="1"/>
  <c r="L440" i="1"/>
  <c r="J440" i="1"/>
  <c r="N440" i="1" s="1"/>
  <c r="Q439" i="1"/>
  <c r="P439" i="1"/>
  <c r="L439" i="1"/>
  <c r="J439" i="1"/>
  <c r="Q438" i="1"/>
  <c r="P438" i="1"/>
  <c r="R438" i="1" s="1"/>
  <c r="L438" i="1"/>
  <c r="J438" i="1"/>
  <c r="N438" i="1" s="1"/>
  <c r="Q437" i="1"/>
  <c r="P437" i="1"/>
  <c r="L437" i="1"/>
  <c r="J437" i="1"/>
  <c r="Q436" i="1"/>
  <c r="P436" i="1"/>
  <c r="R436" i="1" s="1"/>
  <c r="L436" i="1"/>
  <c r="J436" i="1"/>
  <c r="Q435" i="1"/>
  <c r="P435" i="1"/>
  <c r="R435" i="1" s="1"/>
  <c r="N435" i="1"/>
  <c r="L435" i="1"/>
  <c r="J435" i="1"/>
  <c r="Q434" i="1"/>
  <c r="P434" i="1"/>
  <c r="R434" i="1" s="1"/>
  <c r="L434" i="1"/>
  <c r="J434" i="1"/>
  <c r="N434" i="1" s="1"/>
  <c r="Q433" i="1"/>
  <c r="P433" i="1"/>
  <c r="L433" i="1"/>
  <c r="J433" i="1"/>
  <c r="Q432" i="1"/>
  <c r="P432" i="1"/>
  <c r="R432" i="1" s="1"/>
  <c r="L432" i="1"/>
  <c r="J432" i="1"/>
  <c r="N432" i="1" s="1"/>
  <c r="Q431" i="1"/>
  <c r="P431" i="1"/>
  <c r="R431" i="1" s="1"/>
  <c r="L431" i="1"/>
  <c r="J431" i="1"/>
  <c r="Q430" i="1"/>
  <c r="P430" i="1"/>
  <c r="R430" i="1" s="1"/>
  <c r="L430" i="1"/>
  <c r="J430" i="1"/>
  <c r="N430" i="1" s="1"/>
  <c r="Q429" i="1"/>
  <c r="P429" i="1"/>
  <c r="N429" i="1"/>
  <c r="L429" i="1"/>
  <c r="J429" i="1"/>
  <c r="Q428" i="1"/>
  <c r="P428" i="1"/>
  <c r="R428" i="1" s="1"/>
  <c r="L428" i="1"/>
  <c r="J428" i="1"/>
  <c r="Q427" i="1"/>
  <c r="P427" i="1"/>
  <c r="N427" i="1"/>
  <c r="L427" i="1"/>
  <c r="J427" i="1"/>
  <c r="Q426" i="1"/>
  <c r="P426" i="1"/>
  <c r="R426" i="1" s="1"/>
  <c r="L426" i="1"/>
  <c r="J426" i="1"/>
  <c r="Q425" i="1"/>
  <c r="P425" i="1"/>
  <c r="R425" i="1" s="1"/>
  <c r="N425" i="1"/>
  <c r="L425" i="1"/>
  <c r="J425" i="1"/>
  <c r="Q424" i="1"/>
  <c r="P424" i="1"/>
  <c r="L424" i="1"/>
  <c r="J424" i="1"/>
  <c r="N424" i="1" s="1"/>
  <c r="Q423" i="1"/>
  <c r="P423" i="1"/>
  <c r="L423" i="1"/>
  <c r="J423" i="1"/>
  <c r="Q422" i="1"/>
  <c r="P422" i="1"/>
  <c r="L422" i="1"/>
  <c r="J422" i="1"/>
  <c r="Q421" i="1"/>
  <c r="P421" i="1"/>
  <c r="R421" i="1" s="1"/>
  <c r="L421" i="1"/>
  <c r="J421" i="1"/>
  <c r="Q420" i="1"/>
  <c r="P420" i="1"/>
  <c r="L420" i="1"/>
  <c r="J420" i="1"/>
  <c r="N420" i="1" s="1"/>
  <c r="Q419" i="1"/>
  <c r="P419" i="1"/>
  <c r="R419" i="1" s="1"/>
  <c r="L419" i="1"/>
  <c r="J419" i="1"/>
  <c r="N419" i="1" s="1"/>
  <c r="Q418" i="1"/>
  <c r="R418" i="1" s="1"/>
  <c r="P418" i="1"/>
  <c r="L418" i="1"/>
  <c r="J418" i="1"/>
  <c r="N418" i="1" s="1"/>
  <c r="Q417" i="1"/>
  <c r="P417" i="1"/>
  <c r="L417" i="1"/>
  <c r="J417" i="1"/>
  <c r="Q416" i="1"/>
  <c r="R416" i="1" s="1"/>
  <c r="P416" i="1"/>
  <c r="L416" i="1"/>
  <c r="J416" i="1"/>
  <c r="Q415" i="1"/>
  <c r="P415" i="1"/>
  <c r="R415" i="1" s="1"/>
  <c r="L415" i="1"/>
  <c r="J415" i="1"/>
  <c r="N415" i="1" s="1"/>
  <c r="Q414" i="1"/>
  <c r="P414" i="1"/>
  <c r="L414" i="1"/>
  <c r="J414" i="1"/>
  <c r="Q413" i="1"/>
  <c r="P413" i="1"/>
  <c r="R413" i="1" s="1"/>
  <c r="L413" i="1"/>
  <c r="J413" i="1"/>
  <c r="Q412" i="1"/>
  <c r="R412" i="1" s="1"/>
  <c r="P412" i="1"/>
  <c r="L412" i="1"/>
  <c r="N412" i="1" s="1"/>
  <c r="J412" i="1"/>
  <c r="Q411" i="1"/>
  <c r="P411" i="1"/>
  <c r="R411" i="1" s="1"/>
  <c r="L411" i="1"/>
  <c r="J411" i="1"/>
  <c r="Q410" i="1"/>
  <c r="P410" i="1"/>
  <c r="N410" i="1"/>
  <c r="L410" i="1"/>
  <c r="J410" i="1"/>
  <c r="Q409" i="1"/>
  <c r="P409" i="1"/>
  <c r="L409" i="1"/>
  <c r="J409" i="1"/>
  <c r="Q408" i="1"/>
  <c r="P408" i="1"/>
  <c r="L408" i="1"/>
  <c r="J408" i="1"/>
  <c r="Q407" i="1"/>
  <c r="P407" i="1"/>
  <c r="L407" i="1"/>
  <c r="J407" i="1"/>
  <c r="N407" i="1" s="1"/>
  <c r="Q406" i="1"/>
  <c r="P406" i="1"/>
  <c r="R406" i="1" s="1"/>
  <c r="L406" i="1"/>
  <c r="J406" i="1"/>
  <c r="Q405" i="1"/>
  <c r="P405" i="1"/>
  <c r="L405" i="1"/>
  <c r="J405" i="1"/>
  <c r="N405" i="1" s="1"/>
  <c r="Q404" i="1"/>
  <c r="P404" i="1"/>
  <c r="L404" i="1"/>
  <c r="J404" i="1"/>
  <c r="N404" i="1" s="1"/>
  <c r="Q403" i="1"/>
  <c r="R403" i="1" s="1"/>
  <c r="P403" i="1"/>
  <c r="L403" i="1"/>
  <c r="J403" i="1"/>
  <c r="N403" i="1" s="1"/>
  <c r="Q402" i="1"/>
  <c r="P402" i="1"/>
  <c r="R402" i="1" s="1"/>
  <c r="L402" i="1"/>
  <c r="J402" i="1"/>
  <c r="N402" i="1" s="1"/>
  <c r="R401" i="1"/>
  <c r="Q401" i="1"/>
  <c r="P401" i="1"/>
  <c r="L401" i="1"/>
  <c r="J401" i="1"/>
  <c r="Q400" i="1"/>
  <c r="P400" i="1"/>
  <c r="R400" i="1" s="1"/>
  <c r="L400" i="1"/>
  <c r="J400" i="1"/>
  <c r="N400" i="1" s="1"/>
  <c r="Q399" i="1"/>
  <c r="P399" i="1"/>
  <c r="L399" i="1"/>
  <c r="J399" i="1"/>
  <c r="N399" i="1" s="1"/>
  <c r="Q398" i="1"/>
  <c r="P398" i="1"/>
  <c r="L398" i="1"/>
  <c r="J398" i="1"/>
  <c r="N398" i="1" s="1"/>
  <c r="Q397" i="1"/>
  <c r="P397" i="1"/>
  <c r="L397" i="1"/>
  <c r="J397" i="1"/>
  <c r="N397" i="1" s="1"/>
  <c r="Q396" i="1"/>
  <c r="P396" i="1"/>
  <c r="R396" i="1" s="1"/>
  <c r="L396" i="1"/>
  <c r="J396" i="1"/>
  <c r="N396" i="1" s="1"/>
  <c r="Q395" i="1"/>
  <c r="P395" i="1"/>
  <c r="L395" i="1"/>
  <c r="J395" i="1"/>
  <c r="N395" i="1" s="1"/>
  <c r="Q394" i="1"/>
  <c r="P394" i="1"/>
  <c r="R394" i="1" s="1"/>
  <c r="L394" i="1"/>
  <c r="J394" i="1"/>
  <c r="Q393" i="1"/>
  <c r="R393" i="1" s="1"/>
  <c r="P393" i="1"/>
  <c r="L393" i="1"/>
  <c r="J393" i="1"/>
  <c r="Q392" i="1"/>
  <c r="P392" i="1"/>
  <c r="R392" i="1" s="1"/>
  <c r="L392" i="1"/>
  <c r="J392" i="1"/>
  <c r="N392" i="1" s="1"/>
  <c r="R391" i="1"/>
  <c r="Q391" i="1"/>
  <c r="P391" i="1"/>
  <c r="L391" i="1"/>
  <c r="J391" i="1"/>
  <c r="Q390" i="1"/>
  <c r="P390" i="1"/>
  <c r="L390" i="1"/>
  <c r="J390" i="1"/>
  <c r="N390" i="1" s="1"/>
  <c r="Q389" i="1"/>
  <c r="P389" i="1"/>
  <c r="L389" i="1"/>
  <c r="J389" i="1"/>
  <c r="R388" i="1"/>
  <c r="Q388" i="1"/>
  <c r="P388" i="1"/>
  <c r="L388" i="1"/>
  <c r="J388" i="1"/>
  <c r="Q387" i="1"/>
  <c r="P387" i="1"/>
  <c r="R387" i="1" s="1"/>
  <c r="L387" i="1"/>
  <c r="J387" i="1"/>
  <c r="R386" i="1"/>
  <c r="Q386" i="1"/>
  <c r="P386" i="1"/>
  <c r="L386" i="1"/>
  <c r="J386" i="1"/>
  <c r="Q385" i="1"/>
  <c r="P385" i="1"/>
  <c r="R385" i="1" s="1"/>
  <c r="L385" i="1"/>
  <c r="J385" i="1"/>
  <c r="N385" i="1" s="1"/>
  <c r="Q384" i="1"/>
  <c r="P384" i="1"/>
  <c r="L384" i="1"/>
  <c r="J384" i="1"/>
  <c r="N384" i="1" s="1"/>
  <c r="Q383" i="1"/>
  <c r="P383" i="1"/>
  <c r="L383" i="1"/>
  <c r="J383" i="1"/>
  <c r="N383" i="1" s="1"/>
  <c r="R382" i="1"/>
  <c r="Q382" i="1"/>
  <c r="P382" i="1"/>
  <c r="L382" i="1"/>
  <c r="J382" i="1"/>
  <c r="N382" i="1" s="1"/>
  <c r="Q381" i="1"/>
  <c r="P381" i="1"/>
  <c r="R381" i="1" s="1"/>
  <c r="L381" i="1"/>
  <c r="J381" i="1"/>
  <c r="R380" i="1"/>
  <c r="Q380" i="1"/>
  <c r="P380" i="1"/>
  <c r="L380" i="1"/>
  <c r="J380" i="1"/>
  <c r="N380" i="1" s="1"/>
  <c r="Q379" i="1"/>
  <c r="P379" i="1"/>
  <c r="L379" i="1"/>
  <c r="N379" i="1" s="1"/>
  <c r="J379" i="1"/>
  <c r="Q378" i="1"/>
  <c r="P378" i="1"/>
  <c r="R378" i="1" s="1"/>
  <c r="L378" i="1"/>
  <c r="J378" i="1"/>
  <c r="N378" i="1" s="1"/>
  <c r="Q377" i="1"/>
  <c r="P377" i="1"/>
  <c r="L377" i="1"/>
  <c r="N377" i="1" s="1"/>
  <c r="J377" i="1"/>
  <c r="Q376" i="1"/>
  <c r="P376" i="1"/>
  <c r="R376" i="1" s="1"/>
  <c r="L376" i="1"/>
  <c r="J376" i="1"/>
  <c r="N376" i="1" s="1"/>
  <c r="Q375" i="1"/>
  <c r="P375" i="1"/>
  <c r="L375" i="1"/>
  <c r="N375" i="1" s="1"/>
  <c r="J375" i="1"/>
  <c r="Q374" i="1"/>
  <c r="P374" i="1"/>
  <c r="L374" i="1"/>
  <c r="J374" i="1"/>
  <c r="Q373" i="1"/>
  <c r="P373" i="1"/>
  <c r="L373" i="1"/>
  <c r="J373" i="1"/>
  <c r="N373" i="1" s="1"/>
  <c r="Q372" i="1"/>
  <c r="P372" i="1"/>
  <c r="L372" i="1"/>
  <c r="J372" i="1"/>
  <c r="Q371" i="1"/>
  <c r="P371" i="1"/>
  <c r="R371" i="1" s="1"/>
  <c r="L371" i="1"/>
  <c r="J371" i="1"/>
  <c r="Q370" i="1"/>
  <c r="P370" i="1"/>
  <c r="N370" i="1"/>
  <c r="L370" i="1"/>
  <c r="J370" i="1"/>
  <c r="Q369" i="1"/>
  <c r="P369" i="1"/>
  <c r="L369" i="1"/>
  <c r="J369" i="1"/>
  <c r="Q368" i="1"/>
  <c r="R368" i="1" s="1"/>
  <c r="P368" i="1"/>
  <c r="L368" i="1"/>
  <c r="J368" i="1"/>
  <c r="Q367" i="1"/>
  <c r="P367" i="1"/>
  <c r="L367" i="1"/>
  <c r="J367" i="1"/>
  <c r="N367" i="1" s="1"/>
  <c r="R366" i="1"/>
  <c r="Q366" i="1"/>
  <c r="P366" i="1"/>
  <c r="L366" i="1"/>
  <c r="J366" i="1"/>
  <c r="Q365" i="1"/>
  <c r="P365" i="1"/>
  <c r="R365" i="1" s="1"/>
  <c r="L365" i="1"/>
  <c r="J365" i="1"/>
  <c r="Q364" i="1"/>
  <c r="P364" i="1"/>
  <c r="L364" i="1"/>
  <c r="J364" i="1"/>
  <c r="R363" i="1"/>
  <c r="Q363" i="1"/>
  <c r="P363" i="1"/>
  <c r="L363" i="1"/>
  <c r="J363" i="1"/>
  <c r="N363" i="1" s="1"/>
  <c r="Q362" i="1"/>
  <c r="P362" i="1"/>
  <c r="R362" i="1" s="1"/>
  <c r="L362" i="1"/>
  <c r="N362" i="1" s="1"/>
  <c r="J362" i="1"/>
  <c r="R361" i="1"/>
  <c r="Q361" i="1"/>
  <c r="P361" i="1"/>
  <c r="L361" i="1"/>
  <c r="J361" i="1"/>
  <c r="N361" i="1" s="1"/>
  <c r="Q360" i="1"/>
  <c r="P360" i="1"/>
  <c r="R360" i="1" s="1"/>
  <c r="L360" i="1"/>
  <c r="N360" i="1" s="1"/>
  <c r="J360" i="1"/>
  <c r="Q359" i="1"/>
  <c r="P359" i="1"/>
  <c r="L359" i="1"/>
  <c r="J359" i="1"/>
  <c r="Q358" i="1"/>
  <c r="P358" i="1"/>
  <c r="R358" i="1" s="1"/>
  <c r="L358" i="1"/>
  <c r="J358" i="1"/>
  <c r="N358" i="1" s="1"/>
  <c r="Q357" i="1"/>
  <c r="P357" i="1"/>
  <c r="L357" i="1"/>
  <c r="J357" i="1"/>
  <c r="N357" i="1" s="1"/>
  <c r="Q356" i="1"/>
  <c r="P356" i="1"/>
  <c r="R356" i="1" s="1"/>
  <c r="L356" i="1"/>
  <c r="J356" i="1"/>
  <c r="N356" i="1" s="1"/>
  <c r="Q355" i="1"/>
  <c r="P355" i="1"/>
  <c r="L355" i="1"/>
  <c r="J355" i="1"/>
  <c r="N355" i="1" s="1"/>
  <c r="Q354" i="1"/>
  <c r="P354" i="1"/>
  <c r="R354" i="1" s="1"/>
  <c r="L354" i="1"/>
  <c r="J354" i="1"/>
  <c r="N354" i="1" s="1"/>
  <c r="Q353" i="1"/>
  <c r="P353" i="1"/>
  <c r="L353" i="1"/>
  <c r="J353" i="1"/>
  <c r="Q352" i="1"/>
  <c r="P352" i="1"/>
  <c r="R352" i="1" s="1"/>
  <c r="L352" i="1"/>
  <c r="J352" i="1"/>
  <c r="Q351" i="1"/>
  <c r="R351" i="1" s="1"/>
  <c r="P351" i="1"/>
  <c r="L351" i="1"/>
  <c r="J351" i="1"/>
  <c r="Q350" i="1"/>
  <c r="P350" i="1"/>
  <c r="R350" i="1" s="1"/>
  <c r="L350" i="1"/>
  <c r="N350" i="1" s="1"/>
  <c r="J350" i="1"/>
  <c r="Q349" i="1"/>
  <c r="P349" i="1"/>
  <c r="L349" i="1"/>
  <c r="N349" i="1" s="1"/>
  <c r="J349" i="1"/>
  <c r="Q348" i="1"/>
  <c r="P348" i="1"/>
  <c r="R348" i="1" s="1"/>
  <c r="L348" i="1"/>
  <c r="J348" i="1"/>
  <c r="N348" i="1" s="1"/>
  <c r="Q347" i="1"/>
  <c r="P347" i="1"/>
  <c r="N347" i="1"/>
  <c r="L347" i="1"/>
  <c r="J347" i="1"/>
  <c r="Q346" i="1"/>
  <c r="P346" i="1"/>
  <c r="R346" i="1" s="1"/>
  <c r="L346" i="1"/>
  <c r="J346" i="1"/>
  <c r="N346" i="1" s="1"/>
  <c r="Q345" i="1"/>
  <c r="P345" i="1"/>
  <c r="N345" i="1"/>
  <c r="L345" i="1"/>
  <c r="J345" i="1"/>
  <c r="Q344" i="1"/>
  <c r="P344" i="1"/>
  <c r="L344" i="1"/>
  <c r="J344" i="1"/>
  <c r="N344" i="1" s="1"/>
  <c r="Q343" i="1"/>
  <c r="P343" i="1"/>
  <c r="L343" i="1"/>
  <c r="J343" i="1"/>
  <c r="Q342" i="1"/>
  <c r="P342" i="1"/>
  <c r="L342" i="1"/>
  <c r="J342" i="1"/>
  <c r="Q341" i="1"/>
  <c r="P341" i="1"/>
  <c r="R341" i="1" s="1"/>
  <c r="L341" i="1"/>
  <c r="J341" i="1"/>
  <c r="N341" i="1" s="1"/>
  <c r="Q340" i="1"/>
  <c r="P340" i="1"/>
  <c r="L340" i="1"/>
  <c r="N340" i="1" s="1"/>
  <c r="J340" i="1"/>
  <c r="Q339" i="1"/>
  <c r="P339" i="1"/>
  <c r="R339" i="1" s="1"/>
  <c r="L339" i="1"/>
  <c r="J339" i="1"/>
  <c r="N339" i="1" s="1"/>
  <c r="Q338" i="1"/>
  <c r="P338" i="1"/>
  <c r="R338" i="1" s="1"/>
  <c r="L338" i="1"/>
  <c r="J338" i="1"/>
  <c r="Q337" i="1"/>
  <c r="P337" i="1"/>
  <c r="R337" i="1" s="1"/>
  <c r="L337" i="1"/>
  <c r="J337" i="1"/>
  <c r="N337" i="1" s="1"/>
  <c r="Q336" i="1"/>
  <c r="P336" i="1"/>
  <c r="R336" i="1" s="1"/>
  <c r="L336" i="1"/>
  <c r="J336" i="1"/>
  <c r="Q335" i="1"/>
  <c r="P335" i="1"/>
  <c r="L335" i="1"/>
  <c r="J335" i="1"/>
  <c r="Q334" i="1"/>
  <c r="P334" i="1"/>
  <c r="R334" i="1" s="1"/>
  <c r="L334" i="1"/>
  <c r="J334" i="1"/>
  <c r="N334" i="1" s="1"/>
  <c r="Q333" i="1"/>
  <c r="P333" i="1"/>
  <c r="L333" i="1"/>
  <c r="J333" i="1"/>
  <c r="N333" i="1" s="1"/>
  <c r="Q332" i="1"/>
  <c r="P332" i="1"/>
  <c r="R332" i="1" s="1"/>
  <c r="L332" i="1"/>
  <c r="J332" i="1"/>
  <c r="N332" i="1" s="1"/>
  <c r="R331" i="1"/>
  <c r="Q331" i="1"/>
  <c r="P331" i="1"/>
  <c r="L331" i="1"/>
  <c r="J331" i="1"/>
  <c r="N331" i="1" s="1"/>
  <c r="Q330" i="1"/>
  <c r="P330" i="1"/>
  <c r="R330" i="1" s="1"/>
  <c r="L330" i="1"/>
  <c r="J330" i="1"/>
  <c r="Q329" i="1"/>
  <c r="P329" i="1"/>
  <c r="L329" i="1"/>
  <c r="J329" i="1"/>
  <c r="Q328" i="1"/>
  <c r="P328" i="1"/>
  <c r="R328" i="1" s="1"/>
  <c r="L328" i="1"/>
  <c r="J328" i="1"/>
  <c r="N328" i="1" s="1"/>
  <c r="Q327" i="1"/>
  <c r="P327" i="1"/>
  <c r="R327" i="1" s="1"/>
  <c r="L327" i="1"/>
  <c r="J327" i="1"/>
  <c r="Q326" i="1"/>
  <c r="P326" i="1"/>
  <c r="R326" i="1" s="1"/>
  <c r="L326" i="1"/>
  <c r="J326" i="1"/>
  <c r="N326" i="1" s="1"/>
  <c r="Q325" i="1"/>
  <c r="P325" i="1"/>
  <c r="R325" i="1" s="1"/>
  <c r="L325" i="1"/>
  <c r="N325" i="1" s="1"/>
  <c r="J325" i="1"/>
  <c r="Q324" i="1"/>
  <c r="P324" i="1"/>
  <c r="L324" i="1"/>
  <c r="J324" i="1"/>
  <c r="N324" i="1" s="1"/>
  <c r="Q323" i="1"/>
  <c r="P323" i="1"/>
  <c r="R323" i="1" s="1"/>
  <c r="L323" i="1"/>
  <c r="J323" i="1"/>
  <c r="N323" i="1" s="1"/>
  <c r="Q322" i="1"/>
  <c r="P322" i="1"/>
  <c r="L322" i="1"/>
  <c r="J322" i="1"/>
  <c r="Q321" i="1"/>
  <c r="P321" i="1"/>
  <c r="R321" i="1" s="1"/>
  <c r="L321" i="1"/>
  <c r="J321" i="1"/>
  <c r="Q320" i="1"/>
  <c r="P320" i="1"/>
  <c r="R320" i="1" s="1"/>
  <c r="N320" i="1"/>
  <c r="L320" i="1"/>
  <c r="J320" i="1"/>
  <c r="Q319" i="1"/>
  <c r="P319" i="1"/>
  <c r="R319" i="1" s="1"/>
  <c r="L319" i="1"/>
  <c r="J319" i="1"/>
  <c r="Q318" i="1"/>
  <c r="P318" i="1"/>
  <c r="R318" i="1" s="1"/>
  <c r="L318" i="1"/>
  <c r="J318" i="1"/>
  <c r="Q317" i="1"/>
  <c r="P317" i="1"/>
  <c r="R317" i="1" s="1"/>
  <c r="L317" i="1"/>
  <c r="J317" i="1"/>
  <c r="N317" i="1" s="1"/>
  <c r="Q316" i="1"/>
  <c r="P316" i="1"/>
  <c r="R316" i="1" s="1"/>
  <c r="L316" i="1"/>
  <c r="J316" i="1"/>
  <c r="Q315" i="1"/>
  <c r="P315" i="1"/>
  <c r="R315" i="1" s="1"/>
  <c r="L315" i="1"/>
  <c r="J315" i="1"/>
  <c r="Q314" i="1"/>
  <c r="P314" i="1"/>
  <c r="N314" i="1"/>
  <c r="L314" i="1"/>
  <c r="J314" i="1"/>
  <c r="Q313" i="1"/>
  <c r="P313" i="1"/>
  <c r="R313" i="1" s="1"/>
  <c r="L313" i="1"/>
  <c r="J313" i="1"/>
  <c r="N313" i="1" s="1"/>
  <c r="Q312" i="1"/>
  <c r="P312" i="1"/>
  <c r="N312" i="1"/>
  <c r="L312" i="1"/>
  <c r="J312" i="1"/>
  <c r="Q311" i="1"/>
  <c r="P311" i="1"/>
  <c r="R311" i="1" s="1"/>
  <c r="L311" i="1"/>
  <c r="J311" i="1"/>
  <c r="N311" i="1" s="1"/>
  <c r="Q310" i="1"/>
  <c r="P310" i="1"/>
  <c r="N310" i="1"/>
  <c r="L310" i="1"/>
  <c r="J310" i="1"/>
  <c r="Q309" i="1"/>
  <c r="P309" i="1"/>
  <c r="R309" i="1" s="1"/>
  <c r="L309" i="1"/>
  <c r="J309" i="1"/>
  <c r="N309" i="1" s="1"/>
  <c r="Q308" i="1"/>
  <c r="P308" i="1"/>
  <c r="R308" i="1" s="1"/>
  <c r="L308" i="1"/>
  <c r="J308" i="1"/>
  <c r="Q307" i="1"/>
  <c r="P307" i="1"/>
  <c r="L307" i="1"/>
  <c r="J307" i="1"/>
  <c r="N307" i="1" s="1"/>
  <c r="Q306" i="1"/>
  <c r="P306" i="1"/>
  <c r="R306" i="1" s="1"/>
  <c r="L306" i="1"/>
  <c r="J306" i="1"/>
  <c r="N306" i="1" s="1"/>
  <c r="Q305" i="1"/>
  <c r="P305" i="1"/>
  <c r="L305" i="1"/>
  <c r="N305" i="1" s="1"/>
  <c r="J305" i="1"/>
  <c r="Q304" i="1"/>
  <c r="P304" i="1"/>
  <c r="L304" i="1"/>
  <c r="J304" i="1"/>
  <c r="N304" i="1" s="1"/>
  <c r="Q303" i="1"/>
  <c r="P303" i="1"/>
  <c r="L303" i="1"/>
  <c r="J303" i="1"/>
  <c r="Q302" i="1"/>
  <c r="P302" i="1"/>
  <c r="R302" i="1" s="1"/>
  <c r="L302" i="1"/>
  <c r="J302" i="1"/>
  <c r="N302" i="1" s="1"/>
  <c r="Q301" i="1"/>
  <c r="P301" i="1"/>
  <c r="R301" i="1" s="1"/>
  <c r="L301" i="1"/>
  <c r="J301" i="1"/>
  <c r="Q300" i="1"/>
  <c r="P300" i="1"/>
  <c r="R300" i="1" s="1"/>
  <c r="L300" i="1"/>
  <c r="J300" i="1"/>
  <c r="Q299" i="1"/>
  <c r="P299" i="1"/>
  <c r="R299" i="1" s="1"/>
  <c r="L299" i="1"/>
  <c r="J299" i="1"/>
  <c r="Q298" i="1"/>
  <c r="P298" i="1"/>
  <c r="L298" i="1"/>
  <c r="J298" i="1"/>
  <c r="N298" i="1" s="1"/>
  <c r="Q297" i="1"/>
  <c r="P297" i="1"/>
  <c r="R297" i="1" s="1"/>
  <c r="L297" i="1"/>
  <c r="J297" i="1"/>
  <c r="N297" i="1" s="1"/>
  <c r="R296" i="1"/>
  <c r="Q296" i="1"/>
  <c r="P296" i="1"/>
  <c r="L296" i="1"/>
  <c r="J296" i="1"/>
  <c r="Q295" i="1"/>
  <c r="P295" i="1"/>
  <c r="R295" i="1" s="1"/>
  <c r="L295" i="1"/>
  <c r="N295" i="1" s="1"/>
  <c r="J295" i="1"/>
  <c r="Q294" i="1"/>
  <c r="P294" i="1"/>
  <c r="L294" i="1"/>
  <c r="J294" i="1"/>
  <c r="N294" i="1" s="1"/>
  <c r="Q293" i="1"/>
  <c r="P293" i="1"/>
  <c r="R293" i="1" s="1"/>
  <c r="L293" i="1"/>
  <c r="J293" i="1"/>
  <c r="Q292" i="1"/>
  <c r="P292" i="1"/>
  <c r="L292" i="1"/>
  <c r="J292" i="1"/>
  <c r="N292" i="1" s="1"/>
  <c r="R291" i="1"/>
  <c r="Q291" i="1"/>
  <c r="P291" i="1"/>
  <c r="L291" i="1"/>
  <c r="J291" i="1"/>
  <c r="Q290" i="1"/>
  <c r="P290" i="1"/>
  <c r="L290" i="1"/>
  <c r="J290" i="1"/>
  <c r="N290" i="1" s="1"/>
  <c r="Q289" i="1"/>
  <c r="P289" i="1"/>
  <c r="L289" i="1"/>
  <c r="J289" i="1"/>
  <c r="Q288" i="1"/>
  <c r="P288" i="1"/>
  <c r="L288" i="1"/>
  <c r="J288" i="1"/>
  <c r="N288" i="1" s="1"/>
  <c r="Q287" i="1"/>
  <c r="P287" i="1"/>
  <c r="R287" i="1" s="1"/>
  <c r="L287" i="1"/>
  <c r="J287" i="1"/>
  <c r="R286" i="1"/>
  <c r="Q286" i="1"/>
  <c r="P286" i="1"/>
  <c r="L286" i="1"/>
  <c r="J286" i="1"/>
  <c r="Q285" i="1"/>
  <c r="P285" i="1"/>
  <c r="R285" i="1" s="1"/>
  <c r="L285" i="1"/>
  <c r="N285" i="1" s="1"/>
  <c r="J285" i="1"/>
  <c r="Q284" i="1"/>
  <c r="P284" i="1"/>
  <c r="N284" i="1"/>
  <c r="L284" i="1"/>
  <c r="J284" i="1"/>
  <c r="Q283" i="1"/>
  <c r="P283" i="1"/>
  <c r="L283" i="1"/>
  <c r="J283" i="1"/>
  <c r="N283" i="1" s="1"/>
  <c r="Q282" i="1"/>
  <c r="P282" i="1"/>
  <c r="N282" i="1"/>
  <c r="L282" i="1"/>
  <c r="J282" i="1"/>
  <c r="Q281" i="1"/>
  <c r="P281" i="1"/>
  <c r="R281" i="1" s="1"/>
  <c r="L281" i="1"/>
  <c r="J281" i="1"/>
  <c r="N281" i="1" s="1"/>
  <c r="R280" i="1"/>
  <c r="Q280" i="1"/>
  <c r="P280" i="1"/>
  <c r="L280" i="1"/>
  <c r="N280" i="1" s="1"/>
  <c r="J280" i="1"/>
  <c r="Q279" i="1"/>
  <c r="P279" i="1"/>
  <c r="L279" i="1"/>
  <c r="J279" i="1"/>
  <c r="N279" i="1" s="1"/>
  <c r="Q278" i="1"/>
  <c r="P278" i="1"/>
  <c r="R278" i="1" s="1"/>
  <c r="L278" i="1"/>
  <c r="J278" i="1"/>
  <c r="Q277" i="1"/>
  <c r="P277" i="1"/>
  <c r="R277" i="1" s="1"/>
  <c r="L277" i="1"/>
  <c r="J277" i="1"/>
  <c r="Q276" i="1"/>
  <c r="P276" i="1"/>
  <c r="R276" i="1" s="1"/>
  <c r="L276" i="1"/>
  <c r="J276" i="1"/>
  <c r="Q275" i="1"/>
  <c r="P275" i="1"/>
  <c r="R275" i="1" s="1"/>
  <c r="L275" i="1"/>
  <c r="J275" i="1"/>
  <c r="N275" i="1" s="1"/>
  <c r="Q274" i="1"/>
  <c r="P274" i="1"/>
  <c r="R274" i="1" s="1"/>
  <c r="N274" i="1"/>
  <c r="L274" i="1"/>
  <c r="J274" i="1"/>
  <c r="Q273" i="1"/>
  <c r="P273" i="1"/>
  <c r="L273" i="1"/>
  <c r="J273" i="1"/>
  <c r="N273" i="1" s="1"/>
  <c r="Q272" i="1"/>
  <c r="P272" i="1"/>
  <c r="R272" i="1" s="1"/>
  <c r="L272" i="1"/>
  <c r="N272" i="1" s="1"/>
  <c r="J272" i="1"/>
  <c r="Q271" i="1"/>
  <c r="P271" i="1"/>
  <c r="R271" i="1" s="1"/>
  <c r="L271" i="1"/>
  <c r="J271" i="1"/>
  <c r="N271" i="1" s="1"/>
  <c r="Q270" i="1"/>
  <c r="P270" i="1"/>
  <c r="R270" i="1" s="1"/>
  <c r="L270" i="1"/>
  <c r="N270" i="1" s="1"/>
  <c r="J270" i="1"/>
  <c r="Q269" i="1"/>
  <c r="P269" i="1"/>
  <c r="L269" i="1"/>
  <c r="J269" i="1"/>
  <c r="N269" i="1" s="1"/>
  <c r="Q268" i="1"/>
  <c r="P268" i="1"/>
  <c r="R268" i="1" s="1"/>
  <c r="L268" i="1"/>
  <c r="J268" i="1"/>
  <c r="N268" i="1" s="1"/>
  <c r="Q267" i="1"/>
  <c r="P267" i="1"/>
  <c r="L267" i="1"/>
  <c r="J267" i="1"/>
  <c r="Q266" i="1"/>
  <c r="P266" i="1"/>
  <c r="R266" i="1" s="1"/>
  <c r="L266" i="1"/>
  <c r="J266" i="1"/>
  <c r="N266" i="1" s="1"/>
  <c r="Q265" i="1"/>
  <c r="P265" i="1"/>
  <c r="L265" i="1"/>
  <c r="N265" i="1" s="1"/>
  <c r="J265" i="1"/>
  <c r="Q264" i="1"/>
  <c r="P264" i="1"/>
  <c r="L264" i="1"/>
  <c r="J264" i="1"/>
  <c r="Q263" i="1"/>
  <c r="P263" i="1"/>
  <c r="L263" i="1"/>
  <c r="J263" i="1"/>
  <c r="Q262" i="1"/>
  <c r="P262" i="1"/>
  <c r="R262" i="1" s="1"/>
  <c r="L262" i="1"/>
  <c r="J262" i="1"/>
  <c r="N262" i="1" s="1"/>
  <c r="Q261" i="1"/>
  <c r="P261" i="1"/>
  <c r="R261" i="1" s="1"/>
  <c r="L261" i="1"/>
  <c r="N261" i="1" s="1"/>
  <c r="J261" i="1"/>
  <c r="Q260" i="1"/>
  <c r="P260" i="1"/>
  <c r="L260" i="1"/>
  <c r="J260" i="1"/>
  <c r="N260" i="1" s="1"/>
  <c r="Q259" i="1"/>
  <c r="P259" i="1"/>
  <c r="L259" i="1"/>
  <c r="N259" i="1" s="1"/>
  <c r="J259" i="1"/>
  <c r="Q258" i="1"/>
  <c r="P258" i="1"/>
  <c r="L258" i="1"/>
  <c r="J258" i="1"/>
  <c r="N258" i="1" s="1"/>
  <c r="R257" i="1"/>
  <c r="Q257" i="1"/>
  <c r="P257" i="1"/>
  <c r="L257" i="1"/>
  <c r="N257" i="1" s="1"/>
  <c r="J257" i="1"/>
  <c r="Q256" i="1"/>
  <c r="P256" i="1"/>
  <c r="R256" i="1" s="1"/>
  <c r="L256" i="1"/>
  <c r="J256" i="1"/>
  <c r="N256" i="1" s="1"/>
  <c r="R255" i="1"/>
  <c r="Q255" i="1"/>
  <c r="P255" i="1"/>
  <c r="L255" i="1"/>
  <c r="N255" i="1" s="1"/>
  <c r="J255" i="1"/>
  <c r="Q254" i="1"/>
  <c r="P254" i="1"/>
  <c r="R254" i="1" s="1"/>
  <c r="L254" i="1"/>
  <c r="J254" i="1"/>
  <c r="R253" i="1"/>
  <c r="Q253" i="1"/>
  <c r="P253" i="1"/>
  <c r="L253" i="1"/>
  <c r="J253" i="1"/>
  <c r="Q252" i="1"/>
  <c r="P252" i="1"/>
  <c r="R252" i="1" s="1"/>
  <c r="L252" i="1"/>
  <c r="J252" i="1"/>
  <c r="N252" i="1" s="1"/>
  <c r="Q251" i="1"/>
  <c r="P251" i="1"/>
  <c r="R251" i="1" s="1"/>
  <c r="L251" i="1"/>
  <c r="J251" i="1"/>
  <c r="Q250" i="1"/>
  <c r="P250" i="1"/>
  <c r="R250" i="1" s="1"/>
  <c r="L250" i="1"/>
  <c r="J250" i="1"/>
  <c r="N250" i="1" s="1"/>
  <c r="Q249" i="1"/>
  <c r="P249" i="1"/>
  <c r="R249" i="1" s="1"/>
  <c r="L249" i="1"/>
  <c r="J249" i="1"/>
  <c r="Q248" i="1"/>
  <c r="P248" i="1"/>
  <c r="R248" i="1" s="1"/>
  <c r="L248" i="1"/>
  <c r="J248" i="1"/>
  <c r="N248" i="1" s="1"/>
  <c r="Q247" i="1"/>
  <c r="P247" i="1"/>
  <c r="R247" i="1" s="1"/>
  <c r="L247" i="1"/>
  <c r="J247" i="1"/>
  <c r="Q246" i="1"/>
  <c r="P246" i="1"/>
  <c r="R246" i="1" s="1"/>
  <c r="L246" i="1"/>
  <c r="J246" i="1"/>
  <c r="N246" i="1" s="1"/>
  <c r="Q245" i="1"/>
  <c r="P245" i="1"/>
  <c r="R245" i="1" s="1"/>
  <c r="L245" i="1"/>
  <c r="N245" i="1" s="1"/>
  <c r="J245" i="1"/>
  <c r="Q244" i="1"/>
  <c r="P244" i="1"/>
  <c r="L244" i="1"/>
  <c r="J244" i="1"/>
  <c r="N244" i="1" s="1"/>
  <c r="Q243" i="1"/>
  <c r="P243" i="1"/>
  <c r="R243" i="1" s="1"/>
  <c r="L243" i="1"/>
  <c r="J243" i="1"/>
  <c r="N243" i="1" s="1"/>
  <c r="Q242" i="1"/>
  <c r="P242" i="1"/>
  <c r="L242" i="1"/>
  <c r="J242" i="1"/>
  <c r="Q241" i="1"/>
  <c r="P241" i="1"/>
  <c r="R241" i="1" s="1"/>
  <c r="L241" i="1"/>
  <c r="J241" i="1"/>
  <c r="N241" i="1" s="1"/>
  <c r="Q240" i="1"/>
  <c r="P240" i="1"/>
  <c r="L240" i="1"/>
  <c r="N240" i="1" s="1"/>
  <c r="J240" i="1"/>
  <c r="Q239" i="1"/>
  <c r="P239" i="1"/>
  <c r="L239" i="1"/>
  <c r="J239" i="1"/>
  <c r="Q238" i="1"/>
  <c r="P238" i="1"/>
  <c r="R238" i="1" s="1"/>
  <c r="L238" i="1"/>
  <c r="J238" i="1"/>
  <c r="Q237" i="1"/>
  <c r="P237" i="1"/>
  <c r="R237" i="1" s="1"/>
  <c r="L237" i="1"/>
  <c r="J237" i="1"/>
  <c r="Q236" i="1"/>
  <c r="P236" i="1"/>
  <c r="R236" i="1" s="1"/>
  <c r="L236" i="1"/>
  <c r="N236" i="1" s="1"/>
  <c r="J236" i="1"/>
  <c r="Q235" i="1"/>
  <c r="P235" i="1"/>
  <c r="R235" i="1" s="1"/>
  <c r="L235" i="1"/>
  <c r="J235" i="1"/>
  <c r="Q234" i="1"/>
  <c r="P234" i="1"/>
  <c r="N234" i="1"/>
  <c r="L234" i="1"/>
  <c r="J234" i="1"/>
  <c r="Q233" i="1"/>
  <c r="P233" i="1"/>
  <c r="R233" i="1" s="1"/>
  <c r="L233" i="1"/>
  <c r="J233" i="1"/>
  <c r="N233" i="1" s="1"/>
  <c r="R232" i="1"/>
  <c r="Q232" i="1"/>
  <c r="P232" i="1"/>
  <c r="N232" i="1"/>
  <c r="L232" i="1"/>
  <c r="J232" i="1"/>
  <c r="Q231" i="1"/>
  <c r="P231" i="1"/>
  <c r="R231" i="1" s="1"/>
  <c r="L231" i="1"/>
  <c r="N231" i="1" s="1"/>
  <c r="J231" i="1"/>
  <c r="R230" i="1"/>
  <c r="Q230" i="1"/>
  <c r="P230" i="1"/>
  <c r="L230" i="1"/>
  <c r="N230" i="1" s="1"/>
  <c r="J230" i="1"/>
  <c r="Q229" i="1"/>
  <c r="P229" i="1"/>
  <c r="R229" i="1" s="1"/>
  <c r="L229" i="1"/>
  <c r="N229" i="1" s="1"/>
  <c r="J229" i="1"/>
  <c r="R228" i="1"/>
  <c r="Q228" i="1"/>
  <c r="P228" i="1"/>
  <c r="L228" i="1"/>
  <c r="J228" i="1"/>
  <c r="Q227" i="1"/>
  <c r="P227" i="1"/>
  <c r="R227" i="1" s="1"/>
  <c r="L227" i="1"/>
  <c r="N227" i="1" s="1"/>
  <c r="J227" i="1"/>
  <c r="R226" i="1"/>
  <c r="Q226" i="1"/>
  <c r="P226" i="1"/>
  <c r="L226" i="1"/>
  <c r="J226" i="1"/>
  <c r="Q225" i="1"/>
  <c r="P225" i="1"/>
  <c r="R225" i="1" s="1"/>
  <c r="L225" i="1"/>
  <c r="N225" i="1" s="1"/>
  <c r="J225" i="1"/>
  <c r="Q224" i="1"/>
  <c r="P224" i="1"/>
  <c r="L224" i="1"/>
  <c r="J224" i="1"/>
  <c r="Q223" i="1"/>
  <c r="P223" i="1"/>
  <c r="R223" i="1" s="1"/>
  <c r="L223" i="1"/>
  <c r="J223" i="1"/>
  <c r="N223" i="1" s="1"/>
  <c r="Q222" i="1"/>
  <c r="P222" i="1"/>
  <c r="L222" i="1"/>
  <c r="J222" i="1"/>
  <c r="Q221" i="1"/>
  <c r="P221" i="1"/>
  <c r="R221" i="1" s="1"/>
  <c r="L221" i="1"/>
  <c r="J221" i="1"/>
  <c r="N221" i="1" s="1"/>
  <c r="Q220" i="1"/>
  <c r="P220" i="1"/>
  <c r="R220" i="1" s="1"/>
  <c r="N220" i="1"/>
  <c r="L220" i="1"/>
  <c r="J220" i="1"/>
  <c r="Q219" i="1"/>
  <c r="P219" i="1"/>
  <c r="R219" i="1" s="1"/>
  <c r="L219" i="1"/>
  <c r="J219" i="1"/>
  <c r="N219" i="1" s="1"/>
  <c r="Q218" i="1"/>
  <c r="P218" i="1"/>
  <c r="L218" i="1"/>
  <c r="J218" i="1"/>
  <c r="Q217" i="1"/>
  <c r="P217" i="1"/>
  <c r="L217" i="1"/>
  <c r="J217" i="1"/>
  <c r="N217" i="1" s="1"/>
  <c r="Q216" i="1"/>
  <c r="P216" i="1"/>
  <c r="R216" i="1" s="1"/>
  <c r="N216" i="1"/>
  <c r="L216" i="1"/>
  <c r="J216" i="1"/>
  <c r="Q215" i="1"/>
  <c r="P215" i="1"/>
  <c r="L215" i="1"/>
  <c r="J215" i="1"/>
  <c r="Q214" i="1"/>
  <c r="P214" i="1"/>
  <c r="L214" i="1"/>
  <c r="J214" i="1"/>
  <c r="N214" i="1" s="1"/>
  <c r="Q213" i="1"/>
  <c r="R213" i="1" s="1"/>
  <c r="P213" i="1"/>
  <c r="L213" i="1"/>
  <c r="J213" i="1"/>
  <c r="Q212" i="1"/>
  <c r="P212" i="1"/>
  <c r="R212" i="1" s="1"/>
  <c r="L212" i="1"/>
  <c r="J212" i="1"/>
  <c r="N212" i="1" s="1"/>
  <c r="Q211" i="1"/>
  <c r="R211" i="1" s="1"/>
  <c r="P211" i="1"/>
  <c r="L211" i="1"/>
  <c r="N211" i="1" s="1"/>
  <c r="J211" i="1"/>
  <c r="Q210" i="1"/>
  <c r="P210" i="1"/>
  <c r="R210" i="1" s="1"/>
  <c r="L210" i="1"/>
  <c r="J210" i="1"/>
  <c r="N210" i="1" s="1"/>
  <c r="Q209" i="1"/>
  <c r="P209" i="1"/>
  <c r="N209" i="1"/>
  <c r="L209" i="1"/>
  <c r="J209" i="1"/>
  <c r="Q208" i="1"/>
  <c r="P208" i="1"/>
  <c r="R208" i="1" s="1"/>
  <c r="L208" i="1"/>
  <c r="J208" i="1"/>
  <c r="N208" i="1" s="1"/>
  <c r="Q207" i="1"/>
  <c r="P207" i="1"/>
  <c r="R207" i="1" s="1"/>
  <c r="N207" i="1"/>
  <c r="L207" i="1"/>
  <c r="J207" i="1"/>
  <c r="Q206" i="1"/>
  <c r="P206" i="1"/>
  <c r="R206" i="1" s="1"/>
  <c r="L206" i="1"/>
  <c r="J206" i="1"/>
  <c r="N206" i="1" s="1"/>
  <c r="R205" i="1"/>
  <c r="Q205" i="1"/>
  <c r="P205" i="1"/>
  <c r="L205" i="1"/>
  <c r="J205" i="1"/>
  <c r="Q204" i="1"/>
  <c r="P204" i="1"/>
  <c r="R204" i="1" s="1"/>
  <c r="L204" i="1"/>
  <c r="J204" i="1"/>
  <c r="N204" i="1" s="1"/>
  <c r="R203" i="1"/>
  <c r="Q203" i="1"/>
  <c r="P203" i="1"/>
  <c r="L203" i="1"/>
  <c r="J203" i="1"/>
  <c r="N203" i="1" s="1"/>
  <c r="Q202" i="1"/>
  <c r="P202" i="1"/>
  <c r="R202" i="1" s="1"/>
  <c r="L202" i="1"/>
  <c r="J202" i="1"/>
  <c r="N202" i="1" s="1"/>
  <c r="R201" i="1"/>
  <c r="Q201" i="1"/>
  <c r="P201" i="1"/>
  <c r="L201" i="1"/>
  <c r="J201" i="1"/>
  <c r="N201" i="1" s="1"/>
  <c r="Q200" i="1"/>
  <c r="P200" i="1"/>
  <c r="L200" i="1"/>
  <c r="J200" i="1"/>
  <c r="N200" i="1" s="1"/>
  <c r="Q199" i="1"/>
  <c r="P199" i="1"/>
  <c r="L199" i="1"/>
  <c r="J199" i="1"/>
  <c r="N199" i="1" s="1"/>
  <c r="Q198" i="1"/>
  <c r="P198" i="1"/>
  <c r="L198" i="1"/>
  <c r="J198" i="1"/>
  <c r="N198" i="1" s="1"/>
  <c r="Q197" i="1"/>
  <c r="P197" i="1"/>
  <c r="L197" i="1"/>
  <c r="J197" i="1"/>
  <c r="Q196" i="1"/>
  <c r="P196" i="1"/>
  <c r="R196" i="1" s="1"/>
  <c r="L196" i="1"/>
  <c r="J196" i="1"/>
  <c r="Q195" i="1"/>
  <c r="P195" i="1"/>
  <c r="R195" i="1" s="1"/>
  <c r="N195" i="1"/>
  <c r="L195" i="1"/>
  <c r="J195" i="1"/>
  <c r="Q194" i="1"/>
  <c r="P194" i="1"/>
  <c r="R194" i="1" s="1"/>
  <c r="L194" i="1"/>
  <c r="J194" i="1"/>
  <c r="Q193" i="1"/>
  <c r="P193" i="1"/>
  <c r="L193" i="1"/>
  <c r="J193" i="1"/>
  <c r="Q192" i="1"/>
  <c r="P192" i="1"/>
  <c r="L192" i="1"/>
  <c r="J192" i="1"/>
  <c r="N192" i="1" s="1"/>
  <c r="R191" i="1"/>
  <c r="Q191" i="1"/>
  <c r="P191" i="1"/>
  <c r="L191" i="1"/>
  <c r="N191" i="1" s="1"/>
  <c r="J191" i="1"/>
  <c r="Q190" i="1"/>
  <c r="P190" i="1"/>
  <c r="L190" i="1"/>
  <c r="J190" i="1"/>
  <c r="Q189" i="1"/>
  <c r="P189" i="1"/>
  <c r="L189" i="1"/>
  <c r="J189" i="1"/>
  <c r="R188" i="1"/>
  <c r="Q188" i="1"/>
  <c r="P188" i="1"/>
  <c r="L188" i="1"/>
  <c r="J188" i="1"/>
  <c r="N188" i="1" s="1"/>
  <c r="Q187" i="1"/>
  <c r="P187" i="1"/>
  <c r="R187" i="1" s="1"/>
  <c r="L187" i="1"/>
  <c r="J187" i="1"/>
  <c r="R186" i="1"/>
  <c r="Q186" i="1"/>
  <c r="P186" i="1"/>
  <c r="L186" i="1"/>
  <c r="J186" i="1"/>
  <c r="Q185" i="1"/>
  <c r="P185" i="1"/>
  <c r="R185" i="1" s="1"/>
  <c r="N185" i="1"/>
  <c r="L185" i="1"/>
  <c r="J185" i="1"/>
  <c r="Q184" i="1"/>
  <c r="P184" i="1"/>
  <c r="L184" i="1"/>
  <c r="J184" i="1"/>
  <c r="N184" i="1" s="1"/>
  <c r="Q183" i="1"/>
  <c r="P183" i="1"/>
  <c r="R183" i="1" s="1"/>
  <c r="L183" i="1"/>
  <c r="J183" i="1"/>
  <c r="N183" i="1" s="1"/>
  <c r="R182" i="1"/>
  <c r="Q182" i="1"/>
  <c r="P182" i="1"/>
  <c r="L182" i="1"/>
  <c r="J182" i="1"/>
  <c r="N182" i="1" s="1"/>
  <c r="Q181" i="1"/>
  <c r="P181" i="1"/>
  <c r="R181" i="1" s="1"/>
  <c r="L181" i="1"/>
  <c r="J181" i="1"/>
  <c r="N181" i="1" s="1"/>
  <c r="R180" i="1"/>
  <c r="Q180" i="1"/>
  <c r="P180" i="1"/>
  <c r="L180" i="1"/>
  <c r="J180" i="1"/>
  <c r="Q179" i="1"/>
  <c r="P179" i="1"/>
  <c r="R179" i="1" s="1"/>
  <c r="L179" i="1"/>
  <c r="J179" i="1"/>
  <c r="N179" i="1" s="1"/>
  <c r="R178" i="1"/>
  <c r="Q178" i="1"/>
  <c r="P178" i="1"/>
  <c r="L178" i="1"/>
  <c r="J178" i="1"/>
  <c r="N178" i="1" s="1"/>
  <c r="Q177" i="1"/>
  <c r="P177" i="1"/>
  <c r="R177" i="1" s="1"/>
  <c r="L177" i="1"/>
  <c r="J177" i="1"/>
  <c r="N177" i="1" s="1"/>
  <c r="R176" i="1"/>
  <c r="Q176" i="1"/>
  <c r="P176" i="1"/>
  <c r="L176" i="1"/>
  <c r="J176" i="1"/>
  <c r="N176" i="1" s="1"/>
  <c r="Q175" i="1"/>
  <c r="P175" i="1"/>
  <c r="R175" i="1" s="1"/>
  <c r="L175" i="1"/>
  <c r="N175" i="1" s="1"/>
  <c r="J175" i="1"/>
  <c r="Q174" i="1"/>
  <c r="P174" i="1"/>
  <c r="L174" i="1"/>
  <c r="J174" i="1"/>
  <c r="N174" i="1" s="1"/>
  <c r="Q173" i="1"/>
  <c r="P173" i="1"/>
  <c r="R173" i="1" s="1"/>
  <c r="L173" i="1"/>
  <c r="J173" i="1"/>
  <c r="N173" i="1" s="1"/>
  <c r="Q172" i="1"/>
  <c r="P172" i="1"/>
  <c r="L172" i="1"/>
  <c r="J172" i="1"/>
  <c r="N172" i="1" s="1"/>
  <c r="Q171" i="1"/>
  <c r="P171" i="1"/>
  <c r="R171" i="1" s="1"/>
  <c r="L171" i="1"/>
  <c r="J171" i="1"/>
  <c r="N171" i="1" s="1"/>
  <c r="Q170" i="1"/>
  <c r="P170" i="1"/>
  <c r="L170" i="1"/>
  <c r="N170" i="1" s="1"/>
  <c r="J170" i="1"/>
  <c r="Q169" i="1"/>
  <c r="P169" i="1"/>
  <c r="L169" i="1"/>
  <c r="J169" i="1"/>
  <c r="N169" i="1" s="1"/>
  <c r="Q168" i="1"/>
  <c r="P168" i="1"/>
  <c r="L168" i="1"/>
  <c r="J168" i="1"/>
  <c r="Q167" i="1"/>
  <c r="P167" i="1"/>
  <c r="L167" i="1"/>
  <c r="J167" i="1"/>
  <c r="N167" i="1" s="1"/>
  <c r="Q166" i="1"/>
  <c r="P166" i="1"/>
  <c r="R166" i="1" s="1"/>
  <c r="L166" i="1"/>
  <c r="N166" i="1" s="1"/>
  <c r="J166" i="1"/>
  <c r="Q165" i="1"/>
  <c r="P165" i="1"/>
  <c r="L165" i="1"/>
  <c r="J165" i="1"/>
  <c r="Q164" i="1"/>
  <c r="P164" i="1"/>
  <c r="L164" i="1"/>
  <c r="J164" i="1"/>
  <c r="N164" i="1" s="1"/>
  <c r="R163" i="1"/>
  <c r="Q163" i="1"/>
  <c r="P163" i="1"/>
  <c r="L163" i="1"/>
  <c r="J163" i="1"/>
  <c r="N163" i="1" s="1"/>
  <c r="Q162" i="1"/>
  <c r="P162" i="1"/>
  <c r="R162" i="1" s="1"/>
  <c r="L162" i="1"/>
  <c r="J162" i="1"/>
  <c r="N162" i="1" s="1"/>
  <c r="R161" i="1"/>
  <c r="Q161" i="1"/>
  <c r="P161" i="1"/>
  <c r="L161" i="1"/>
  <c r="J161" i="1"/>
  <c r="Q160" i="1"/>
  <c r="P160" i="1"/>
  <c r="R160" i="1" s="1"/>
  <c r="L160" i="1"/>
  <c r="J160" i="1"/>
  <c r="Q159" i="1"/>
  <c r="P159" i="1"/>
  <c r="N159" i="1"/>
  <c r="L159" i="1"/>
  <c r="J159" i="1"/>
  <c r="Q158" i="1"/>
  <c r="P158" i="1"/>
  <c r="L158" i="1"/>
  <c r="J158" i="1"/>
  <c r="N158" i="1" s="1"/>
  <c r="Q157" i="1"/>
  <c r="P157" i="1"/>
  <c r="R157" i="1" s="1"/>
  <c r="N157" i="1"/>
  <c r="L157" i="1"/>
  <c r="J157" i="1"/>
  <c r="Q156" i="1"/>
  <c r="P156" i="1"/>
  <c r="R156" i="1" s="1"/>
  <c r="L156" i="1"/>
  <c r="J156" i="1"/>
  <c r="N156" i="1" s="1"/>
  <c r="R155" i="1"/>
  <c r="Q155" i="1"/>
  <c r="P155" i="1"/>
  <c r="L155" i="1"/>
  <c r="J155" i="1"/>
  <c r="Q154" i="1"/>
  <c r="P154" i="1"/>
  <c r="R154" i="1" s="1"/>
  <c r="L154" i="1"/>
  <c r="J154" i="1"/>
  <c r="N154" i="1" s="1"/>
  <c r="R153" i="1"/>
  <c r="Q153" i="1"/>
  <c r="P153" i="1"/>
  <c r="L153" i="1"/>
  <c r="J153" i="1"/>
  <c r="N153" i="1" s="1"/>
  <c r="Q152" i="1"/>
  <c r="P152" i="1"/>
  <c r="R152" i="1" s="1"/>
  <c r="L152" i="1"/>
  <c r="J152" i="1"/>
  <c r="N152" i="1" s="1"/>
  <c r="R151" i="1"/>
  <c r="Q151" i="1"/>
  <c r="P151" i="1"/>
  <c r="L151" i="1"/>
  <c r="J151" i="1"/>
  <c r="N151" i="1" s="1"/>
  <c r="Q150" i="1"/>
  <c r="P150" i="1"/>
  <c r="L150" i="1"/>
  <c r="J150" i="1"/>
  <c r="N150" i="1" s="1"/>
  <c r="Q149" i="1"/>
  <c r="P149" i="1"/>
  <c r="L149" i="1"/>
  <c r="J149" i="1"/>
  <c r="N149" i="1" s="1"/>
  <c r="Q148" i="1"/>
  <c r="P148" i="1"/>
  <c r="L148" i="1"/>
  <c r="J148" i="1"/>
  <c r="N148" i="1" s="1"/>
  <c r="Q147" i="1"/>
  <c r="P147" i="1"/>
  <c r="L147" i="1"/>
  <c r="J147" i="1"/>
  <c r="Q146" i="1"/>
  <c r="P146" i="1"/>
  <c r="R146" i="1" s="1"/>
  <c r="L146" i="1"/>
  <c r="J146" i="1"/>
  <c r="Q145" i="1"/>
  <c r="P145" i="1"/>
  <c r="R145" i="1" s="1"/>
  <c r="L145" i="1"/>
  <c r="N145" i="1" s="1"/>
  <c r="J145" i="1"/>
  <c r="Q144" i="1"/>
  <c r="P144" i="1"/>
  <c r="R144" i="1" s="1"/>
  <c r="L144" i="1"/>
  <c r="J144" i="1"/>
  <c r="N144" i="1" s="1"/>
  <c r="Q143" i="1"/>
  <c r="P143" i="1"/>
  <c r="L143" i="1"/>
  <c r="J143" i="1"/>
  <c r="N143" i="1" s="1"/>
  <c r="Q142" i="1"/>
  <c r="P142" i="1"/>
  <c r="L142" i="1"/>
  <c r="J142" i="1"/>
  <c r="N142" i="1" s="1"/>
  <c r="Q141" i="1"/>
  <c r="P141" i="1"/>
  <c r="R141" i="1" s="1"/>
  <c r="N141" i="1"/>
  <c r="L141" i="1"/>
  <c r="J141" i="1"/>
  <c r="Q140" i="1"/>
  <c r="P140" i="1"/>
  <c r="L140" i="1"/>
  <c r="J140" i="1"/>
  <c r="Q139" i="1"/>
  <c r="P139" i="1"/>
  <c r="L139" i="1"/>
  <c r="J139" i="1"/>
  <c r="R138" i="1"/>
  <c r="Q138" i="1"/>
  <c r="P138" i="1"/>
  <c r="L138" i="1"/>
  <c r="J138" i="1"/>
  <c r="Q137" i="1"/>
  <c r="P137" i="1"/>
  <c r="R137" i="1" s="1"/>
  <c r="L137" i="1"/>
  <c r="J137" i="1"/>
  <c r="N137" i="1" s="1"/>
  <c r="R136" i="1"/>
  <c r="Q136" i="1"/>
  <c r="P136" i="1"/>
  <c r="L136" i="1"/>
  <c r="N136" i="1" s="1"/>
  <c r="J136" i="1"/>
  <c r="Q135" i="1"/>
  <c r="P135" i="1"/>
  <c r="R135" i="1" s="1"/>
  <c r="L135" i="1"/>
  <c r="J135" i="1"/>
  <c r="Q134" i="1"/>
  <c r="P134" i="1"/>
  <c r="N134" i="1"/>
  <c r="L134" i="1"/>
  <c r="J134" i="1"/>
  <c r="Q133" i="1"/>
  <c r="P133" i="1"/>
  <c r="R133" i="1" s="1"/>
  <c r="L133" i="1"/>
  <c r="J133" i="1"/>
  <c r="N133" i="1" s="1"/>
  <c r="Q132" i="1"/>
  <c r="R132" i="1" s="1"/>
  <c r="P132" i="1"/>
  <c r="N132" i="1"/>
  <c r="L132" i="1"/>
  <c r="J132" i="1"/>
  <c r="Q131" i="1"/>
  <c r="P131" i="1"/>
  <c r="R131" i="1" s="1"/>
  <c r="L131" i="1"/>
  <c r="J131" i="1"/>
  <c r="N131" i="1" s="1"/>
  <c r="R130" i="1"/>
  <c r="Q130" i="1"/>
  <c r="P130" i="1"/>
  <c r="L130" i="1"/>
  <c r="N130" i="1" s="1"/>
  <c r="J130" i="1"/>
  <c r="Q129" i="1"/>
  <c r="P129" i="1"/>
  <c r="R129" i="1" s="1"/>
  <c r="L129" i="1"/>
  <c r="J129" i="1"/>
  <c r="N129" i="1" s="1"/>
  <c r="R128" i="1"/>
  <c r="Q128" i="1"/>
  <c r="P128" i="1"/>
  <c r="L128" i="1"/>
  <c r="J128" i="1"/>
  <c r="Q127" i="1"/>
  <c r="P127" i="1"/>
  <c r="R127" i="1" s="1"/>
  <c r="L127" i="1"/>
  <c r="J127" i="1"/>
  <c r="N127" i="1" s="1"/>
  <c r="R126" i="1"/>
  <c r="Q126" i="1"/>
  <c r="P126" i="1"/>
  <c r="L126" i="1"/>
  <c r="J126" i="1"/>
  <c r="Q125" i="1"/>
  <c r="P125" i="1"/>
  <c r="R125" i="1" s="1"/>
  <c r="L125" i="1"/>
  <c r="J125" i="1"/>
  <c r="N125" i="1" s="1"/>
  <c r="Q124" i="1"/>
  <c r="P124" i="1"/>
  <c r="L124" i="1"/>
  <c r="J124" i="1"/>
  <c r="Q123" i="1"/>
  <c r="P123" i="1"/>
  <c r="R123" i="1" s="1"/>
  <c r="L123" i="1"/>
  <c r="J123" i="1"/>
  <c r="N123" i="1" s="1"/>
  <c r="Q122" i="1"/>
  <c r="P122" i="1"/>
  <c r="R122" i="1" s="1"/>
  <c r="L122" i="1"/>
  <c r="J122" i="1"/>
  <c r="Q121" i="1"/>
  <c r="P121" i="1"/>
  <c r="R121" i="1" s="1"/>
  <c r="L121" i="1"/>
  <c r="J121" i="1"/>
  <c r="N121" i="1" s="1"/>
  <c r="Q120" i="1"/>
  <c r="P120" i="1"/>
  <c r="R120" i="1" s="1"/>
  <c r="L120" i="1"/>
  <c r="N120" i="1" s="1"/>
  <c r="J120" i="1"/>
  <c r="Q119" i="1"/>
  <c r="P119" i="1"/>
  <c r="L119" i="1"/>
  <c r="J119" i="1"/>
  <c r="Q118" i="1"/>
  <c r="P118" i="1"/>
  <c r="R118" i="1" s="1"/>
  <c r="L118" i="1"/>
  <c r="J118" i="1"/>
  <c r="N118" i="1" s="1"/>
  <c r="Q117" i="1"/>
  <c r="P117" i="1"/>
  <c r="L117" i="1"/>
  <c r="J117" i="1"/>
  <c r="Q116" i="1"/>
  <c r="P116" i="1"/>
  <c r="R116" i="1" s="1"/>
  <c r="L116" i="1"/>
  <c r="J116" i="1"/>
  <c r="N116" i="1" s="1"/>
  <c r="Q115" i="1"/>
  <c r="P115" i="1"/>
  <c r="L115" i="1"/>
  <c r="N115" i="1" s="1"/>
  <c r="J115" i="1"/>
  <c r="Q114" i="1"/>
  <c r="P114" i="1"/>
  <c r="L114" i="1"/>
  <c r="J114" i="1"/>
  <c r="N114" i="1" s="1"/>
  <c r="Q113" i="1"/>
  <c r="P113" i="1"/>
  <c r="R113" i="1" s="1"/>
  <c r="L113" i="1"/>
  <c r="J113" i="1"/>
  <c r="Q112" i="1"/>
  <c r="P112" i="1"/>
  <c r="R112" i="1" s="1"/>
  <c r="L112" i="1"/>
  <c r="J112" i="1"/>
  <c r="Q111" i="1"/>
  <c r="P111" i="1"/>
  <c r="R111" i="1" s="1"/>
  <c r="L111" i="1"/>
  <c r="N111" i="1" s="1"/>
  <c r="J111" i="1"/>
  <c r="Q110" i="1"/>
  <c r="P110" i="1"/>
  <c r="R110" i="1" s="1"/>
  <c r="L110" i="1"/>
  <c r="J110" i="1"/>
  <c r="Q109" i="1"/>
  <c r="P109" i="1"/>
  <c r="L109" i="1"/>
  <c r="J109" i="1"/>
  <c r="N109" i="1" s="1"/>
  <c r="Q108" i="1"/>
  <c r="P108" i="1"/>
  <c r="L108" i="1"/>
  <c r="J108" i="1"/>
  <c r="N108" i="1" s="1"/>
  <c r="Q107" i="1"/>
  <c r="P107" i="1"/>
  <c r="R107" i="1" s="1"/>
  <c r="L107" i="1"/>
  <c r="J107" i="1"/>
  <c r="N107" i="1" s="1"/>
  <c r="Q106" i="1"/>
  <c r="P106" i="1"/>
  <c r="R106" i="1" s="1"/>
  <c r="L106" i="1"/>
  <c r="J106" i="1"/>
  <c r="Q105" i="1"/>
  <c r="P105" i="1"/>
  <c r="R105" i="1" s="1"/>
  <c r="L105" i="1"/>
  <c r="N105" i="1" s="1"/>
  <c r="J105" i="1"/>
  <c r="Q104" i="1"/>
  <c r="P104" i="1"/>
  <c r="R104" i="1" s="1"/>
  <c r="L104" i="1"/>
  <c r="J104" i="1"/>
  <c r="N104" i="1" s="1"/>
  <c r="R103" i="1"/>
  <c r="Q103" i="1"/>
  <c r="P103" i="1"/>
  <c r="L103" i="1"/>
  <c r="J103" i="1"/>
  <c r="Q102" i="1"/>
  <c r="P102" i="1"/>
  <c r="R102" i="1" s="1"/>
  <c r="L102" i="1"/>
  <c r="J102" i="1"/>
  <c r="N102" i="1" s="1"/>
  <c r="R101" i="1"/>
  <c r="Q101" i="1"/>
  <c r="P101" i="1"/>
  <c r="L101" i="1"/>
  <c r="J101" i="1"/>
  <c r="Q100" i="1"/>
  <c r="P100" i="1"/>
  <c r="R100" i="1" s="1"/>
  <c r="L100" i="1"/>
  <c r="J100" i="1"/>
  <c r="N100" i="1" s="1"/>
  <c r="Q99" i="1"/>
  <c r="P99" i="1"/>
  <c r="L99" i="1"/>
  <c r="J99" i="1"/>
  <c r="Q98" i="1"/>
  <c r="P98" i="1"/>
  <c r="R98" i="1" s="1"/>
  <c r="L98" i="1"/>
  <c r="J98" i="1"/>
  <c r="N98" i="1" s="1"/>
  <c r="Q97" i="1"/>
  <c r="P97" i="1"/>
  <c r="R97" i="1" s="1"/>
  <c r="L97" i="1"/>
  <c r="J97" i="1"/>
  <c r="Q96" i="1"/>
  <c r="P96" i="1"/>
  <c r="R96" i="1" s="1"/>
  <c r="L96" i="1"/>
  <c r="J96" i="1"/>
  <c r="N96" i="1" s="1"/>
  <c r="Q95" i="1"/>
  <c r="P95" i="1"/>
  <c r="R95" i="1" s="1"/>
  <c r="L95" i="1"/>
  <c r="J95" i="1"/>
  <c r="Q94" i="1"/>
  <c r="P94" i="1"/>
  <c r="L94" i="1"/>
  <c r="J94" i="1"/>
  <c r="N94" i="1" s="1"/>
  <c r="Q93" i="1"/>
  <c r="P93" i="1"/>
  <c r="R93" i="1" s="1"/>
  <c r="L93" i="1"/>
  <c r="J93" i="1"/>
  <c r="N93" i="1" s="1"/>
  <c r="Q92" i="1"/>
  <c r="P92" i="1"/>
  <c r="R92" i="1" s="1"/>
  <c r="L92" i="1"/>
  <c r="J92" i="1"/>
  <c r="Q91" i="1"/>
  <c r="R91" i="1" s="1"/>
  <c r="P91" i="1"/>
  <c r="L91" i="1"/>
  <c r="J91" i="1"/>
  <c r="N91" i="1" s="1"/>
  <c r="Q90" i="1"/>
  <c r="P90" i="1"/>
  <c r="R90" i="1" s="1"/>
  <c r="L90" i="1"/>
  <c r="J90" i="1"/>
  <c r="Q89" i="1"/>
  <c r="P89" i="1"/>
  <c r="L89" i="1"/>
  <c r="J89" i="1"/>
  <c r="N89" i="1" s="1"/>
  <c r="Q88" i="1"/>
  <c r="P88" i="1"/>
  <c r="R88" i="1" s="1"/>
  <c r="L88" i="1"/>
  <c r="N88" i="1" s="1"/>
  <c r="J88" i="1"/>
  <c r="Q87" i="1"/>
  <c r="P87" i="1"/>
  <c r="R87" i="1" s="1"/>
  <c r="L87" i="1"/>
  <c r="J87" i="1"/>
  <c r="N87" i="1" s="1"/>
  <c r="Q86" i="1"/>
  <c r="P86" i="1"/>
  <c r="L86" i="1"/>
  <c r="N86" i="1" s="1"/>
  <c r="J86" i="1"/>
  <c r="Q85" i="1"/>
  <c r="P85" i="1"/>
  <c r="R85" i="1" s="1"/>
  <c r="L85" i="1"/>
  <c r="J85" i="1"/>
  <c r="N85" i="1" s="1"/>
  <c r="Q84" i="1"/>
  <c r="P84" i="1"/>
  <c r="L84" i="1"/>
  <c r="J84" i="1"/>
  <c r="N84" i="1" s="1"/>
  <c r="Q83" i="1"/>
  <c r="P83" i="1"/>
  <c r="L83" i="1"/>
  <c r="J83" i="1"/>
  <c r="N83" i="1" s="1"/>
  <c r="Q82" i="1"/>
  <c r="P82" i="1"/>
  <c r="R82" i="1" s="1"/>
  <c r="L82" i="1"/>
  <c r="J82" i="1"/>
  <c r="N82" i="1" s="1"/>
  <c r="Q81" i="1"/>
  <c r="R81" i="1" s="1"/>
  <c r="P81" i="1"/>
  <c r="L81" i="1"/>
  <c r="J81" i="1"/>
  <c r="N81" i="1" s="1"/>
  <c r="Q80" i="1"/>
  <c r="P80" i="1"/>
  <c r="L80" i="1"/>
  <c r="J80" i="1"/>
  <c r="N80" i="1" s="1"/>
  <c r="Q79" i="1"/>
  <c r="P79" i="1"/>
  <c r="L79" i="1"/>
  <c r="J79" i="1"/>
  <c r="N79" i="1" s="1"/>
  <c r="Q78" i="1"/>
  <c r="P78" i="1"/>
  <c r="L78" i="1"/>
  <c r="J78" i="1"/>
  <c r="Q77" i="1"/>
  <c r="R77" i="1" s="1"/>
  <c r="P77" i="1"/>
  <c r="L77" i="1"/>
  <c r="J77" i="1"/>
  <c r="N77" i="1" s="1"/>
  <c r="Q76" i="1"/>
  <c r="P76" i="1"/>
  <c r="L76" i="1"/>
  <c r="N76" i="1" s="1"/>
  <c r="J76" i="1"/>
  <c r="Q75" i="1"/>
  <c r="P75" i="1"/>
  <c r="R75" i="1" s="1"/>
  <c r="L75" i="1"/>
  <c r="J75" i="1"/>
  <c r="Q74" i="1"/>
  <c r="P74" i="1"/>
  <c r="R74" i="1" s="1"/>
  <c r="L74" i="1"/>
  <c r="J74" i="1"/>
  <c r="N74" i="1" s="1"/>
  <c r="Q73" i="1"/>
  <c r="P73" i="1"/>
  <c r="L73" i="1"/>
  <c r="J73" i="1"/>
  <c r="N73" i="1" s="1"/>
  <c r="Q72" i="1"/>
  <c r="R72" i="1" s="1"/>
  <c r="P72" i="1"/>
  <c r="L72" i="1"/>
  <c r="J72" i="1"/>
  <c r="Q71" i="1"/>
  <c r="R71" i="1" s="1"/>
  <c r="P71" i="1"/>
  <c r="L71" i="1"/>
  <c r="J71" i="1"/>
  <c r="R70" i="1"/>
  <c r="Q70" i="1"/>
  <c r="P70" i="1"/>
  <c r="L70" i="1"/>
  <c r="J70" i="1"/>
  <c r="Q69" i="1"/>
  <c r="P69" i="1"/>
  <c r="L69" i="1"/>
  <c r="N69" i="1" s="1"/>
  <c r="J69" i="1"/>
  <c r="Q68" i="1"/>
  <c r="P68" i="1"/>
  <c r="R68" i="1" s="1"/>
  <c r="L68" i="1"/>
  <c r="J68" i="1"/>
  <c r="N68" i="1" s="1"/>
  <c r="Q67" i="1"/>
  <c r="P67" i="1"/>
  <c r="R67" i="1" s="1"/>
  <c r="N67" i="1"/>
  <c r="L67" i="1"/>
  <c r="J67" i="1"/>
  <c r="Q66" i="1"/>
  <c r="R66" i="1" s="1"/>
  <c r="P66" i="1"/>
  <c r="L66" i="1"/>
  <c r="J66" i="1"/>
  <c r="N66" i="1" s="1"/>
  <c r="Q65" i="1"/>
  <c r="P65" i="1"/>
  <c r="R65" i="1" s="1"/>
  <c r="L65" i="1"/>
  <c r="J65" i="1"/>
  <c r="N65" i="1" s="1"/>
  <c r="Q64" i="1"/>
  <c r="P64" i="1"/>
  <c r="L64" i="1"/>
  <c r="J64" i="1"/>
  <c r="N64" i="1" s="1"/>
  <c r="Q63" i="1"/>
  <c r="P63" i="1"/>
  <c r="R63" i="1" s="1"/>
  <c r="L63" i="1"/>
  <c r="J63" i="1"/>
  <c r="N63" i="1" s="1"/>
  <c r="Q62" i="1"/>
  <c r="P62" i="1"/>
  <c r="L62" i="1"/>
  <c r="J62" i="1"/>
  <c r="N62" i="1" s="1"/>
  <c r="Q61" i="1"/>
  <c r="P61" i="1"/>
  <c r="L61" i="1"/>
  <c r="J61" i="1"/>
  <c r="N61" i="1" s="1"/>
  <c r="Q60" i="1"/>
  <c r="P60" i="1"/>
  <c r="L60" i="1"/>
  <c r="J60" i="1"/>
  <c r="Q59" i="1"/>
  <c r="P59" i="1"/>
  <c r="L59" i="1"/>
  <c r="J59" i="1"/>
  <c r="N59" i="1" s="1"/>
  <c r="Q58" i="1"/>
  <c r="P58" i="1"/>
  <c r="R58" i="1" s="1"/>
  <c r="L58" i="1"/>
  <c r="J58" i="1"/>
  <c r="Q57" i="1"/>
  <c r="P57" i="1"/>
  <c r="R57" i="1" s="1"/>
  <c r="L57" i="1"/>
  <c r="J57" i="1"/>
  <c r="Q56" i="1"/>
  <c r="P56" i="1"/>
  <c r="L56" i="1"/>
  <c r="J56" i="1"/>
  <c r="N56" i="1" s="1"/>
  <c r="Q55" i="1"/>
  <c r="P55" i="1"/>
  <c r="L55" i="1"/>
  <c r="J55" i="1"/>
  <c r="N55" i="1" s="1"/>
  <c r="Q54" i="1"/>
  <c r="P54" i="1"/>
  <c r="R54" i="1" s="1"/>
  <c r="L54" i="1"/>
  <c r="J54" i="1"/>
  <c r="N54" i="1" s="1"/>
  <c r="Q53" i="1"/>
  <c r="R53" i="1" s="1"/>
  <c r="P53" i="1"/>
  <c r="L53" i="1"/>
  <c r="J53" i="1"/>
  <c r="N53" i="1" s="1"/>
  <c r="Q52" i="1"/>
  <c r="P52" i="1"/>
  <c r="L52" i="1"/>
  <c r="J52" i="1"/>
  <c r="N52" i="1" s="1"/>
  <c r="Q51" i="1"/>
  <c r="R51" i="1" s="1"/>
  <c r="P51" i="1"/>
  <c r="L51" i="1"/>
  <c r="J51" i="1"/>
  <c r="Q50" i="1"/>
  <c r="P50" i="1"/>
  <c r="L50" i="1"/>
  <c r="J50" i="1"/>
  <c r="N50" i="1" s="1"/>
  <c r="Q49" i="1"/>
  <c r="P49" i="1"/>
  <c r="R49" i="1" s="1"/>
  <c r="N49" i="1"/>
  <c r="L49" i="1"/>
  <c r="J49" i="1"/>
  <c r="Q48" i="1"/>
  <c r="R48" i="1" s="1"/>
  <c r="P48" i="1"/>
  <c r="L48" i="1"/>
  <c r="J48" i="1"/>
  <c r="N48" i="1" s="1"/>
  <c r="Q47" i="1"/>
  <c r="P47" i="1"/>
  <c r="R47" i="1" s="1"/>
  <c r="L47" i="1"/>
  <c r="J47" i="1"/>
  <c r="N47" i="1" s="1"/>
  <c r="Q46" i="1"/>
  <c r="P46" i="1"/>
  <c r="L46" i="1"/>
  <c r="J46" i="1"/>
  <c r="Q45" i="1"/>
  <c r="P45" i="1"/>
  <c r="L45" i="1"/>
  <c r="J45" i="1"/>
  <c r="N45" i="1" s="1"/>
  <c r="Q44" i="1"/>
  <c r="P44" i="1"/>
  <c r="R44" i="1" s="1"/>
  <c r="L44" i="1"/>
  <c r="J44" i="1"/>
  <c r="Q43" i="1"/>
  <c r="P43" i="1"/>
  <c r="R43" i="1" s="1"/>
  <c r="L43" i="1"/>
  <c r="J43" i="1"/>
  <c r="N43" i="1" s="1"/>
  <c r="Q42" i="1"/>
  <c r="P42" i="1"/>
  <c r="R42" i="1" s="1"/>
  <c r="L42" i="1"/>
  <c r="J42" i="1"/>
  <c r="Q41" i="1"/>
  <c r="P41" i="1"/>
  <c r="R41" i="1" s="1"/>
  <c r="L41" i="1"/>
  <c r="J41" i="1"/>
  <c r="N41" i="1" s="1"/>
  <c r="Q40" i="1"/>
  <c r="P40" i="1"/>
  <c r="R40" i="1" s="1"/>
  <c r="L40" i="1"/>
  <c r="N40" i="1" s="1"/>
  <c r="J40" i="1"/>
  <c r="Q39" i="1"/>
  <c r="P39" i="1"/>
  <c r="L39" i="1"/>
  <c r="J39" i="1"/>
  <c r="N39" i="1" s="1"/>
  <c r="Q38" i="1"/>
  <c r="P38" i="1"/>
  <c r="L38" i="1"/>
  <c r="J38" i="1"/>
  <c r="N38" i="1" s="1"/>
  <c r="R37" i="1"/>
  <c r="Q37" i="1"/>
  <c r="P37" i="1"/>
  <c r="L37" i="1"/>
  <c r="J37" i="1"/>
  <c r="N37" i="1" s="1"/>
  <c r="Q36" i="1"/>
  <c r="P36" i="1"/>
  <c r="R36" i="1" s="1"/>
  <c r="L36" i="1"/>
  <c r="J36" i="1"/>
  <c r="Q35" i="1"/>
  <c r="P35" i="1"/>
  <c r="L35" i="1"/>
  <c r="J35" i="1"/>
  <c r="N35" i="1" s="1"/>
  <c r="Q34" i="1"/>
  <c r="P34" i="1"/>
  <c r="R34" i="1" s="1"/>
  <c r="L34" i="1"/>
  <c r="J34" i="1"/>
  <c r="N34" i="1" s="1"/>
  <c r="Q33" i="1"/>
  <c r="R33" i="1" s="1"/>
  <c r="P33" i="1"/>
  <c r="L33" i="1"/>
  <c r="J33" i="1"/>
  <c r="Q32" i="1"/>
  <c r="P32" i="1"/>
  <c r="L32" i="1"/>
  <c r="J32" i="1"/>
  <c r="N32" i="1" s="1"/>
  <c r="R31" i="1"/>
  <c r="Q31" i="1"/>
  <c r="P31" i="1"/>
  <c r="L31" i="1"/>
  <c r="J31" i="1"/>
  <c r="Q30" i="1"/>
  <c r="P30" i="1"/>
  <c r="R30" i="1" s="1"/>
  <c r="L30" i="1"/>
  <c r="J30" i="1"/>
  <c r="N30" i="1" s="1"/>
  <c r="Q29" i="1"/>
  <c r="P29" i="1"/>
  <c r="L29" i="1"/>
  <c r="J29" i="1"/>
  <c r="Q28" i="1"/>
  <c r="P28" i="1"/>
  <c r="R28" i="1" s="1"/>
  <c r="L28" i="1"/>
  <c r="J28" i="1"/>
  <c r="N28" i="1" s="1"/>
  <c r="Q27" i="1"/>
  <c r="P27" i="1"/>
  <c r="R27" i="1" s="1"/>
  <c r="L27" i="1"/>
  <c r="N27" i="1" s="1"/>
  <c r="J27" i="1"/>
  <c r="Q26" i="1"/>
  <c r="P26" i="1"/>
  <c r="R26" i="1" s="1"/>
  <c r="L26" i="1"/>
  <c r="J26" i="1"/>
  <c r="N26" i="1" s="1"/>
  <c r="Q25" i="1"/>
  <c r="P25" i="1"/>
  <c r="R25" i="1" s="1"/>
  <c r="N25" i="1"/>
  <c r="L25" i="1"/>
  <c r="J25" i="1"/>
  <c r="Q24" i="1"/>
  <c r="P24" i="1"/>
  <c r="R24" i="1" s="1"/>
  <c r="L24" i="1"/>
  <c r="J24" i="1"/>
  <c r="N24" i="1" s="1"/>
  <c r="Q23" i="1"/>
  <c r="P23" i="1"/>
  <c r="L23" i="1"/>
  <c r="J23" i="1"/>
  <c r="Q22" i="1"/>
  <c r="P22" i="1"/>
  <c r="L22" i="1"/>
  <c r="J22" i="1"/>
  <c r="N22" i="1" s="1"/>
  <c r="Q21" i="1"/>
  <c r="P21" i="1"/>
  <c r="R21" i="1" s="1"/>
  <c r="L21" i="1"/>
  <c r="J21" i="1"/>
  <c r="Q20" i="1"/>
  <c r="P20" i="1"/>
  <c r="L20" i="1"/>
  <c r="J20" i="1"/>
  <c r="N20" i="1" s="1"/>
  <c r="Q19" i="1"/>
  <c r="P19" i="1"/>
  <c r="R19" i="1" s="1"/>
  <c r="L19" i="1"/>
  <c r="J19" i="1"/>
  <c r="N19" i="1" s="1"/>
  <c r="Q18" i="1"/>
  <c r="R18" i="1" s="1"/>
  <c r="P18" i="1"/>
  <c r="L18" i="1"/>
  <c r="J18" i="1"/>
  <c r="Q17" i="1"/>
  <c r="P17" i="1"/>
  <c r="R17" i="1" s="1"/>
  <c r="L17" i="1"/>
  <c r="J17" i="1"/>
  <c r="Q16" i="1"/>
  <c r="R16" i="1" s="1"/>
  <c r="P16" i="1"/>
  <c r="L16" i="1"/>
  <c r="J16" i="1"/>
  <c r="Q15" i="1"/>
  <c r="P15" i="1"/>
  <c r="R15" i="1" s="1"/>
  <c r="L15" i="1"/>
  <c r="J15" i="1"/>
  <c r="N15" i="1" s="1"/>
  <c r="Q14" i="1"/>
  <c r="P14" i="1"/>
  <c r="L14" i="1"/>
  <c r="N14" i="1" s="1"/>
  <c r="J14" i="1"/>
  <c r="Q13" i="1"/>
  <c r="P13" i="1"/>
  <c r="R13" i="1" s="1"/>
  <c r="L13" i="1"/>
  <c r="J13" i="1"/>
  <c r="N13" i="1" s="1"/>
  <c r="Q12" i="1"/>
  <c r="P12" i="1"/>
  <c r="R12" i="1" s="1"/>
  <c r="N12" i="1"/>
  <c r="L12" i="1"/>
  <c r="J12" i="1"/>
  <c r="Q11" i="1"/>
  <c r="P11" i="1"/>
  <c r="R11" i="1" s="1"/>
  <c r="L11" i="1"/>
  <c r="J11" i="1"/>
  <c r="N11" i="1" s="1"/>
  <c r="R38" i="1" l="1"/>
  <c r="R14" i="1"/>
  <c r="R20" i="1"/>
  <c r="R29" i="1"/>
  <c r="R35" i="1"/>
  <c r="N42" i="1"/>
  <c r="R46" i="1"/>
  <c r="R78" i="1"/>
  <c r="N97" i="1"/>
  <c r="R99" i="1"/>
  <c r="N106" i="1"/>
  <c r="N139" i="1"/>
  <c r="N194" i="1"/>
  <c r="R222" i="1"/>
  <c r="N235" i="1"/>
  <c r="R282" i="1"/>
  <c r="N287" i="1"/>
  <c r="R289" i="1"/>
  <c r="N308" i="1"/>
  <c r="R312" i="1"/>
  <c r="N343" i="1"/>
  <c r="N364" i="1"/>
  <c r="N387" i="1"/>
  <c r="R427" i="1"/>
  <c r="R439" i="1"/>
  <c r="R522" i="1"/>
  <c r="N525" i="1"/>
  <c r="R631" i="1"/>
  <c r="R657" i="1"/>
  <c r="N800" i="1"/>
  <c r="R861" i="1"/>
  <c r="R895" i="1"/>
  <c r="N218" i="1"/>
  <c r="R310" i="1"/>
  <c r="N369" i="1"/>
  <c r="R545" i="1"/>
  <c r="R571" i="1"/>
  <c r="N23" i="1"/>
  <c r="R437" i="1"/>
  <c r="N848" i="1"/>
  <c r="R60" i="1"/>
  <c r="N95" i="1"/>
  <c r="N135" i="1"/>
  <c r="R168" i="1"/>
  <c r="R218" i="1"/>
  <c r="N254" i="1"/>
  <c r="N299" i="1"/>
  <c r="N330" i="1"/>
  <c r="N563" i="1"/>
  <c r="R23" i="1"/>
  <c r="N17" i="1"/>
  <c r="R32" i="1"/>
  <c r="R61" i="1"/>
  <c r="N720" i="1"/>
  <c r="R86" i="1"/>
  <c r="R56" i="1"/>
  <c r="N160" i="1"/>
  <c r="R45" i="1"/>
  <c r="N16" i="1"/>
  <c r="N18" i="1"/>
  <c r="N29" i="1"/>
  <c r="N31" i="1"/>
  <c r="N33" i="1"/>
  <c r="R39" i="1"/>
  <c r="N46" i="1"/>
  <c r="R52" i="1"/>
  <c r="N71" i="1"/>
  <c r="N78" i="1"/>
  <c r="R80" i="1"/>
  <c r="N112" i="1"/>
  <c r="R150" i="1"/>
  <c r="N189" i="1"/>
  <c r="R193" i="1"/>
  <c r="R200" i="1"/>
  <c r="N239" i="1"/>
  <c r="N264" i="1"/>
  <c r="N289" i="1"/>
  <c r="N319" i="1"/>
  <c r="R349" i="1"/>
  <c r="R370" i="1"/>
  <c r="R410" i="1"/>
  <c r="N463" i="1"/>
  <c r="N499" i="1"/>
  <c r="N529" i="1"/>
  <c r="N552" i="1"/>
  <c r="R554" i="1"/>
  <c r="N716" i="1"/>
  <c r="R768" i="1"/>
  <c r="R811" i="1"/>
  <c r="R22" i="1"/>
  <c r="N44" i="1"/>
  <c r="R50" i="1"/>
  <c r="R73" i="1"/>
  <c r="R143" i="1"/>
  <c r="N146" i="1"/>
  <c r="R148" i="1"/>
  <c r="N187" i="1"/>
  <c r="N196" i="1"/>
  <c r="R198" i="1"/>
  <c r="N237" i="1"/>
  <c r="R284" i="1"/>
  <c r="R314" i="1"/>
  <c r="N389" i="1"/>
  <c r="R429" i="1"/>
  <c r="N444" i="1"/>
  <c r="N461" i="1"/>
  <c r="N480" i="1"/>
  <c r="N527" i="1"/>
  <c r="N550" i="1"/>
  <c r="N576" i="1"/>
  <c r="N764" i="1"/>
  <c r="R804" i="1"/>
  <c r="R1037" i="1"/>
  <c r="N1151" i="1"/>
  <c r="R1157" i="1"/>
  <c r="N1164" i="1"/>
  <c r="R1189" i="1"/>
  <c r="N58" i="1"/>
  <c r="R62" i="1"/>
  <c r="R64" i="1"/>
  <c r="N75" i="1"/>
  <c r="N90" i="1"/>
  <c r="R94" i="1"/>
  <c r="N99" i="1"/>
  <c r="N101" i="1"/>
  <c r="N103" i="1"/>
  <c r="N113" i="1"/>
  <c r="N122" i="1"/>
  <c r="R142" i="1"/>
  <c r="R149" i="1"/>
  <c r="R172" i="1"/>
  <c r="R199" i="1"/>
  <c r="R217" i="1"/>
  <c r="N222" i="1"/>
  <c r="N238" i="1"/>
  <c r="N249" i="1"/>
  <c r="N251" i="1"/>
  <c r="N253" i="1"/>
  <c r="R288" i="1"/>
  <c r="R298" i="1"/>
  <c r="R307" i="1"/>
  <c r="N318" i="1"/>
  <c r="N327" i="1"/>
  <c r="R333" i="1"/>
  <c r="R355" i="1"/>
  <c r="R357" i="1"/>
  <c r="N368" i="1"/>
  <c r="R384" i="1"/>
  <c r="N393" i="1"/>
  <c r="R399" i="1"/>
  <c r="R420" i="1"/>
  <c r="N437" i="1"/>
  <c r="N439" i="1"/>
  <c r="N454" i="1"/>
  <c r="R460" i="1"/>
  <c r="R475" i="1"/>
  <c r="R477" i="1"/>
  <c r="R479" i="1"/>
  <c r="N522" i="1"/>
  <c r="R524" i="1"/>
  <c r="R540" i="1"/>
  <c r="R549" i="1"/>
  <c r="N554" i="1"/>
  <c r="R560" i="1"/>
  <c r="R575" i="1"/>
  <c r="R577" i="1"/>
  <c r="R579" i="1"/>
  <c r="N592" i="1"/>
  <c r="R594" i="1"/>
  <c r="R609" i="1"/>
  <c r="R624" i="1"/>
  <c r="N629" i="1"/>
  <c r="R650" i="1"/>
  <c r="N657" i="1"/>
  <c r="R678" i="1"/>
  <c r="N702" i="1"/>
  <c r="R715" i="1"/>
  <c r="R743" i="1"/>
  <c r="N750" i="1"/>
  <c r="R781" i="1"/>
  <c r="N784" i="1"/>
  <c r="N811" i="1"/>
  <c r="R815" i="1"/>
  <c r="N822" i="1"/>
  <c r="N861" i="1"/>
  <c r="R867" i="1"/>
  <c r="N872" i="1"/>
  <c r="R908" i="1"/>
  <c r="N911" i="1"/>
  <c r="R915" i="1"/>
  <c r="R930" i="1"/>
  <c r="N933" i="1"/>
  <c r="R972" i="1"/>
  <c r="N986" i="1"/>
  <c r="N1099" i="1"/>
  <c r="N1189" i="1"/>
  <c r="R1191" i="1"/>
  <c r="N1194" i="1"/>
  <c r="N1256" i="1"/>
  <c r="R1262" i="1"/>
  <c r="N1367" i="1"/>
  <c r="N1376" i="1"/>
  <c r="R1380" i="1"/>
  <c r="R1396" i="1"/>
  <c r="R1448" i="1"/>
  <c r="R1464" i="1"/>
  <c r="N34" i="2"/>
  <c r="R40" i="2"/>
  <c r="N133" i="2"/>
  <c r="R146" i="2"/>
  <c r="N151" i="2"/>
  <c r="R160" i="2"/>
  <c r="R195" i="2"/>
  <c r="R325" i="2"/>
  <c r="N328" i="2"/>
  <c r="R332" i="2"/>
  <c r="N337" i="2"/>
  <c r="N366" i="2"/>
  <c r="R117" i="1"/>
  <c r="R124" i="1"/>
  <c r="R147" i="1"/>
  <c r="N168" i="1"/>
  <c r="R170" i="1"/>
  <c r="N193" i="1"/>
  <c r="R197" i="1"/>
  <c r="R224" i="1"/>
  <c r="R242" i="1"/>
  <c r="N247" i="1"/>
  <c r="N263" i="1"/>
  <c r="R265" i="1"/>
  <c r="R267" i="1"/>
  <c r="N278" i="1"/>
  <c r="N291" i="1"/>
  <c r="N293" i="1"/>
  <c r="N301" i="1"/>
  <c r="N303" i="1"/>
  <c r="R305" i="1"/>
  <c r="R322" i="1"/>
  <c r="R329" i="1"/>
  <c r="N338" i="1"/>
  <c r="R342" i="1"/>
  <c r="R353" i="1"/>
  <c r="N366" i="1"/>
  <c r="R372" i="1"/>
  <c r="N391" i="1"/>
  <c r="R395" i="1"/>
  <c r="R397" i="1"/>
  <c r="N406" i="1"/>
  <c r="N408" i="1"/>
  <c r="R414" i="1"/>
  <c r="N423" i="1"/>
  <c r="N433" i="1"/>
  <c r="N446" i="1"/>
  <c r="N448" i="1"/>
  <c r="N452" i="1"/>
  <c r="N492" i="1"/>
  <c r="R494" i="1"/>
  <c r="R509" i="1"/>
  <c r="N518" i="1"/>
  <c r="R534" i="1"/>
  <c r="N543" i="1"/>
  <c r="R547" i="1"/>
  <c r="N588" i="1"/>
  <c r="N599" i="1"/>
  <c r="R713" i="1"/>
  <c r="N724" i="1"/>
  <c r="N726" i="1"/>
  <c r="N737" i="1"/>
  <c r="R754" i="1"/>
  <c r="N766" i="1"/>
  <c r="R779" i="1"/>
  <c r="R806" i="1"/>
  <c r="R813" i="1"/>
  <c r="R824" i="1"/>
  <c r="R856" i="1"/>
  <c r="R863" i="1"/>
  <c r="R865" i="1"/>
  <c r="R897" i="1"/>
  <c r="R906" i="1"/>
  <c r="R913" i="1"/>
  <c r="N975" i="1"/>
  <c r="R979" i="1"/>
  <c r="N1042" i="1"/>
  <c r="N1097" i="1"/>
  <c r="R1101" i="1"/>
  <c r="R1168" i="1"/>
  <c r="R1182" i="1"/>
  <c r="N1187" i="1"/>
  <c r="N1374" i="1"/>
  <c r="R1378" i="1"/>
  <c r="N1442" i="1"/>
  <c r="N1451" i="1"/>
  <c r="R1453" i="1"/>
  <c r="N45" i="2"/>
  <c r="R128" i="2"/>
  <c r="R135" i="2"/>
  <c r="N149" i="2"/>
  <c r="R158" i="2"/>
  <c r="N167" i="2"/>
  <c r="R330" i="2"/>
  <c r="N335" i="2"/>
  <c r="N342" i="2"/>
  <c r="R344" i="2"/>
  <c r="N1252" i="1"/>
  <c r="R1256" i="1"/>
  <c r="N1328" i="1"/>
  <c r="N1363" i="1"/>
  <c r="N1372" i="1"/>
  <c r="N1422" i="1"/>
  <c r="R1435" i="1"/>
  <c r="N1438" i="1"/>
  <c r="N9" i="2"/>
  <c r="R27" i="2"/>
  <c r="N161" i="2"/>
  <c r="N319" i="2"/>
  <c r="R345" i="1"/>
  <c r="R347" i="1"/>
  <c r="N352" i="1"/>
  <c r="R364" i="1"/>
  <c r="R375" i="1"/>
  <c r="R377" i="1"/>
  <c r="R379" i="1"/>
  <c r="R389" i="1"/>
  <c r="N394" i="1"/>
  <c r="R404" i="1"/>
  <c r="R408" i="1"/>
  <c r="N411" i="1"/>
  <c r="N413" i="1"/>
  <c r="N417" i="1"/>
  <c r="R423" i="1"/>
  <c r="N426" i="1"/>
  <c r="N428" i="1"/>
  <c r="R433" i="1"/>
  <c r="N442" i="1"/>
  <c r="R444" i="1"/>
  <c r="R448" i="1"/>
  <c r="R505" i="1"/>
  <c r="N512" i="1"/>
  <c r="R518" i="1"/>
  <c r="N523" i="1"/>
  <c r="N533" i="1"/>
  <c r="R543" i="1"/>
  <c r="N546" i="1"/>
  <c r="R552" i="1"/>
  <c r="R584" i="1"/>
  <c r="N593" i="1"/>
  <c r="R603" i="1"/>
  <c r="N606" i="1"/>
  <c r="N608" i="1"/>
  <c r="R612" i="1"/>
  <c r="R620" i="1"/>
  <c r="N640" i="1"/>
  <c r="R653" i="1"/>
  <c r="N662" i="1"/>
  <c r="N668" i="1"/>
  <c r="R670" i="1"/>
  <c r="R679" i="1"/>
  <c r="R700" i="1"/>
  <c r="N705" i="1"/>
  <c r="R718" i="1"/>
  <c r="N729" i="1"/>
  <c r="N740" i="1"/>
  <c r="N751" i="1"/>
  <c r="R766" i="1"/>
  <c r="N785" i="1"/>
  <c r="N796" i="1"/>
  <c r="N798" i="1"/>
  <c r="R802" i="1"/>
  <c r="R809" i="1"/>
  <c r="N832" i="1"/>
  <c r="N846" i="1"/>
  <c r="R893" i="1"/>
  <c r="N907" i="1"/>
  <c r="N947" i="1"/>
  <c r="R956" i="1"/>
  <c r="R966" i="1"/>
  <c r="N1010" i="1"/>
  <c r="R1012" i="1"/>
  <c r="R1019" i="1"/>
  <c r="R1035" i="1"/>
  <c r="R1081" i="1"/>
  <c r="N1147" i="1"/>
  <c r="N1222" i="1"/>
  <c r="R1224" i="1"/>
  <c r="R1243" i="1"/>
  <c r="N1250" i="1"/>
  <c r="N1315" i="1"/>
  <c r="N1324" i="1"/>
  <c r="N1326" i="1"/>
  <c r="R1328" i="1"/>
  <c r="R1337" i="1"/>
  <c r="N1342" i="1"/>
  <c r="R1402" i="1"/>
  <c r="N1409" i="1"/>
  <c r="R1413" i="1"/>
  <c r="R1431" i="1"/>
  <c r="R1490" i="1"/>
  <c r="N122" i="2"/>
  <c r="R131" i="2"/>
  <c r="N152" i="2"/>
  <c r="R225" i="2"/>
  <c r="R250" i="2"/>
  <c r="N315" i="2"/>
  <c r="N452" i="2"/>
  <c r="R456" i="2"/>
  <c r="N459" i="2"/>
  <c r="R503" i="2"/>
  <c r="N562" i="2"/>
  <c r="R595" i="2"/>
  <c r="R703" i="2"/>
  <c r="N315" i="1"/>
  <c r="R343" i="1"/>
  <c r="R373" i="1"/>
  <c r="R383" i="1"/>
  <c r="R398" i="1"/>
  <c r="R503" i="1"/>
  <c r="R548" i="1"/>
  <c r="N673" i="1"/>
  <c r="N844" i="1"/>
  <c r="N878" i="1"/>
  <c r="N1220" i="1"/>
  <c r="N1340" i="1"/>
  <c r="N1477" i="1"/>
  <c r="R461" i="2"/>
  <c r="N57" i="1"/>
  <c r="R59" i="1"/>
  <c r="N72" i="1"/>
  <c r="R76" i="1"/>
  <c r="N110" i="1"/>
  <c r="N119" i="1"/>
  <c r="R158" i="1"/>
  <c r="R169" i="1"/>
  <c r="N277" i="1"/>
  <c r="R283" i="1"/>
  <c r="N300" i="1"/>
  <c r="R304" i="1"/>
  <c r="N365" i="1"/>
  <c r="R369" i="1"/>
  <c r="N374" i="1"/>
  <c r="N388" i="1"/>
  <c r="R409" i="1"/>
  <c r="R417" i="1"/>
  <c r="N422" i="1"/>
  <c r="R424" i="1"/>
  <c r="R440" i="1"/>
  <c r="R455" i="1"/>
  <c r="R457" i="1"/>
  <c r="N464" i="1"/>
  <c r="N466" i="1"/>
  <c r="R472" i="1"/>
  <c r="N491" i="1"/>
  <c r="N504" i="1"/>
  <c r="N515" i="1"/>
  <c r="R523" i="1"/>
  <c r="R533" i="1"/>
  <c r="R555" i="1"/>
  <c r="R557" i="1"/>
  <c r="N564" i="1"/>
  <c r="N566" i="1"/>
  <c r="R572" i="1"/>
  <c r="R593" i="1"/>
  <c r="N596" i="1"/>
  <c r="N598" i="1"/>
  <c r="R604" i="1"/>
  <c r="R608" i="1"/>
  <c r="N611" i="1"/>
  <c r="N613" i="1"/>
  <c r="N626" i="1"/>
  <c r="N628" i="1"/>
  <c r="R636" i="1"/>
  <c r="R647" i="1"/>
  <c r="N652" i="1"/>
  <c r="R673" i="1"/>
  <c r="R677" i="1"/>
  <c r="R684" i="1"/>
  <c r="N699" i="1"/>
  <c r="R703" i="1"/>
  <c r="N710" i="1"/>
  <c r="R738" i="1"/>
  <c r="N747" i="1"/>
  <c r="R776" i="1"/>
  <c r="R778" i="1"/>
  <c r="N783" i="1"/>
  <c r="N826" i="1"/>
  <c r="N835" i="1"/>
  <c r="N876" i="1"/>
  <c r="R878" i="1"/>
  <c r="N881" i="1"/>
  <c r="R889" i="1"/>
  <c r="R938" i="1"/>
  <c r="N941" i="1"/>
  <c r="N950" i="1"/>
  <c r="R952" i="1"/>
  <c r="R978" i="1"/>
  <c r="R1001" i="1"/>
  <c r="N1004" i="1"/>
  <c r="R1008" i="1"/>
  <c r="N1050" i="1"/>
  <c r="R1052" i="1"/>
  <c r="N1320" i="1"/>
  <c r="N165" i="1"/>
  <c r="N180" i="1"/>
  <c r="N190" i="1"/>
  <c r="N335" i="1"/>
  <c r="R1131" i="1"/>
  <c r="R516" i="2"/>
  <c r="R55" i="1"/>
  <c r="N60" i="1"/>
  <c r="R83" i="1"/>
  <c r="N92" i="1"/>
  <c r="R108" i="1"/>
  <c r="N117" i="1"/>
  <c r="R119" i="1"/>
  <c r="N124" i="1"/>
  <c r="N126" i="1"/>
  <c r="N128" i="1"/>
  <c r="N138" i="1"/>
  <c r="N140" i="1"/>
  <c r="N147" i="1"/>
  <c r="N155" i="1"/>
  <c r="N161" i="1"/>
  <c r="R167" i="1"/>
  <c r="R174" i="1"/>
  <c r="N186" i="1"/>
  <c r="R192" i="1"/>
  <c r="N197" i="1"/>
  <c r="N205" i="1"/>
  <c r="N213" i="1"/>
  <c r="N215" i="1"/>
  <c r="N224" i="1"/>
  <c r="N226" i="1"/>
  <c r="N228" i="1"/>
  <c r="N242" i="1"/>
  <c r="R244" i="1"/>
  <c r="R258" i="1"/>
  <c r="R260" i="1"/>
  <c r="N267" i="1"/>
  <c r="R269" i="1"/>
  <c r="R273" i="1"/>
  <c r="R290" i="1"/>
  <c r="R292" i="1"/>
  <c r="R294" i="1"/>
  <c r="R324" i="1"/>
  <c r="N329" i="1"/>
  <c r="R335" i="1"/>
  <c r="N342" i="1"/>
  <c r="R344" i="1"/>
  <c r="N351" i="1"/>
  <c r="N353" i="1"/>
  <c r="R359" i="1"/>
  <c r="R367" i="1"/>
  <c r="N372" i="1"/>
  <c r="R374" i="1"/>
  <c r="R390" i="1"/>
  <c r="R405" i="1"/>
  <c r="R407" i="1"/>
  <c r="N414" i="1"/>
  <c r="N416" i="1"/>
  <c r="R422" i="1"/>
  <c r="N441" i="1"/>
  <c r="R445" i="1"/>
  <c r="R447" i="1"/>
  <c r="R453" i="1"/>
  <c r="N456" i="1"/>
  <c r="N458" i="1"/>
  <c r="R464" i="1"/>
  <c r="R468" i="1"/>
  <c r="N473" i="1"/>
  <c r="N483" i="1"/>
  <c r="R491" i="1"/>
  <c r="R542" i="1"/>
  <c r="R553" i="1"/>
  <c r="N556" i="1"/>
  <c r="N558" i="1"/>
  <c r="R564" i="1"/>
  <c r="R568" i="1"/>
  <c r="N573" i="1"/>
  <c r="R585" i="1"/>
  <c r="R611" i="1"/>
  <c r="N624" i="1"/>
  <c r="R626" i="1"/>
  <c r="N639" i="1"/>
  <c r="R643" i="1"/>
  <c r="N648" i="1"/>
  <c r="R652" i="1"/>
  <c r="N663" i="1"/>
  <c r="N676" i="1"/>
  <c r="N678" i="1"/>
  <c r="N685" i="1"/>
  <c r="N695" i="1"/>
  <c r="R699" i="1"/>
  <c r="N713" i="1"/>
  <c r="N730" i="1"/>
  <c r="R736" i="1"/>
  <c r="N739" i="1"/>
  <c r="R817" i="1"/>
  <c r="N824" i="1"/>
  <c r="R826" i="1"/>
  <c r="N833" i="1"/>
  <c r="N856" i="1"/>
  <c r="R858" i="1"/>
  <c r="N874" i="1"/>
  <c r="N906" i="1"/>
  <c r="N926" i="1"/>
  <c r="N935" i="1"/>
  <c r="R983" i="1"/>
  <c r="R997" i="1"/>
  <c r="N1002" i="1"/>
  <c r="N1046" i="1"/>
  <c r="N1101" i="1"/>
  <c r="N1196" i="1"/>
  <c r="R1266" i="1"/>
  <c r="N1269" i="1"/>
  <c r="N1380" i="1"/>
  <c r="N1387" i="1"/>
  <c r="R1450" i="1"/>
  <c r="N1453" i="1"/>
  <c r="R44" i="2"/>
  <c r="N47" i="2"/>
  <c r="N70" i="2"/>
  <c r="N200" i="2"/>
  <c r="R204" i="2"/>
  <c r="N330" i="2"/>
  <c r="N349" i="2"/>
  <c r="N435" i="2"/>
  <c r="R761" i="1"/>
  <c r="N772" i="1"/>
  <c r="R793" i="1"/>
  <c r="N806" i="1"/>
  <c r="R808" i="1"/>
  <c r="R810" i="1"/>
  <c r="R827" i="1"/>
  <c r="R853" i="1"/>
  <c r="N871" i="1"/>
  <c r="N880" i="1"/>
  <c r="R882" i="1"/>
  <c r="R890" i="1"/>
  <c r="N895" i="1"/>
  <c r="R903" i="1"/>
  <c r="R912" i="1"/>
  <c r="N917" i="1"/>
  <c r="N925" i="1"/>
  <c r="R929" i="1"/>
  <c r="N934" i="1"/>
  <c r="R942" i="1"/>
  <c r="N956" i="1"/>
  <c r="R960" i="1"/>
  <c r="R980" i="1"/>
  <c r="N985" i="1"/>
  <c r="R987" i="1"/>
  <c r="N1012" i="1"/>
  <c r="N1019" i="1"/>
  <c r="R1027" i="1"/>
  <c r="R1034" i="1"/>
  <c r="R1047" i="1"/>
  <c r="N1052" i="1"/>
  <c r="N1065" i="1"/>
  <c r="R1067" i="1"/>
  <c r="R1100" i="1"/>
  <c r="N1128" i="1"/>
  <c r="R1150" i="1"/>
  <c r="N1166" i="1"/>
  <c r="R1179" i="1"/>
  <c r="R1212" i="1"/>
  <c r="N1224" i="1"/>
  <c r="N1233" i="1"/>
  <c r="R1270" i="1"/>
  <c r="N1286" i="1"/>
  <c r="N1297" i="1"/>
  <c r="N1332" i="1"/>
  <c r="N1346" i="1"/>
  <c r="R1350" i="1"/>
  <c r="R1357" i="1"/>
  <c r="R1377" i="1"/>
  <c r="N1391" i="1"/>
  <c r="N1411" i="1"/>
  <c r="N1426" i="1"/>
  <c r="N80" i="2"/>
  <c r="N171" i="2"/>
  <c r="R185" i="2"/>
  <c r="R252" i="2"/>
  <c r="N257" i="2"/>
  <c r="R265" i="2"/>
  <c r="N341" i="2"/>
  <c r="R348" i="2"/>
  <c r="R376" i="2"/>
  <c r="N379" i="2"/>
  <c r="R392" i="2"/>
  <c r="N397" i="2"/>
  <c r="N417" i="2"/>
  <c r="R447" i="2"/>
  <c r="N454" i="2"/>
  <c r="R458" i="2"/>
  <c r="R471" i="2"/>
  <c r="N476" i="2"/>
  <c r="N508" i="2"/>
  <c r="R664" i="1"/>
  <c r="R666" i="1"/>
  <c r="N681" i="1"/>
  <c r="N683" i="1"/>
  <c r="R685" i="1"/>
  <c r="R691" i="1"/>
  <c r="N706" i="1"/>
  <c r="R708" i="1"/>
  <c r="R710" i="1"/>
  <c r="N721" i="1"/>
  <c r="N723" i="1"/>
  <c r="R733" i="1"/>
  <c r="R735" i="1"/>
  <c r="N744" i="1"/>
  <c r="R752" i="1"/>
  <c r="R756" i="1"/>
  <c r="R775" i="1"/>
  <c r="N782" i="1"/>
  <c r="R786" i="1"/>
  <c r="N797" i="1"/>
  <c r="R818" i="1"/>
  <c r="N831" i="1"/>
  <c r="R833" i="1"/>
  <c r="R850" i="1"/>
  <c r="N855" i="1"/>
  <c r="R859" i="1"/>
  <c r="R907" i="1"/>
  <c r="R920" i="1"/>
  <c r="R922" i="1"/>
  <c r="R926" i="1"/>
  <c r="N931" i="1"/>
  <c r="R937" i="1"/>
  <c r="R941" i="1"/>
  <c r="N989" i="1"/>
  <c r="R1002" i="1"/>
  <c r="N1056" i="1"/>
  <c r="N1060" i="1"/>
  <c r="R1077" i="1"/>
  <c r="R1088" i="1"/>
  <c r="N1093" i="1"/>
  <c r="R1112" i="1"/>
  <c r="N1121" i="1"/>
  <c r="N1125" i="1"/>
  <c r="N1132" i="1"/>
  <c r="R1138" i="1"/>
  <c r="N1143" i="1"/>
  <c r="R1167" i="1"/>
  <c r="N1181" i="1"/>
  <c r="R1185" i="1"/>
  <c r="R1198" i="1"/>
  <c r="N1205" i="1"/>
  <c r="N1228" i="1"/>
  <c r="N1230" i="1"/>
  <c r="N1237" i="1"/>
  <c r="N1246" i="1"/>
  <c r="R1250" i="1"/>
  <c r="R1287" i="1"/>
  <c r="N1294" i="1"/>
  <c r="N1301" i="1"/>
  <c r="R1305" i="1"/>
  <c r="R1307" i="1"/>
  <c r="R1311" i="1"/>
  <c r="N1359" i="1"/>
  <c r="N1368" i="1"/>
  <c r="R1392" i="1"/>
  <c r="N1434" i="1"/>
  <c r="N1480" i="1"/>
  <c r="N28" i="2"/>
  <c r="R50" i="2"/>
  <c r="N118" i="2"/>
  <c r="N198" i="2"/>
  <c r="N433" i="2"/>
  <c r="R88" i="2"/>
  <c r="N517" i="2"/>
  <c r="R485" i="1"/>
  <c r="R519" i="1"/>
  <c r="N524" i="1"/>
  <c r="N538" i="1"/>
  <c r="R559" i="1"/>
  <c r="R567" i="1"/>
  <c r="N572" i="1"/>
  <c r="R574" i="1"/>
  <c r="R590" i="1"/>
  <c r="R605" i="1"/>
  <c r="R607" i="1"/>
  <c r="N614" i="1"/>
  <c r="N618" i="1"/>
  <c r="R622" i="1"/>
  <c r="N625" i="1"/>
  <c r="N644" i="1"/>
  <c r="R654" i="1"/>
  <c r="R660" i="1"/>
  <c r="N675" i="1"/>
  <c r="N677" i="1"/>
  <c r="R681" i="1"/>
  <c r="N696" i="1"/>
  <c r="N698" i="1"/>
  <c r="R706" i="1"/>
  <c r="N711" i="1"/>
  <c r="R717" i="1"/>
  <c r="R725" i="1"/>
  <c r="N736" i="1"/>
  <c r="R742" i="1"/>
  <c r="N757" i="1"/>
  <c r="R763" i="1"/>
  <c r="R765" i="1"/>
  <c r="N774" i="1"/>
  <c r="N776" i="1"/>
  <c r="N787" i="1"/>
  <c r="N808" i="1"/>
  <c r="N821" i="1"/>
  <c r="N823" i="1"/>
  <c r="R831" i="1"/>
  <c r="N834" i="1"/>
  <c r="N860" i="1"/>
  <c r="R877" i="1"/>
  <c r="R892" i="1"/>
  <c r="N897" i="1"/>
  <c r="R905" i="1"/>
  <c r="N910" i="1"/>
  <c r="R916" i="1"/>
  <c r="N919" i="1"/>
  <c r="N921" i="1"/>
  <c r="R931" i="1"/>
  <c r="N949" i="1"/>
  <c r="R991" i="1"/>
  <c r="N996" i="1"/>
  <c r="N1032" i="1"/>
  <c r="N1078" i="1"/>
  <c r="N1080" i="1"/>
  <c r="R1102" i="1"/>
  <c r="N1130" i="1"/>
  <c r="R1132" i="1"/>
  <c r="R1165" i="1"/>
  <c r="N1168" i="1"/>
  <c r="N1177" i="1"/>
  <c r="R1181" i="1"/>
  <c r="R1183" i="1"/>
  <c r="N1217" i="1"/>
  <c r="N1226" i="1"/>
  <c r="R1228" i="1"/>
  <c r="R1237" i="1"/>
  <c r="N1242" i="1"/>
  <c r="R1272" i="1"/>
  <c r="N1281" i="1"/>
  <c r="R1345" i="1"/>
  <c r="N1382" i="1"/>
  <c r="N1393" i="1"/>
  <c r="N1413" i="1"/>
  <c r="N1415" i="1"/>
  <c r="R1425" i="1"/>
  <c r="N1428" i="1"/>
  <c r="R1434" i="1"/>
  <c r="R1452" i="1"/>
  <c r="N1461" i="1"/>
  <c r="N1465" i="1"/>
  <c r="N15" i="2"/>
  <c r="N24" i="2"/>
  <c r="N44" i="2"/>
  <c r="R57" i="2"/>
  <c r="N98" i="2"/>
  <c r="R104" i="2"/>
  <c r="R162" i="2"/>
  <c r="R168" i="2"/>
  <c r="N173" i="2"/>
  <c r="R256" i="2"/>
  <c r="N259" i="2"/>
  <c r="N265" i="2"/>
  <c r="R267" i="2"/>
  <c r="R297" i="2"/>
  <c r="R306" i="2"/>
  <c r="N309" i="2"/>
  <c r="N399" i="2"/>
  <c r="R403" i="2"/>
  <c r="N510" i="2"/>
  <c r="R1007" i="1"/>
  <c r="N1016" i="1"/>
  <c r="R1020" i="1"/>
  <c r="N1031" i="1"/>
  <c r="N1041" i="1"/>
  <c r="N1062" i="1"/>
  <c r="R1083" i="1"/>
  <c r="N1096" i="1"/>
  <c r="R1118" i="1"/>
  <c r="R1133" i="1"/>
  <c r="N1146" i="1"/>
  <c r="R1152" i="1"/>
  <c r="N1163" i="1"/>
  <c r="N1191" i="1"/>
  <c r="N1206" i="1"/>
  <c r="R1216" i="1"/>
  <c r="N1219" i="1"/>
  <c r="N1234" i="1"/>
  <c r="N1241" i="1"/>
  <c r="R1261" i="1"/>
  <c r="R1278" i="1"/>
  <c r="N1298" i="1"/>
  <c r="R1302" i="1"/>
  <c r="N1319" i="1"/>
  <c r="R1336" i="1"/>
  <c r="N1341" i="1"/>
  <c r="R1347" i="1"/>
  <c r="N1369" i="1"/>
  <c r="N1371" i="1"/>
  <c r="R1381" i="1"/>
  <c r="N1386" i="1"/>
  <c r="N1396" i="1"/>
  <c r="N1398" i="1"/>
  <c r="R1437" i="1"/>
  <c r="N1446" i="1"/>
  <c r="N1448" i="1"/>
  <c r="R1483" i="1"/>
  <c r="N1488" i="1"/>
  <c r="R31" i="2"/>
  <c r="R33" i="2"/>
  <c r="R62" i="2"/>
  <c r="N69" i="2"/>
  <c r="N86" i="2"/>
  <c r="N93" i="2"/>
  <c r="R103" i="2"/>
  <c r="N117" i="2"/>
  <c r="R130" i="2"/>
  <c r="N135" i="2"/>
  <c r="R137" i="2"/>
  <c r="R157" i="2"/>
  <c r="N175" i="2"/>
  <c r="R179" i="2"/>
  <c r="R227" i="2"/>
  <c r="N234" i="2"/>
  <c r="R260" i="2"/>
  <c r="R262" i="2"/>
  <c r="N269" i="2"/>
  <c r="R273" i="2"/>
  <c r="R280" i="2"/>
  <c r="N285" i="2"/>
  <c r="R362" i="2"/>
  <c r="N394" i="2"/>
  <c r="R407" i="2"/>
  <c r="N416" i="2"/>
  <c r="R473" i="2"/>
  <c r="N571" i="2"/>
  <c r="R579" i="2"/>
  <c r="R604" i="2"/>
  <c r="N609" i="2"/>
  <c r="R613" i="2"/>
  <c r="R709" i="2"/>
  <c r="N716" i="2"/>
  <c r="R727" i="2"/>
  <c r="R739" i="2"/>
  <c r="N744" i="2"/>
  <c r="R748" i="2"/>
  <c r="N751" i="2"/>
  <c r="R893" i="2"/>
  <c r="N896" i="2"/>
  <c r="N1057" i="1"/>
  <c r="N1072" i="1"/>
  <c r="R1103" i="1"/>
  <c r="N1190" i="1"/>
  <c r="R1194" i="1"/>
  <c r="N1229" i="1"/>
  <c r="N1240" i="1"/>
  <c r="R1273" i="1"/>
  <c r="N1329" i="1"/>
  <c r="N1385" i="1"/>
  <c r="N1445" i="1"/>
  <c r="N43" i="2"/>
  <c r="N68" i="2"/>
  <c r="N233" i="2"/>
  <c r="R248" i="2"/>
  <c r="N253" i="2"/>
  <c r="N853" i="2"/>
  <c r="R836" i="1"/>
  <c r="N847" i="1"/>
  <c r="R868" i="1"/>
  <c r="N884" i="1"/>
  <c r="N886" i="1"/>
  <c r="R900" i="1"/>
  <c r="N915" i="1"/>
  <c r="R917" i="1"/>
  <c r="N936" i="1"/>
  <c r="R948" i="1"/>
  <c r="N959" i="1"/>
  <c r="N961" i="1"/>
  <c r="R965" i="1"/>
  <c r="R975" i="1"/>
  <c r="R990" i="1"/>
  <c r="N1001" i="1"/>
  <c r="N1009" i="1"/>
  <c r="N1011" i="1"/>
  <c r="R1015" i="1"/>
  <c r="R1030" i="1"/>
  <c r="N1051" i="1"/>
  <c r="R1057" i="1"/>
  <c r="N1066" i="1"/>
  <c r="R1072" i="1"/>
  <c r="R1078" i="1"/>
  <c r="R1093" i="1"/>
  <c r="N1106" i="1"/>
  <c r="N1116" i="1"/>
  <c r="N1120" i="1"/>
  <c r="R1128" i="1"/>
  <c r="R1143" i="1"/>
  <c r="N1197" i="1"/>
  <c r="R1203" i="1"/>
  <c r="N1216" i="1"/>
  <c r="R1218" i="1"/>
  <c r="N1223" i="1"/>
  <c r="R1240" i="1"/>
  <c r="N1261" i="1"/>
  <c r="N1265" i="1"/>
  <c r="N1291" i="1"/>
  <c r="N1295" i="1"/>
  <c r="N1302" i="1"/>
  <c r="R1318" i="1"/>
  <c r="N1323" i="1"/>
  <c r="N1336" i="1"/>
  <c r="R1338" i="1"/>
  <c r="N1356" i="1"/>
  <c r="N1381" i="1"/>
  <c r="R1385" i="1"/>
  <c r="N1423" i="1"/>
  <c r="N1433" i="1"/>
  <c r="N1437" i="1"/>
  <c r="R1447" i="1"/>
  <c r="N1454" i="1"/>
  <c r="N1458" i="1"/>
  <c r="N1468" i="1"/>
  <c r="N1483" i="1"/>
  <c r="N1485" i="1"/>
  <c r="R1487" i="1"/>
  <c r="N14" i="2"/>
  <c r="N18" i="2"/>
  <c r="R20" i="2"/>
  <c r="N29" i="2"/>
  <c r="R37" i="2"/>
  <c r="R47" i="2"/>
  <c r="N54" i="2"/>
  <c r="N77" i="2"/>
  <c r="R112" i="2"/>
  <c r="R114" i="2"/>
  <c r="N137" i="2"/>
  <c r="N148" i="2"/>
  <c r="R152" i="2"/>
  <c r="N157" i="2"/>
  <c r="R161" i="2"/>
  <c r="R194" i="2"/>
  <c r="N214" i="2"/>
  <c r="R222" i="2"/>
  <c r="N227" i="2"/>
  <c r="R242" i="2"/>
  <c r="N249" i="2"/>
  <c r="N280" i="2"/>
  <c r="R282" i="2"/>
  <c r="N287" i="2"/>
  <c r="N355" i="2"/>
  <c r="R357" i="2"/>
  <c r="N362" i="2"/>
  <c r="N420" i="2"/>
  <c r="R426" i="2"/>
  <c r="N429" i="2"/>
  <c r="R492" i="2"/>
  <c r="R499" i="2"/>
  <c r="N951" i="1"/>
  <c r="R963" i="1"/>
  <c r="N976" i="1"/>
  <c r="R982" i="1"/>
  <c r="N995" i="1"/>
  <c r="N997" i="1"/>
  <c r="N999" i="1"/>
  <c r="R1022" i="1"/>
  <c r="R1028" i="1"/>
  <c r="N1039" i="1"/>
  <c r="N1045" i="1"/>
  <c r="N1047" i="1"/>
  <c r="N1049" i="1"/>
  <c r="R1053" i="1"/>
  <c r="R1055" i="1"/>
  <c r="R1068" i="1"/>
  <c r="R1070" i="1"/>
  <c r="N1081" i="1"/>
  <c r="R1087" i="1"/>
  <c r="N1110" i="1"/>
  <c r="N1112" i="1"/>
  <c r="R1122" i="1"/>
  <c r="N1131" i="1"/>
  <c r="R1135" i="1"/>
  <c r="R1137" i="1"/>
  <c r="R1171" i="1"/>
  <c r="N1174" i="1"/>
  <c r="N1208" i="1"/>
  <c r="N1221" i="1"/>
  <c r="N1236" i="1"/>
  <c r="R1238" i="1"/>
  <c r="N1243" i="1"/>
  <c r="R1263" i="1"/>
  <c r="N1276" i="1"/>
  <c r="N1321" i="1"/>
  <c r="N1334" i="1"/>
  <c r="N1343" i="1"/>
  <c r="R1351" i="1"/>
  <c r="N1354" i="1"/>
  <c r="N1373" i="1"/>
  <c r="R1410" i="1"/>
  <c r="R1412" i="1"/>
  <c r="N1419" i="1"/>
  <c r="N1421" i="1"/>
  <c r="N1431" i="1"/>
  <c r="N1452" i="1"/>
  <c r="N1456" i="1"/>
  <c r="N1466" i="1"/>
  <c r="R1472" i="1"/>
  <c r="N1481" i="1"/>
  <c r="R1485" i="1"/>
  <c r="N27" i="2"/>
  <c r="R35" i="2"/>
  <c r="N52" i="2"/>
  <c r="R110" i="2"/>
  <c r="N121" i="2"/>
  <c r="R132" i="2"/>
  <c r="N155" i="2"/>
  <c r="R172" i="2"/>
  <c r="N184" i="2"/>
  <c r="N236" i="2"/>
  <c r="R275" i="2"/>
  <c r="N294" i="2"/>
  <c r="N360" i="2"/>
  <c r="R402" i="2"/>
  <c r="N469" i="2"/>
  <c r="R475" i="2"/>
  <c r="N577" i="2"/>
  <c r="N586" i="2"/>
  <c r="R588" i="2"/>
  <c r="R599" i="2"/>
  <c r="N602" i="2"/>
  <c r="N618" i="2"/>
  <c r="N630" i="2"/>
  <c r="N746" i="2"/>
  <c r="R771" i="2"/>
  <c r="R776" i="2"/>
  <c r="N927" i="2"/>
  <c r="R180" i="2"/>
  <c r="N185" i="2"/>
  <c r="R203" i="2"/>
  <c r="N220" i="2"/>
  <c r="N254" i="2"/>
  <c r="R277" i="2"/>
  <c r="N282" i="2"/>
  <c r="N306" i="2"/>
  <c r="N325" i="2"/>
  <c r="N334" i="2"/>
  <c r="R338" i="2"/>
  <c r="R345" i="2"/>
  <c r="N350" i="2"/>
  <c r="R406" i="2"/>
  <c r="N409" i="2"/>
  <c r="N419" i="2"/>
  <c r="R451" i="2"/>
  <c r="N475" i="2"/>
  <c r="R477" i="2"/>
  <c r="N482" i="2"/>
  <c r="R486" i="2"/>
  <c r="N489" i="2"/>
  <c r="N496" i="2"/>
  <c r="R527" i="2"/>
  <c r="R534" i="2"/>
  <c r="N539" i="2"/>
  <c r="R545" i="2"/>
  <c r="R590" i="2"/>
  <c r="N597" i="2"/>
  <c r="R608" i="2"/>
  <c r="R622" i="2"/>
  <c r="N634" i="2"/>
  <c r="R638" i="2"/>
  <c r="N643" i="2"/>
  <c r="N757" i="2"/>
  <c r="N776" i="2"/>
  <c r="R793" i="2"/>
  <c r="N1031" i="2"/>
  <c r="R1045" i="2"/>
  <c r="R1052" i="2"/>
  <c r="N1057" i="2"/>
  <c r="N1078" i="2"/>
  <c r="N1133" i="2"/>
  <c r="R1249" i="2"/>
  <c r="N1003" i="2"/>
  <c r="R1202" i="2"/>
  <c r="N1196" i="2"/>
  <c r="N952" i="2"/>
  <c r="R1182" i="2"/>
  <c r="R903" i="2"/>
  <c r="R927" i="2"/>
  <c r="R938" i="2"/>
  <c r="R945" i="2"/>
  <c r="N950" i="2"/>
  <c r="R984" i="2"/>
  <c r="R1171" i="2"/>
  <c r="R75" i="2"/>
  <c r="R87" i="2"/>
  <c r="N92" i="2"/>
  <c r="R102" i="2"/>
  <c r="N105" i="2"/>
  <c r="R127" i="2"/>
  <c r="R138" i="2"/>
  <c r="N147" i="2"/>
  <c r="R153" i="2"/>
  <c r="R177" i="2"/>
  <c r="N182" i="2"/>
  <c r="R186" i="2"/>
  <c r="N215" i="2"/>
  <c r="N312" i="2"/>
  <c r="N314" i="2"/>
  <c r="N320" i="2"/>
  <c r="R326" i="2"/>
  <c r="R335" i="2"/>
  <c r="N340" i="2"/>
  <c r="R342" i="2"/>
  <c r="R351" i="2"/>
  <c r="R358" i="2"/>
  <c r="N363" i="2"/>
  <c r="R388" i="2"/>
  <c r="R399" i="2"/>
  <c r="N408" i="2"/>
  <c r="N488" i="2"/>
  <c r="R497" i="2"/>
  <c r="R506" i="2"/>
  <c r="R549" i="2"/>
  <c r="R551" i="2"/>
  <c r="N554" i="2"/>
  <c r="N570" i="2"/>
  <c r="R626" i="2"/>
  <c r="N647" i="2"/>
  <c r="R649" i="2"/>
  <c r="R844" i="2"/>
  <c r="N881" i="2"/>
  <c r="R885" i="2"/>
  <c r="N690" i="2"/>
  <c r="R828" i="2"/>
  <c r="R11" i="2"/>
  <c r="N20" i="2"/>
  <c r="R32" i="2"/>
  <c r="R36" i="2"/>
  <c r="N39" i="2"/>
  <c r="R67" i="2"/>
  <c r="N74" i="2"/>
  <c r="R81" i="2"/>
  <c r="N88" i="2"/>
  <c r="R92" i="2"/>
  <c r="R94" i="2"/>
  <c r="N99" i="2"/>
  <c r="N103" i="2"/>
  <c r="R105" i="2"/>
  <c r="N112" i="2"/>
  <c r="N114" i="2"/>
  <c r="N124" i="2"/>
  <c r="N128" i="2"/>
  <c r="R136" i="2"/>
  <c r="N139" i="2"/>
  <c r="R145" i="2"/>
  <c r="N162" i="2"/>
  <c r="N174" i="2"/>
  <c r="R182" i="2"/>
  <c r="N187" i="2"/>
  <c r="R205" i="2"/>
  <c r="R232" i="2"/>
  <c r="N239" i="2"/>
  <c r="N275" i="2"/>
  <c r="N284" i="2"/>
  <c r="R288" i="2"/>
  <c r="N295" i="2"/>
  <c r="N308" i="2"/>
  <c r="R310" i="2"/>
  <c r="R312" i="2"/>
  <c r="R314" i="2"/>
  <c r="R333" i="2"/>
  <c r="N338" i="2"/>
  <c r="R340" i="2"/>
  <c r="R347" i="2"/>
  <c r="R363" i="2"/>
  <c r="R427" i="2"/>
  <c r="N438" i="2"/>
  <c r="R440" i="2"/>
  <c r="R442" i="2"/>
  <c r="N447" i="2"/>
  <c r="R460" i="2"/>
  <c r="N498" i="2"/>
  <c r="N534" i="2"/>
  <c r="R536" i="2"/>
  <c r="N541" i="2"/>
  <c r="R547" i="2"/>
  <c r="R554" i="2"/>
  <c r="N561" i="2"/>
  <c r="R617" i="2"/>
  <c r="N622" i="2"/>
  <c r="R624" i="2"/>
  <c r="R647" i="2"/>
  <c r="N650" i="2"/>
  <c r="R656" i="2"/>
  <c r="N681" i="2"/>
  <c r="R685" i="2"/>
  <c r="N688" i="2"/>
  <c r="N750" i="2"/>
  <c r="R752" i="2"/>
  <c r="N759" i="2"/>
  <c r="R784" i="2"/>
  <c r="R786" i="2"/>
  <c r="N791" i="2"/>
  <c r="R795" i="2"/>
  <c r="N798" i="2"/>
  <c r="N819" i="2"/>
  <c r="R821" i="2"/>
  <c r="N833" i="2"/>
  <c r="R1035" i="2"/>
  <c r="N1038" i="2"/>
  <c r="N1050" i="2"/>
  <c r="R1084" i="2"/>
  <c r="N579" i="2"/>
  <c r="N588" i="2"/>
  <c r="R596" i="2"/>
  <c r="N617" i="2"/>
  <c r="R619" i="2"/>
  <c r="N624" i="2"/>
  <c r="R655" i="2"/>
  <c r="N660" i="2"/>
  <c r="R698" i="2"/>
  <c r="N705" i="2"/>
  <c r="N707" i="2"/>
  <c r="R720" i="2"/>
  <c r="R754" i="2"/>
  <c r="N802" i="2"/>
  <c r="R804" i="2"/>
  <c r="N811" i="2"/>
  <c r="R815" i="2"/>
  <c r="N857" i="2"/>
  <c r="N864" i="2"/>
  <c r="R902" i="2"/>
  <c r="N905" i="2"/>
  <c r="N966" i="2"/>
  <c r="N1002" i="2"/>
  <c r="R1004" i="2"/>
  <c r="N1007" i="2"/>
  <c r="N1016" i="2"/>
  <c r="R1058" i="2"/>
  <c r="N1061" i="2"/>
  <c r="N1094" i="2"/>
  <c r="N1200" i="2"/>
  <c r="R1204" i="2"/>
  <c r="N1221" i="2"/>
  <c r="N1228" i="2"/>
  <c r="R491" i="2"/>
  <c r="N574" i="2"/>
  <c r="R591" i="2"/>
  <c r="R746" i="2"/>
  <c r="N272" i="2"/>
  <c r="N290" i="2"/>
  <c r="N292" i="2"/>
  <c r="R298" i="2"/>
  <c r="R300" i="2"/>
  <c r="R317" i="2"/>
  <c r="N346" i="2"/>
  <c r="R350" i="2"/>
  <c r="N357" i="2"/>
  <c r="R367" i="2"/>
  <c r="N378" i="2"/>
  <c r="N404" i="2"/>
  <c r="R408" i="2"/>
  <c r="N427" i="2"/>
  <c r="R433" i="2"/>
  <c r="N440" i="2"/>
  <c r="N442" i="2"/>
  <c r="N453" i="2"/>
  <c r="R457" i="2"/>
  <c r="N462" i="2"/>
  <c r="N470" i="2"/>
  <c r="N481" i="2"/>
  <c r="N483" i="2"/>
  <c r="N505" i="2"/>
  <c r="R513" i="2"/>
  <c r="N516" i="2"/>
  <c r="N540" i="2"/>
  <c r="N555" i="2"/>
  <c r="R574" i="2"/>
  <c r="N583" i="2"/>
  <c r="N596" i="2"/>
  <c r="N639" i="2"/>
  <c r="R643" i="2"/>
  <c r="R688" i="2"/>
  <c r="N691" i="2"/>
  <c r="N720" i="2"/>
  <c r="R722" i="2"/>
  <c r="N731" i="2"/>
  <c r="R735" i="2"/>
  <c r="N740" i="2"/>
  <c r="R742" i="2"/>
  <c r="R762" i="2"/>
  <c r="N804" i="2"/>
  <c r="N815" i="2"/>
  <c r="N822" i="2"/>
  <c r="R824" i="2"/>
  <c r="N859" i="2"/>
  <c r="N866" i="2"/>
  <c r="N974" i="2"/>
  <c r="R980" i="2"/>
  <c r="N1140" i="2"/>
  <c r="R1158" i="2"/>
  <c r="N1244" i="2"/>
  <c r="N490" i="2"/>
  <c r="R507" i="2"/>
  <c r="N514" i="2"/>
  <c r="N527" i="2"/>
  <c r="R529" i="2"/>
  <c r="N538" i="2"/>
  <c r="R555" i="2"/>
  <c r="N564" i="2"/>
  <c r="N590" i="2"/>
  <c r="N626" i="2"/>
  <c r="N666" i="2"/>
  <c r="R679" i="2"/>
  <c r="N684" i="2"/>
  <c r="R713" i="2"/>
  <c r="N738" i="2"/>
  <c r="N770" i="2"/>
  <c r="R772" i="2"/>
  <c r="N795" i="2"/>
  <c r="R799" i="2"/>
  <c r="R868" i="2"/>
  <c r="R879" i="2"/>
  <c r="N882" i="2"/>
  <c r="R916" i="2"/>
  <c r="N968" i="2"/>
  <c r="N972" i="2"/>
  <c r="R1020" i="2"/>
  <c r="N1054" i="2"/>
  <c r="N1134" i="2"/>
  <c r="N1202" i="2"/>
  <c r="N1209" i="2"/>
  <c r="R1234" i="2"/>
  <c r="R612" i="2"/>
  <c r="N619" i="2"/>
  <c r="N636" i="2"/>
  <c r="R644" i="2"/>
  <c r="N649" i="2"/>
  <c r="R672" i="2"/>
  <c r="R674" i="2"/>
  <c r="N685" i="2"/>
  <c r="R687" i="2"/>
  <c r="N692" i="2"/>
  <c r="N694" i="2"/>
  <c r="R700" i="2"/>
  <c r="N711" i="2"/>
  <c r="N722" i="2"/>
  <c r="N754" i="2"/>
  <c r="N756" i="2"/>
  <c r="R773" i="2"/>
  <c r="N782" i="2"/>
  <c r="R794" i="2"/>
  <c r="N821" i="2"/>
  <c r="R825" i="2"/>
  <c r="N834" i="2"/>
  <c r="R838" i="2"/>
  <c r="N841" i="2"/>
  <c r="R843" i="2"/>
  <c r="N861" i="2"/>
  <c r="R867" i="2"/>
  <c r="N874" i="2"/>
  <c r="N887" i="2"/>
  <c r="N889" i="2"/>
  <c r="R895" i="2"/>
  <c r="R904" i="2"/>
  <c r="R908" i="2"/>
  <c r="R917" i="2"/>
  <c r="N922" i="2"/>
  <c r="N940" i="2"/>
  <c r="N1018" i="2"/>
  <c r="N1025" i="2"/>
  <c r="R1060" i="2"/>
  <c r="R1067" i="2"/>
  <c r="R1097" i="2"/>
  <c r="R1108" i="2"/>
  <c r="N1155" i="2"/>
  <c r="R1157" i="2"/>
  <c r="R1206" i="2"/>
  <c r="R1253" i="2"/>
  <c r="R1264" i="2"/>
  <c r="N1352" i="2"/>
  <c r="R1372" i="2"/>
  <c r="R1431" i="2"/>
  <c r="N1449" i="2"/>
  <c r="N1456" i="2"/>
  <c r="R1339" i="2"/>
  <c r="R1341" i="2"/>
  <c r="R1363" i="2"/>
  <c r="N1368" i="2"/>
  <c r="N1423" i="2"/>
  <c r="N1445" i="2"/>
  <c r="N1256" i="2"/>
  <c r="N1380" i="2"/>
  <c r="N1479" i="2"/>
  <c r="R1236" i="2"/>
  <c r="R1305" i="2"/>
  <c r="N1316" i="2"/>
  <c r="N1320" i="2"/>
  <c r="R1350" i="2"/>
  <c r="R1398" i="2"/>
  <c r="N1297" i="2"/>
  <c r="R1301" i="2"/>
  <c r="N1306" i="2"/>
  <c r="R1314" i="2"/>
  <c r="R1316" i="2"/>
  <c r="R1318" i="2"/>
  <c r="N1327" i="2"/>
  <c r="R1329" i="2"/>
  <c r="R611" i="2"/>
  <c r="N616" i="2"/>
  <c r="R637" i="2"/>
  <c r="R650" i="2"/>
  <c r="R671" i="2"/>
  <c r="R686" i="2"/>
  <c r="N689" i="2"/>
  <c r="R716" i="2"/>
  <c r="N719" i="2"/>
  <c r="R763" i="2"/>
  <c r="R785" i="2"/>
  <c r="R842" i="2"/>
  <c r="N873" i="2"/>
  <c r="R925" i="2"/>
  <c r="N928" i="2"/>
  <c r="R930" i="2"/>
  <c r="N935" i="2"/>
  <c r="N937" i="2"/>
  <c r="N946" i="2"/>
  <c r="R948" i="2"/>
  <c r="N990" i="2"/>
  <c r="R1043" i="2"/>
  <c r="N1046" i="2"/>
  <c r="R1071" i="2"/>
  <c r="N1076" i="2"/>
  <c r="R1078" i="2"/>
  <c r="N1226" i="2"/>
  <c r="N1295" i="2"/>
  <c r="N1390" i="2"/>
  <c r="R1394" i="2"/>
  <c r="R1450" i="2"/>
  <c r="N805" i="2"/>
  <c r="R811" i="2"/>
  <c r="N858" i="2"/>
  <c r="N869" i="2"/>
  <c r="N977" i="2"/>
  <c r="R1210" i="2"/>
  <c r="R1221" i="2"/>
  <c r="N189" i="2"/>
  <c r="N199" i="2"/>
  <c r="R207" i="2"/>
  <c r="R217" i="2"/>
  <c r="N224" i="2"/>
  <c r="N228" i="2"/>
  <c r="R236" i="2"/>
  <c r="N243" i="2"/>
  <c r="R245" i="2"/>
  <c r="R247" i="2"/>
  <c r="R251" i="2"/>
  <c r="N264" i="2"/>
  <c r="N268" i="2"/>
  <c r="N327" i="2"/>
  <c r="N333" i="2"/>
  <c r="R341" i="2"/>
  <c r="R352" i="2"/>
  <c r="N369" i="2"/>
  <c r="R377" i="2"/>
  <c r="N384" i="2"/>
  <c r="R396" i="2"/>
  <c r="N405" i="2"/>
  <c r="R421" i="2"/>
  <c r="R423" i="2"/>
  <c r="N430" i="2"/>
  <c r="R436" i="2"/>
  <c r="R462" i="2"/>
  <c r="R472" i="2"/>
  <c r="R485" i="2"/>
  <c r="R487" i="2"/>
  <c r="N492" i="2"/>
  <c r="R498" i="2"/>
  <c r="R500" i="2"/>
  <c r="N507" i="2"/>
  <c r="N522" i="2"/>
  <c r="R528" i="2"/>
  <c r="N531" i="2"/>
  <c r="R541" i="2"/>
  <c r="N548" i="2"/>
  <c r="N565" i="2"/>
  <c r="R573" i="2"/>
  <c r="R586" i="2"/>
  <c r="N612" i="2"/>
  <c r="R629" i="2"/>
  <c r="R635" i="2"/>
  <c r="R648" i="2"/>
  <c r="R657" i="2"/>
  <c r="R659" i="2"/>
  <c r="R661" i="2"/>
  <c r="R663" i="2"/>
  <c r="N672" i="2"/>
  <c r="R689" i="2"/>
  <c r="N696" i="2"/>
  <c r="R702" i="2"/>
  <c r="R704" i="2"/>
  <c r="R708" i="2"/>
  <c r="N715" i="2"/>
  <c r="R719" i="2"/>
  <c r="N724" i="2"/>
  <c r="R734" i="2"/>
  <c r="R736" i="2"/>
  <c r="R749" i="2"/>
  <c r="R768" i="2"/>
  <c r="N771" i="2"/>
  <c r="R775" i="2"/>
  <c r="R779" i="2"/>
  <c r="R781" i="2"/>
  <c r="N786" i="2"/>
  <c r="N790" i="2"/>
  <c r="R796" i="2"/>
  <c r="N801" i="2"/>
  <c r="R805" i="2"/>
  <c r="R827" i="2"/>
  <c r="N836" i="2"/>
  <c r="N838" i="2"/>
  <c r="R840" i="2"/>
  <c r="N843" i="2"/>
  <c r="R847" i="2"/>
  <c r="N854" i="2"/>
  <c r="R869" i="2"/>
  <c r="R873" i="2"/>
  <c r="N876" i="2"/>
  <c r="N878" i="2"/>
  <c r="R886" i="2"/>
  <c r="R897" i="2"/>
  <c r="R906" i="2"/>
  <c r="N915" i="2"/>
  <c r="N924" i="2"/>
  <c r="R937" i="2"/>
  <c r="R946" i="2"/>
  <c r="N949" i="2"/>
  <c r="N961" i="2"/>
  <c r="N971" i="2"/>
  <c r="N986" i="2"/>
  <c r="R990" i="2"/>
  <c r="N1020" i="2"/>
  <c r="N1034" i="2"/>
  <c r="N1074" i="2"/>
  <c r="R1076" i="2"/>
  <c r="R1099" i="2"/>
  <c r="N1117" i="2"/>
  <c r="R1161" i="2"/>
  <c r="R1165" i="2"/>
  <c r="N1206" i="2"/>
  <c r="R1208" i="2"/>
  <c r="N1213" i="2"/>
  <c r="N1222" i="2"/>
  <c r="R1259" i="2"/>
  <c r="N1356" i="2"/>
  <c r="N1363" i="2"/>
  <c r="R1460" i="2"/>
  <c r="R1175" i="2"/>
  <c r="N1236" i="2"/>
  <c r="N1238" i="2"/>
  <c r="N1285" i="2"/>
  <c r="N1294" i="2"/>
  <c r="R1309" i="2"/>
  <c r="N1324" i="2"/>
  <c r="R1328" i="2"/>
  <c r="R1343" i="2"/>
  <c r="R1402" i="2"/>
  <c r="R1413" i="2"/>
  <c r="N1422" i="2"/>
  <c r="R1424" i="2"/>
  <c r="R1428" i="2"/>
  <c r="N1468" i="2"/>
  <c r="R1109" i="2"/>
  <c r="R1185" i="2"/>
  <c r="R1215" i="2"/>
  <c r="R1222" i="2"/>
  <c r="R1267" i="2"/>
  <c r="N1272" i="2"/>
  <c r="N1276" i="2"/>
  <c r="N1282" i="2"/>
  <c r="N1291" i="2"/>
  <c r="N1311" i="2"/>
  <c r="N1313" i="2"/>
  <c r="R1338" i="2"/>
  <c r="N1347" i="2"/>
  <c r="N1362" i="2"/>
  <c r="N1371" i="2"/>
  <c r="N1419" i="2"/>
  <c r="N1101" i="2"/>
  <c r="R1155" i="2"/>
  <c r="R898" i="2"/>
  <c r="N903" i="2"/>
  <c r="R909" i="2"/>
  <c r="N925" i="2"/>
  <c r="N934" i="2"/>
  <c r="N936" i="2"/>
  <c r="N938" i="2"/>
  <c r="R942" i="2"/>
  <c r="N947" i="2"/>
  <c r="R957" i="2"/>
  <c r="R965" i="2"/>
  <c r="R967" i="2"/>
  <c r="N978" i="2"/>
  <c r="N980" i="2"/>
  <c r="N984" i="2"/>
  <c r="R986" i="2"/>
  <c r="N993" i="2"/>
  <c r="R1006" i="2"/>
  <c r="N1009" i="2"/>
  <c r="N1015" i="2"/>
  <c r="N1033" i="2"/>
  <c r="R1053" i="2"/>
  <c r="N1082" i="2"/>
  <c r="N1093" i="2"/>
  <c r="R1103" i="2"/>
  <c r="N1112" i="2"/>
  <c r="R1118" i="2"/>
  <c r="R1122" i="2"/>
  <c r="R1124" i="2"/>
  <c r="R1128" i="2"/>
  <c r="R1130" i="2"/>
  <c r="N1184" i="2"/>
  <c r="N1193" i="2"/>
  <c r="N1214" i="2"/>
  <c r="R1220" i="2"/>
  <c r="R1229" i="2"/>
  <c r="R1242" i="2"/>
  <c r="N1245" i="2"/>
  <c r="N1257" i="2"/>
  <c r="N1259" i="2"/>
  <c r="R1272" i="2"/>
  <c r="N1374" i="2"/>
  <c r="R1378" i="2"/>
  <c r="N1381" i="2"/>
  <c r="N1409" i="2"/>
  <c r="N1424" i="2"/>
  <c r="N1450" i="2"/>
  <c r="R1474" i="2"/>
  <c r="N995" i="2"/>
  <c r="N1010" i="2"/>
  <c r="R1022" i="2"/>
  <c r="R1024" i="2"/>
  <c r="R1031" i="2"/>
  <c r="R1039" i="2"/>
  <c r="N1042" i="2"/>
  <c r="R1046" i="2"/>
  <c r="N1049" i="2"/>
  <c r="N1053" i="2"/>
  <c r="N1066" i="2"/>
  <c r="R1089" i="2"/>
  <c r="N1102" i="2"/>
  <c r="N1106" i="2"/>
  <c r="N1119" i="2"/>
  <c r="N1121" i="2"/>
  <c r="N1141" i="2"/>
  <c r="N1143" i="2"/>
  <c r="N1145" i="2"/>
  <c r="R1166" i="2"/>
  <c r="N1175" i="2"/>
  <c r="R1179" i="2"/>
  <c r="N1188" i="2"/>
  <c r="N1195" i="2"/>
  <c r="N1201" i="2"/>
  <c r="R1228" i="2"/>
  <c r="R1230" i="2"/>
  <c r="R1241" i="2"/>
  <c r="N1246" i="2"/>
  <c r="N1248" i="2"/>
  <c r="N1252" i="2"/>
  <c r="R1255" i="2"/>
  <c r="N1262" i="2"/>
  <c r="N1271" i="2"/>
  <c r="N1283" i="2"/>
  <c r="R1287" i="2"/>
  <c r="R1295" i="2"/>
  <c r="R1310" i="2"/>
  <c r="N1323" i="2"/>
  <c r="N1325" i="2"/>
  <c r="R1327" i="2"/>
  <c r="R1344" i="2"/>
  <c r="N1349" i="2"/>
  <c r="N1357" i="2"/>
  <c r="R1359" i="2"/>
  <c r="R1368" i="2"/>
  <c r="R1370" i="2"/>
  <c r="N1382" i="2"/>
  <c r="R1384" i="2"/>
  <c r="R1386" i="2"/>
  <c r="N1397" i="2"/>
  <c r="N1418" i="2"/>
  <c r="N1431" i="2"/>
  <c r="N1448" i="2"/>
  <c r="N1461" i="2"/>
  <c r="N1463" i="2"/>
  <c r="N1465" i="2"/>
  <c r="R1483" i="2"/>
  <c r="N1486" i="2"/>
  <c r="R1465" i="2"/>
  <c r="N914" i="2"/>
  <c r="N948" i="2"/>
  <c r="R950" i="2"/>
  <c r="R962" i="2"/>
  <c r="R968" i="2"/>
  <c r="R974" i="2"/>
  <c r="N979" i="2"/>
  <c r="R987" i="2"/>
  <c r="R989" i="2"/>
  <c r="N998" i="2"/>
  <c r="R1002" i="2"/>
  <c r="R1014" i="2"/>
  <c r="N1021" i="2"/>
  <c r="N1030" i="2"/>
  <c r="N1045" i="2"/>
  <c r="N1060" i="2"/>
  <c r="N1069" i="2"/>
  <c r="N1071" i="2"/>
  <c r="N1084" i="2"/>
  <c r="R1096" i="2"/>
  <c r="R1098" i="2"/>
  <c r="N1107" i="2"/>
  <c r="N1109" i="2"/>
  <c r="N1113" i="2"/>
  <c r="R1117" i="2"/>
  <c r="R1129" i="2"/>
  <c r="N1152" i="2"/>
  <c r="N1159" i="2"/>
  <c r="N1182" i="2"/>
  <c r="R1186" i="2"/>
  <c r="R1193" i="2"/>
  <c r="R1205" i="2"/>
  <c r="N1208" i="2"/>
  <c r="N1227" i="2"/>
  <c r="R1244" i="2"/>
  <c r="R1258" i="2"/>
  <c r="N1267" i="2"/>
  <c r="R1279" i="2"/>
  <c r="N1286" i="2"/>
  <c r="R1300" i="2"/>
  <c r="R1313" i="2"/>
  <c r="R1332" i="2"/>
  <c r="N1341" i="2"/>
  <c r="R1375" i="2"/>
  <c r="N1389" i="2"/>
  <c r="R1393" i="2"/>
  <c r="N1404" i="2"/>
  <c r="N1406" i="2"/>
  <c r="R1412" i="2"/>
  <c r="N1434" i="2"/>
  <c r="N1453" i="2"/>
  <c r="R1459" i="2"/>
  <c r="N1482" i="2"/>
  <c r="N1458" i="2"/>
  <c r="N1460" i="2"/>
  <c r="R1468" i="2"/>
  <c r="R1470" i="2"/>
  <c r="R1478" i="2"/>
  <c r="N1483" i="2"/>
  <c r="N36" i="1"/>
  <c r="R279" i="1"/>
  <c r="N322" i="1"/>
  <c r="R340" i="1"/>
  <c r="N409" i="1"/>
  <c r="N459" i="1"/>
  <c r="N509" i="1"/>
  <c r="N559" i="1"/>
  <c r="N609" i="1"/>
  <c r="N762" i="1"/>
  <c r="N924" i="1"/>
  <c r="N51" i="1"/>
  <c r="N70" i="1"/>
  <c r="R79" i="1"/>
  <c r="N276" i="1"/>
  <c r="N316" i="1"/>
  <c r="N359" i="1"/>
  <c r="N381" i="1"/>
  <c r="N431" i="1"/>
  <c r="N481" i="1"/>
  <c r="N531" i="1"/>
  <c r="N581" i="1"/>
  <c r="R633" i="1"/>
  <c r="N664" i="1"/>
  <c r="N760" i="1"/>
  <c r="R883" i="1"/>
  <c r="N296" i="1"/>
  <c r="N401" i="1"/>
  <c r="N451" i="1"/>
  <c r="N501" i="1"/>
  <c r="N551" i="1"/>
  <c r="N601" i="1"/>
  <c r="R690" i="1"/>
  <c r="R881" i="1"/>
  <c r="R918" i="1"/>
  <c r="R955" i="1"/>
  <c r="N21" i="1"/>
  <c r="R69" i="1"/>
  <c r="R109" i="1"/>
  <c r="R115" i="1"/>
  <c r="R134" i="1"/>
  <c r="R140" i="1"/>
  <c r="R159" i="1"/>
  <c r="R165" i="1"/>
  <c r="R184" i="1"/>
  <c r="R190" i="1"/>
  <c r="R209" i="1"/>
  <c r="R215" i="1"/>
  <c r="R234" i="1"/>
  <c r="R240" i="1"/>
  <c r="R259" i="1"/>
  <c r="R263" i="1"/>
  <c r="R303" i="1"/>
  <c r="R671" i="1"/>
  <c r="N735" i="1"/>
  <c r="N889" i="1"/>
  <c r="R84" i="1"/>
  <c r="R114" i="1"/>
  <c r="R139" i="1"/>
  <c r="R164" i="1"/>
  <c r="R189" i="1"/>
  <c r="R214" i="1"/>
  <c r="R239" i="1"/>
  <c r="R264" i="1"/>
  <c r="N286" i="1"/>
  <c r="N336" i="1"/>
  <c r="N386" i="1"/>
  <c r="N436" i="1"/>
  <c r="N486" i="1"/>
  <c r="N536" i="1"/>
  <c r="N586" i="1"/>
  <c r="N637" i="1"/>
  <c r="R697" i="1"/>
  <c r="R722" i="1"/>
  <c r="R747" i="1"/>
  <c r="R772" i="1"/>
  <c r="R797" i="1"/>
  <c r="R822" i="1"/>
  <c r="R847" i="1"/>
  <c r="R872" i="1"/>
  <c r="R1013" i="1"/>
  <c r="N1082" i="1"/>
  <c r="N1109" i="1"/>
  <c r="N1119" i="1"/>
  <c r="N1254" i="1"/>
  <c r="N1313" i="1"/>
  <c r="R1362" i="1"/>
  <c r="R1457" i="1"/>
  <c r="R60" i="2"/>
  <c r="N212" i="2"/>
  <c r="R241" i="2"/>
  <c r="R365" i="2"/>
  <c r="R415" i="2"/>
  <c r="R1000" i="1"/>
  <c r="N1104" i="1"/>
  <c r="N1139" i="1"/>
  <c r="N1145" i="1"/>
  <c r="N1173" i="1"/>
  <c r="N1179" i="1"/>
  <c r="N1193" i="1"/>
  <c r="R1248" i="1"/>
  <c r="R1297" i="1"/>
  <c r="N1304" i="1"/>
  <c r="N37" i="2"/>
  <c r="R89" i="1"/>
  <c r="N321" i="1"/>
  <c r="N371" i="1"/>
  <c r="N421" i="1"/>
  <c r="N471" i="1"/>
  <c r="N521" i="1"/>
  <c r="N571" i="1"/>
  <c r="R621" i="1"/>
  <c r="N631" i="1"/>
  <c r="N661" i="1"/>
  <c r="R876" i="1"/>
  <c r="N904" i="1"/>
  <c r="N939" i="1"/>
  <c r="N945" i="1"/>
  <c r="N974" i="1"/>
  <c r="R1050" i="1"/>
  <c r="N1154" i="1"/>
  <c r="N1202" i="1"/>
  <c r="R1210" i="1"/>
  <c r="R1247" i="1"/>
  <c r="R1257" i="1"/>
  <c r="N1268" i="1"/>
  <c r="N1278" i="1"/>
  <c r="R1288" i="1"/>
  <c r="R1327" i="1"/>
  <c r="R1475" i="1"/>
  <c r="R68" i="2"/>
  <c r="R90" i="2"/>
  <c r="R243" i="2"/>
  <c r="R733" i="2"/>
  <c r="N636" i="1"/>
  <c r="N686" i="1"/>
  <c r="R707" i="1"/>
  <c r="R732" i="1"/>
  <c r="R757" i="1"/>
  <c r="R782" i="1"/>
  <c r="R807" i="1"/>
  <c r="R832" i="1"/>
  <c r="R857" i="1"/>
  <c r="N894" i="1"/>
  <c r="N944" i="1"/>
  <c r="N994" i="1"/>
  <c r="N1044" i="1"/>
  <c r="N1094" i="1"/>
  <c r="N1144" i="1"/>
  <c r="N1198" i="1"/>
  <c r="N1204" i="1"/>
  <c r="R1227" i="1"/>
  <c r="N1333" i="1"/>
  <c r="R1342" i="1"/>
  <c r="R1370" i="1"/>
  <c r="N1402" i="1"/>
  <c r="R1462" i="1"/>
  <c r="R10" i="2"/>
  <c r="N50" i="2"/>
  <c r="N79" i="2"/>
  <c r="R258" i="2"/>
  <c r="N332" i="2"/>
  <c r="N752" i="2"/>
  <c r="N904" i="2"/>
  <c r="N646" i="1"/>
  <c r="R687" i="1"/>
  <c r="R712" i="1"/>
  <c r="R737" i="1"/>
  <c r="R762" i="1"/>
  <c r="R787" i="1"/>
  <c r="R812" i="1"/>
  <c r="R837" i="1"/>
  <c r="R862" i="1"/>
  <c r="N914" i="1"/>
  <c r="N964" i="1"/>
  <c r="N1014" i="1"/>
  <c r="N1064" i="1"/>
  <c r="N1114" i="1"/>
  <c r="N1283" i="1"/>
  <c r="R1292" i="1"/>
  <c r="R1320" i="1"/>
  <c r="N1378" i="1"/>
  <c r="R1397" i="1"/>
  <c r="R1407" i="1"/>
  <c r="R45" i="2"/>
  <c r="R55" i="2"/>
  <c r="N89" i="2"/>
  <c r="N119" i="2"/>
  <c r="R133" i="2"/>
  <c r="R181" i="2"/>
  <c r="N641" i="1"/>
  <c r="N879" i="1"/>
  <c r="N929" i="1"/>
  <c r="N979" i="1"/>
  <c r="N1029" i="1"/>
  <c r="N1079" i="1"/>
  <c r="N1129" i="1"/>
  <c r="R1162" i="1"/>
  <c r="R1207" i="1"/>
  <c r="N1263" i="1"/>
  <c r="R1312" i="1"/>
  <c r="R1348" i="1"/>
  <c r="N1404" i="1"/>
  <c r="R1470" i="1"/>
  <c r="R18" i="2"/>
  <c r="N87" i="2"/>
  <c r="R215" i="2"/>
  <c r="R221" i="2"/>
  <c r="R315" i="2"/>
  <c r="R385" i="2"/>
  <c r="N512" i="2"/>
  <c r="R690" i="2"/>
  <c r="N906" i="2"/>
  <c r="N910" i="2"/>
  <c r="R918" i="2"/>
  <c r="R1116" i="2"/>
  <c r="R1172" i="1"/>
  <c r="N1178" i="1"/>
  <c r="R1197" i="1"/>
  <c r="N1203" i="1"/>
  <c r="R1232" i="1"/>
  <c r="N1253" i="1"/>
  <c r="R1282" i="1"/>
  <c r="N1303" i="1"/>
  <c r="R1332" i="1"/>
  <c r="N1353" i="1"/>
  <c r="R1382" i="1"/>
  <c r="R1432" i="1"/>
  <c r="R1482" i="1"/>
  <c r="R30" i="2"/>
  <c r="R97" i="2"/>
  <c r="R101" i="2"/>
  <c r="N144" i="2"/>
  <c r="N169" i="2"/>
  <c r="R201" i="2"/>
  <c r="R285" i="2"/>
  <c r="R295" i="2"/>
  <c r="R343" i="2"/>
  <c r="R393" i="2"/>
  <c r="R443" i="2"/>
  <c r="R493" i="2"/>
  <c r="R747" i="2"/>
  <c r="N789" i="2"/>
  <c r="R1003" i="2"/>
  <c r="R807" i="2"/>
  <c r="R1217" i="1"/>
  <c r="N1238" i="1"/>
  <c r="R1267" i="1"/>
  <c r="N1288" i="1"/>
  <c r="R1317" i="1"/>
  <c r="N1338" i="1"/>
  <c r="R1367" i="1"/>
  <c r="N1388" i="1"/>
  <c r="R1417" i="1"/>
  <c r="R1467" i="1"/>
  <c r="R15" i="2"/>
  <c r="R65" i="2"/>
  <c r="R126" i="2"/>
  <c r="R176" i="2"/>
  <c r="R230" i="2"/>
  <c r="R523" i="2"/>
  <c r="R572" i="2"/>
  <c r="N595" i="2"/>
  <c r="R670" i="2"/>
  <c r="R757" i="2"/>
  <c r="R797" i="2"/>
  <c r="R963" i="2"/>
  <c r="R1251" i="2"/>
  <c r="R220" i="2"/>
  <c r="R270" i="2"/>
  <c r="R320" i="2"/>
  <c r="R370" i="2"/>
  <c r="R420" i="2"/>
  <c r="R470" i="2"/>
  <c r="R539" i="2"/>
  <c r="R634" i="2"/>
  <c r="N656" i="2"/>
  <c r="R697" i="2"/>
  <c r="R707" i="2"/>
  <c r="N765" i="2"/>
  <c r="R812" i="2"/>
  <c r="N831" i="2"/>
  <c r="R837" i="2"/>
  <c r="R858" i="2"/>
  <c r="R1027" i="2"/>
  <c r="N1091" i="2"/>
  <c r="N1250" i="2"/>
  <c r="R1438" i="2"/>
  <c r="R1442" i="2"/>
  <c r="R1154" i="2"/>
  <c r="N104" i="2"/>
  <c r="N129" i="2"/>
  <c r="N154" i="2"/>
  <c r="N179" i="2"/>
  <c r="N204" i="2"/>
  <c r="R255" i="2"/>
  <c r="R305" i="2"/>
  <c r="R355" i="2"/>
  <c r="R405" i="2"/>
  <c r="R455" i="2"/>
  <c r="R505" i="2"/>
  <c r="R522" i="2"/>
  <c r="R560" i="2"/>
  <c r="R594" i="2"/>
  <c r="R677" i="2"/>
  <c r="R683" i="2"/>
  <c r="N739" i="2"/>
  <c r="R792" i="2"/>
  <c r="R818" i="2"/>
  <c r="N879" i="2"/>
  <c r="N1136" i="2"/>
  <c r="R559" i="2"/>
  <c r="R609" i="2"/>
  <c r="R682" i="2"/>
  <c r="R732" i="2"/>
  <c r="R782" i="2"/>
  <c r="N852" i="2"/>
  <c r="N959" i="2"/>
  <c r="R1156" i="2"/>
  <c r="N1210" i="2"/>
  <c r="N1274" i="2"/>
  <c r="R1348" i="2"/>
  <c r="R514" i="2"/>
  <c r="R564" i="2"/>
  <c r="R614" i="2"/>
  <c r="N646" i="2"/>
  <c r="R667" i="2"/>
  <c r="R717" i="2"/>
  <c r="R767" i="2"/>
  <c r="R817" i="2"/>
  <c r="R836" i="2"/>
  <c r="N846" i="2"/>
  <c r="R913" i="2"/>
  <c r="R972" i="2"/>
  <c r="R1036" i="2"/>
  <c r="N1043" i="2"/>
  <c r="R1065" i="2"/>
  <c r="R1086" i="2"/>
  <c r="R1277" i="2"/>
  <c r="N884" i="2"/>
  <c r="N909" i="2"/>
  <c r="N944" i="2"/>
  <c r="R977" i="2"/>
  <c r="R1032" i="2"/>
  <c r="R1055" i="2"/>
  <c r="N1100" i="2"/>
  <c r="R1147" i="2"/>
  <c r="R1173" i="2"/>
  <c r="R1177" i="2"/>
  <c r="N1263" i="2"/>
  <c r="N1354" i="2"/>
  <c r="R1362" i="2"/>
  <c r="N856" i="2"/>
  <c r="N891" i="2"/>
  <c r="N929" i="2"/>
  <c r="N1040" i="2"/>
  <c r="N1059" i="2"/>
  <c r="R1074" i="2"/>
  <c r="R1127" i="2"/>
  <c r="R1213" i="2"/>
  <c r="N1265" i="2"/>
  <c r="R1364" i="2"/>
  <c r="N1398" i="2"/>
  <c r="R992" i="2"/>
  <c r="R1042" i="2"/>
  <c r="R1068" i="2"/>
  <c r="R1123" i="2"/>
  <c r="R1146" i="2"/>
  <c r="R1184" i="2"/>
  <c r="R1218" i="2"/>
  <c r="R1273" i="2"/>
  <c r="N1281" i="2"/>
  <c r="R1298" i="2"/>
  <c r="R1373" i="2"/>
  <c r="R1429" i="2"/>
  <c r="R1433" i="2"/>
  <c r="R1444" i="2"/>
  <c r="R1007" i="2"/>
  <c r="R1057" i="2"/>
  <c r="N1095" i="2"/>
  <c r="R1134" i="2"/>
  <c r="R1168" i="2"/>
  <c r="R1227" i="2"/>
  <c r="R1278" i="2"/>
  <c r="N1304" i="2"/>
  <c r="N1361" i="2"/>
  <c r="N1393" i="2"/>
  <c r="R1453" i="2"/>
  <c r="R1457" i="2"/>
  <c r="R997" i="2"/>
  <c r="R1047" i="2"/>
  <c r="N1131" i="2"/>
  <c r="N1150" i="2"/>
  <c r="N1169" i="2"/>
  <c r="R1178" i="2"/>
  <c r="N1336" i="2"/>
  <c r="R1353" i="2"/>
  <c r="R1403" i="2"/>
  <c r="R1407" i="2"/>
  <c r="N1454" i="2"/>
  <c r="R1133" i="2"/>
  <c r="R1183" i="2"/>
  <c r="R1233" i="2"/>
  <c r="R1283" i="2"/>
  <c r="N1303" i="2"/>
  <c r="R1308" i="2"/>
  <c r="N1328" i="2"/>
  <c r="R1333" i="2"/>
  <c r="N1353" i="2"/>
  <c r="R1358" i="2"/>
  <c r="N1378" i="2"/>
  <c r="R1383" i="2"/>
  <c r="R1423" i="2"/>
  <c r="R1449" i="2"/>
  <c r="R1473" i="2"/>
  <c r="R1198" i="2"/>
  <c r="N1308" i="2"/>
  <c r="N1333" i="2"/>
  <c r="N1358" i="2"/>
  <c r="N1383" i="2"/>
  <c r="R1388" i="2"/>
  <c r="R1419" i="2"/>
  <c r="R1443" i="2"/>
  <c r="R1469" i="2"/>
  <c r="R1088" i="2"/>
  <c r="R1138" i="2"/>
  <c r="R1188" i="2"/>
  <c r="R1238" i="2"/>
  <c r="R1408" i="2"/>
  <c r="R1434" i="2"/>
  <c r="R1458" i="2"/>
  <c r="R1484" i="2"/>
</calcChain>
</file>

<file path=xl/sharedStrings.xml><?xml version="1.0" encoding="utf-8"?>
<sst xmlns="http://schemas.openxmlformats.org/spreadsheetml/2006/main" count="55" uniqueCount="32">
  <si>
    <t xml:space="preserve">We borrow BTC with USDC &amp; then borrow USD with BTC,  this is equivalent to borrowing USD with USDC, the different reflects the basis. </t>
  </si>
  <si>
    <t xml:space="preserve">Essentially, we construct, a synthetic short USD/USDC forword, and long USD/USDC position by this </t>
  </si>
  <si>
    <t>borrow BTC with USDC</t>
  </si>
  <si>
    <t>long usdjpy</t>
  </si>
  <si>
    <t>long usd/usdc</t>
  </si>
  <si>
    <t>= long BTC/USDC &amp; short BTC/USDC forward</t>
  </si>
  <si>
    <t>long usd/ krw</t>
  </si>
  <si>
    <t>long usd/btc</t>
  </si>
  <si>
    <t>borrow USD with BTC</t>
  </si>
  <si>
    <t>long krwjpy</t>
  </si>
  <si>
    <t>long btc/usdc</t>
  </si>
  <si>
    <t>=long USD/BTC&amp; short USD/BTC forward</t>
  </si>
  <si>
    <t>=short BTC/USD and long BTC/USD forward</t>
  </si>
  <si>
    <t>maybe cheapening of forwards</t>
  </si>
  <si>
    <t>Version #1</t>
  </si>
  <si>
    <t>Version #2</t>
  </si>
  <si>
    <t>time</t>
  </si>
  <si>
    <t xml:space="preserve">USDCUSD </t>
  </si>
  <si>
    <t>BTC USDC</t>
  </si>
  <si>
    <t>BTCUSD.P · Bybit: close</t>
  </si>
  <si>
    <t>BTCUSD · Binance: close</t>
  </si>
  <si>
    <t>BTCUSDC.P · Bybit: close</t>
  </si>
  <si>
    <t xml:space="preserve">Borrow BTC with USDC funding cost </t>
  </si>
  <si>
    <t>Borrow USD with BTC Funding Cost</t>
  </si>
  <si>
    <t>Aggregate- Cost of Borrowing USD with USDC</t>
  </si>
  <si>
    <t>Implied USD/USDC.P</t>
  </si>
  <si>
    <t>USD/USDC</t>
  </si>
  <si>
    <t>implied Basis</t>
  </si>
  <si>
    <t>close</t>
  </si>
  <si>
    <t>BTCUSDT.P · Bybit: close</t>
  </si>
  <si>
    <t>BTCUSDT · Bybit: close</t>
  </si>
  <si>
    <t>USD/USDt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</si>
</sst>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%"/>
    <numFmt numFmtId="166" formatCode="0.00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quotePrefix="1"/>
    <xf numFmtId="0" fontId="2" fillId="0" borderId="0" xfId="0" applyFont="1"/>
    <xf numFmtId="0" fontId="2" fillId="2" borderId="0" xfId="0" applyFont="1" applyFill="1"/>
    <xf numFmtId="14" fontId="2" fillId="0" borderId="0" xfId="0" applyNumberFormat="1" applyFont="1"/>
    <xf numFmtId="0" fontId="3" fillId="0" borderId="0" xfId="0" applyFont="1"/>
    <xf numFmtId="164" fontId="0" fillId="0" borderId="0" xfId="1" applyNumberFormat="1" applyFont="1"/>
    <xf numFmtId="165" fontId="0" fillId="0" borderId="0" xfId="1" quotePrefix="1" applyNumberFormat="1" applyFont="1"/>
    <xf numFmtId="164" fontId="0" fillId="2" borderId="0" xfId="0" applyNumberFormat="1" applyFill="1"/>
    <xf numFmtId="10" fontId="0" fillId="0" borderId="0" xfId="1" applyNumberFormat="1" applyFont="1"/>
    <xf numFmtId="0" fontId="0" fillId="0" borderId="0" xfId="1" applyNumberFormat="1" applyFont="1"/>
    <xf numFmtId="166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'usdc '!$U$10</c:f>
              <c:strCache>
                <c:ptCount val="1"/>
                <c:pt idx="0">
                  <c:v>implied Basis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'usdc '!$T$11:$T$1492</c:f>
              <c:numCache>
                <c:formatCode>m/d/yy</c:formatCode>
                <c:ptCount val="1482"/>
                <c:pt idx="0">
                  <c:v>44575</c:v>
                </c:pt>
                <c:pt idx="1">
                  <c:v>44576</c:v>
                </c:pt>
                <c:pt idx="2">
                  <c:v>44577</c:v>
                </c:pt>
                <c:pt idx="3">
                  <c:v>44578</c:v>
                </c:pt>
                <c:pt idx="4">
                  <c:v>44579</c:v>
                </c:pt>
                <c:pt idx="5">
                  <c:v>44580</c:v>
                </c:pt>
                <c:pt idx="6">
                  <c:v>44581</c:v>
                </c:pt>
                <c:pt idx="7">
                  <c:v>44582</c:v>
                </c:pt>
                <c:pt idx="8">
                  <c:v>44583</c:v>
                </c:pt>
                <c:pt idx="9">
                  <c:v>44584</c:v>
                </c:pt>
                <c:pt idx="10">
                  <c:v>44585</c:v>
                </c:pt>
                <c:pt idx="11">
                  <c:v>44586</c:v>
                </c:pt>
                <c:pt idx="12">
                  <c:v>44587</c:v>
                </c:pt>
                <c:pt idx="13">
                  <c:v>44588</c:v>
                </c:pt>
                <c:pt idx="14">
                  <c:v>44589</c:v>
                </c:pt>
                <c:pt idx="15">
                  <c:v>44590</c:v>
                </c:pt>
                <c:pt idx="16">
                  <c:v>44591</c:v>
                </c:pt>
                <c:pt idx="17">
                  <c:v>44592</c:v>
                </c:pt>
                <c:pt idx="18">
                  <c:v>44593</c:v>
                </c:pt>
                <c:pt idx="19">
                  <c:v>44594</c:v>
                </c:pt>
                <c:pt idx="20">
                  <c:v>44595</c:v>
                </c:pt>
                <c:pt idx="21">
                  <c:v>44596</c:v>
                </c:pt>
                <c:pt idx="22">
                  <c:v>44597</c:v>
                </c:pt>
                <c:pt idx="23">
                  <c:v>44598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44604</c:v>
                </c:pt>
                <c:pt idx="30">
                  <c:v>44605</c:v>
                </c:pt>
                <c:pt idx="31">
                  <c:v>44606</c:v>
                </c:pt>
                <c:pt idx="32">
                  <c:v>44607</c:v>
                </c:pt>
                <c:pt idx="33">
                  <c:v>44608</c:v>
                </c:pt>
                <c:pt idx="34">
                  <c:v>44609</c:v>
                </c:pt>
                <c:pt idx="35">
                  <c:v>44610</c:v>
                </c:pt>
                <c:pt idx="36">
                  <c:v>44611</c:v>
                </c:pt>
                <c:pt idx="37">
                  <c:v>44612</c:v>
                </c:pt>
                <c:pt idx="38">
                  <c:v>44613</c:v>
                </c:pt>
                <c:pt idx="39">
                  <c:v>44614</c:v>
                </c:pt>
                <c:pt idx="40">
                  <c:v>44615</c:v>
                </c:pt>
                <c:pt idx="41">
                  <c:v>44616</c:v>
                </c:pt>
                <c:pt idx="42">
                  <c:v>44617</c:v>
                </c:pt>
                <c:pt idx="43">
                  <c:v>44618</c:v>
                </c:pt>
                <c:pt idx="44">
                  <c:v>44619</c:v>
                </c:pt>
                <c:pt idx="45">
                  <c:v>44620</c:v>
                </c:pt>
                <c:pt idx="46">
                  <c:v>44621</c:v>
                </c:pt>
                <c:pt idx="47">
                  <c:v>44622</c:v>
                </c:pt>
                <c:pt idx="48">
                  <c:v>44623</c:v>
                </c:pt>
                <c:pt idx="49">
                  <c:v>44624</c:v>
                </c:pt>
                <c:pt idx="50">
                  <c:v>44625</c:v>
                </c:pt>
                <c:pt idx="51">
                  <c:v>44626</c:v>
                </c:pt>
                <c:pt idx="52">
                  <c:v>44627</c:v>
                </c:pt>
                <c:pt idx="53">
                  <c:v>44628</c:v>
                </c:pt>
                <c:pt idx="54">
                  <c:v>44629</c:v>
                </c:pt>
                <c:pt idx="55">
                  <c:v>44630</c:v>
                </c:pt>
                <c:pt idx="56">
                  <c:v>44631</c:v>
                </c:pt>
                <c:pt idx="57">
                  <c:v>44632</c:v>
                </c:pt>
                <c:pt idx="58">
                  <c:v>44633</c:v>
                </c:pt>
                <c:pt idx="59">
                  <c:v>44634</c:v>
                </c:pt>
                <c:pt idx="60">
                  <c:v>44635</c:v>
                </c:pt>
                <c:pt idx="61">
                  <c:v>44636</c:v>
                </c:pt>
                <c:pt idx="62">
                  <c:v>44637</c:v>
                </c:pt>
                <c:pt idx="63">
                  <c:v>44638</c:v>
                </c:pt>
                <c:pt idx="64">
                  <c:v>44639</c:v>
                </c:pt>
                <c:pt idx="65">
                  <c:v>44640</c:v>
                </c:pt>
                <c:pt idx="66">
                  <c:v>44641</c:v>
                </c:pt>
                <c:pt idx="67">
                  <c:v>44642</c:v>
                </c:pt>
                <c:pt idx="68">
                  <c:v>44643</c:v>
                </c:pt>
                <c:pt idx="69">
                  <c:v>44644</c:v>
                </c:pt>
                <c:pt idx="70">
                  <c:v>44645</c:v>
                </c:pt>
                <c:pt idx="71">
                  <c:v>44646</c:v>
                </c:pt>
                <c:pt idx="72">
                  <c:v>44647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44653</c:v>
                </c:pt>
                <c:pt idx="79">
                  <c:v>44654</c:v>
                </c:pt>
                <c:pt idx="80">
                  <c:v>44655</c:v>
                </c:pt>
                <c:pt idx="81">
                  <c:v>44656</c:v>
                </c:pt>
                <c:pt idx="82">
                  <c:v>44657</c:v>
                </c:pt>
                <c:pt idx="83">
                  <c:v>44658</c:v>
                </c:pt>
                <c:pt idx="84">
                  <c:v>44659</c:v>
                </c:pt>
                <c:pt idx="85">
                  <c:v>44660</c:v>
                </c:pt>
                <c:pt idx="86">
                  <c:v>44661</c:v>
                </c:pt>
                <c:pt idx="87">
                  <c:v>44662</c:v>
                </c:pt>
                <c:pt idx="88">
                  <c:v>44663</c:v>
                </c:pt>
                <c:pt idx="89">
                  <c:v>44664</c:v>
                </c:pt>
                <c:pt idx="90">
                  <c:v>44665</c:v>
                </c:pt>
                <c:pt idx="91">
                  <c:v>44666</c:v>
                </c:pt>
                <c:pt idx="92">
                  <c:v>44667</c:v>
                </c:pt>
                <c:pt idx="93">
                  <c:v>44668</c:v>
                </c:pt>
                <c:pt idx="94">
                  <c:v>44669</c:v>
                </c:pt>
                <c:pt idx="95">
                  <c:v>44670</c:v>
                </c:pt>
                <c:pt idx="96">
                  <c:v>44671</c:v>
                </c:pt>
                <c:pt idx="97">
                  <c:v>44672</c:v>
                </c:pt>
                <c:pt idx="98">
                  <c:v>44673</c:v>
                </c:pt>
                <c:pt idx="99">
                  <c:v>44674</c:v>
                </c:pt>
                <c:pt idx="100">
                  <c:v>44675</c:v>
                </c:pt>
                <c:pt idx="101">
                  <c:v>44676</c:v>
                </c:pt>
                <c:pt idx="102">
                  <c:v>44677</c:v>
                </c:pt>
                <c:pt idx="103">
                  <c:v>44678</c:v>
                </c:pt>
                <c:pt idx="104">
                  <c:v>44679</c:v>
                </c:pt>
                <c:pt idx="105">
                  <c:v>44680</c:v>
                </c:pt>
                <c:pt idx="106">
                  <c:v>44681</c:v>
                </c:pt>
                <c:pt idx="107">
                  <c:v>44682</c:v>
                </c:pt>
                <c:pt idx="108">
                  <c:v>44683</c:v>
                </c:pt>
                <c:pt idx="109">
                  <c:v>44684</c:v>
                </c:pt>
                <c:pt idx="110">
                  <c:v>44685</c:v>
                </c:pt>
                <c:pt idx="111">
                  <c:v>44686</c:v>
                </c:pt>
                <c:pt idx="112">
                  <c:v>44687</c:v>
                </c:pt>
                <c:pt idx="113">
                  <c:v>44688</c:v>
                </c:pt>
                <c:pt idx="114">
                  <c:v>44689</c:v>
                </c:pt>
                <c:pt idx="115">
                  <c:v>44690</c:v>
                </c:pt>
                <c:pt idx="116">
                  <c:v>44691</c:v>
                </c:pt>
                <c:pt idx="117">
                  <c:v>44692</c:v>
                </c:pt>
                <c:pt idx="118">
                  <c:v>44693</c:v>
                </c:pt>
                <c:pt idx="119">
                  <c:v>44694</c:v>
                </c:pt>
                <c:pt idx="120">
                  <c:v>44695</c:v>
                </c:pt>
                <c:pt idx="121">
                  <c:v>44696</c:v>
                </c:pt>
                <c:pt idx="122">
                  <c:v>44697</c:v>
                </c:pt>
                <c:pt idx="123">
                  <c:v>44698</c:v>
                </c:pt>
                <c:pt idx="124">
                  <c:v>44699</c:v>
                </c:pt>
                <c:pt idx="125">
                  <c:v>44700</c:v>
                </c:pt>
                <c:pt idx="126">
                  <c:v>44701</c:v>
                </c:pt>
                <c:pt idx="127">
                  <c:v>44702</c:v>
                </c:pt>
                <c:pt idx="128">
                  <c:v>44703</c:v>
                </c:pt>
                <c:pt idx="129">
                  <c:v>44704</c:v>
                </c:pt>
                <c:pt idx="130">
                  <c:v>44705</c:v>
                </c:pt>
                <c:pt idx="131">
                  <c:v>44706</c:v>
                </c:pt>
                <c:pt idx="132">
                  <c:v>44707</c:v>
                </c:pt>
                <c:pt idx="133">
                  <c:v>44708</c:v>
                </c:pt>
                <c:pt idx="134">
                  <c:v>44709</c:v>
                </c:pt>
                <c:pt idx="135">
                  <c:v>44710</c:v>
                </c:pt>
                <c:pt idx="136">
                  <c:v>44711</c:v>
                </c:pt>
                <c:pt idx="137">
                  <c:v>44712</c:v>
                </c:pt>
                <c:pt idx="138">
                  <c:v>44713</c:v>
                </c:pt>
                <c:pt idx="139">
                  <c:v>44714</c:v>
                </c:pt>
                <c:pt idx="140">
                  <c:v>44715</c:v>
                </c:pt>
                <c:pt idx="141">
                  <c:v>44716</c:v>
                </c:pt>
                <c:pt idx="142">
                  <c:v>44717</c:v>
                </c:pt>
                <c:pt idx="143">
                  <c:v>44718</c:v>
                </c:pt>
                <c:pt idx="144">
                  <c:v>44719</c:v>
                </c:pt>
                <c:pt idx="145">
                  <c:v>44720</c:v>
                </c:pt>
                <c:pt idx="146">
                  <c:v>44721</c:v>
                </c:pt>
                <c:pt idx="147">
                  <c:v>44722</c:v>
                </c:pt>
                <c:pt idx="148">
                  <c:v>44723</c:v>
                </c:pt>
                <c:pt idx="149">
                  <c:v>44724</c:v>
                </c:pt>
                <c:pt idx="150">
                  <c:v>44725</c:v>
                </c:pt>
                <c:pt idx="151">
                  <c:v>44726</c:v>
                </c:pt>
                <c:pt idx="152">
                  <c:v>44727</c:v>
                </c:pt>
                <c:pt idx="153">
                  <c:v>44728</c:v>
                </c:pt>
                <c:pt idx="154">
                  <c:v>44729</c:v>
                </c:pt>
                <c:pt idx="155">
                  <c:v>44730</c:v>
                </c:pt>
                <c:pt idx="156">
                  <c:v>44731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44737</c:v>
                </c:pt>
                <c:pt idx="163">
                  <c:v>44738</c:v>
                </c:pt>
                <c:pt idx="164">
                  <c:v>44739</c:v>
                </c:pt>
                <c:pt idx="165">
                  <c:v>44740</c:v>
                </c:pt>
                <c:pt idx="166">
                  <c:v>44741</c:v>
                </c:pt>
                <c:pt idx="167">
                  <c:v>44742</c:v>
                </c:pt>
                <c:pt idx="168">
                  <c:v>44743</c:v>
                </c:pt>
                <c:pt idx="169">
                  <c:v>44744</c:v>
                </c:pt>
                <c:pt idx="170">
                  <c:v>44745</c:v>
                </c:pt>
                <c:pt idx="171">
                  <c:v>44746</c:v>
                </c:pt>
                <c:pt idx="172">
                  <c:v>44747</c:v>
                </c:pt>
                <c:pt idx="173">
                  <c:v>44748</c:v>
                </c:pt>
                <c:pt idx="174">
                  <c:v>44749</c:v>
                </c:pt>
                <c:pt idx="175">
                  <c:v>44750</c:v>
                </c:pt>
                <c:pt idx="176">
                  <c:v>44751</c:v>
                </c:pt>
                <c:pt idx="177">
                  <c:v>44752</c:v>
                </c:pt>
                <c:pt idx="178">
                  <c:v>44753</c:v>
                </c:pt>
                <c:pt idx="179">
                  <c:v>44754</c:v>
                </c:pt>
                <c:pt idx="180">
                  <c:v>44755</c:v>
                </c:pt>
                <c:pt idx="181">
                  <c:v>44756</c:v>
                </c:pt>
                <c:pt idx="182">
                  <c:v>44757</c:v>
                </c:pt>
                <c:pt idx="183">
                  <c:v>44758</c:v>
                </c:pt>
                <c:pt idx="184">
                  <c:v>44759</c:v>
                </c:pt>
                <c:pt idx="185">
                  <c:v>44760</c:v>
                </c:pt>
                <c:pt idx="186">
                  <c:v>44761</c:v>
                </c:pt>
                <c:pt idx="187">
                  <c:v>44762</c:v>
                </c:pt>
                <c:pt idx="188">
                  <c:v>44763</c:v>
                </c:pt>
                <c:pt idx="189">
                  <c:v>44764</c:v>
                </c:pt>
                <c:pt idx="190">
                  <c:v>44765</c:v>
                </c:pt>
                <c:pt idx="191">
                  <c:v>44766</c:v>
                </c:pt>
                <c:pt idx="192">
                  <c:v>44767</c:v>
                </c:pt>
                <c:pt idx="193">
                  <c:v>44768</c:v>
                </c:pt>
                <c:pt idx="194">
                  <c:v>44769</c:v>
                </c:pt>
                <c:pt idx="195">
                  <c:v>44770</c:v>
                </c:pt>
                <c:pt idx="196">
                  <c:v>44771</c:v>
                </c:pt>
                <c:pt idx="197">
                  <c:v>44772</c:v>
                </c:pt>
                <c:pt idx="198">
                  <c:v>44773</c:v>
                </c:pt>
                <c:pt idx="199">
                  <c:v>44774</c:v>
                </c:pt>
                <c:pt idx="200">
                  <c:v>44775</c:v>
                </c:pt>
                <c:pt idx="201">
                  <c:v>44776</c:v>
                </c:pt>
                <c:pt idx="202">
                  <c:v>44777</c:v>
                </c:pt>
                <c:pt idx="203">
                  <c:v>44778</c:v>
                </c:pt>
                <c:pt idx="204">
                  <c:v>44779</c:v>
                </c:pt>
                <c:pt idx="205">
                  <c:v>44780</c:v>
                </c:pt>
                <c:pt idx="206">
                  <c:v>44781</c:v>
                </c:pt>
                <c:pt idx="207">
                  <c:v>44782</c:v>
                </c:pt>
                <c:pt idx="208">
                  <c:v>44783</c:v>
                </c:pt>
                <c:pt idx="209">
                  <c:v>44784</c:v>
                </c:pt>
                <c:pt idx="210">
                  <c:v>44785</c:v>
                </c:pt>
                <c:pt idx="211">
                  <c:v>44786</c:v>
                </c:pt>
                <c:pt idx="212">
                  <c:v>44787</c:v>
                </c:pt>
                <c:pt idx="213">
                  <c:v>44788</c:v>
                </c:pt>
                <c:pt idx="214">
                  <c:v>44789</c:v>
                </c:pt>
                <c:pt idx="215">
                  <c:v>44790</c:v>
                </c:pt>
                <c:pt idx="216">
                  <c:v>44791</c:v>
                </c:pt>
                <c:pt idx="217">
                  <c:v>44792</c:v>
                </c:pt>
                <c:pt idx="218">
                  <c:v>44793</c:v>
                </c:pt>
                <c:pt idx="219">
                  <c:v>44794</c:v>
                </c:pt>
                <c:pt idx="220">
                  <c:v>44795</c:v>
                </c:pt>
                <c:pt idx="221">
                  <c:v>44796</c:v>
                </c:pt>
                <c:pt idx="222">
                  <c:v>44797</c:v>
                </c:pt>
                <c:pt idx="223">
                  <c:v>44798</c:v>
                </c:pt>
                <c:pt idx="224">
                  <c:v>44799</c:v>
                </c:pt>
                <c:pt idx="225">
                  <c:v>44800</c:v>
                </c:pt>
                <c:pt idx="226">
                  <c:v>44801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44807</c:v>
                </c:pt>
                <c:pt idx="233">
                  <c:v>44808</c:v>
                </c:pt>
                <c:pt idx="234">
                  <c:v>44809</c:v>
                </c:pt>
                <c:pt idx="235">
                  <c:v>44810</c:v>
                </c:pt>
                <c:pt idx="236">
                  <c:v>44811</c:v>
                </c:pt>
                <c:pt idx="237">
                  <c:v>44812</c:v>
                </c:pt>
                <c:pt idx="238">
                  <c:v>44813</c:v>
                </c:pt>
                <c:pt idx="239">
                  <c:v>44814</c:v>
                </c:pt>
                <c:pt idx="240">
                  <c:v>44815</c:v>
                </c:pt>
                <c:pt idx="241">
                  <c:v>44816</c:v>
                </c:pt>
                <c:pt idx="242">
                  <c:v>44817</c:v>
                </c:pt>
                <c:pt idx="243">
                  <c:v>44818</c:v>
                </c:pt>
                <c:pt idx="244">
                  <c:v>44819</c:v>
                </c:pt>
                <c:pt idx="245">
                  <c:v>44820</c:v>
                </c:pt>
                <c:pt idx="246">
                  <c:v>44821</c:v>
                </c:pt>
                <c:pt idx="247">
                  <c:v>44822</c:v>
                </c:pt>
                <c:pt idx="248">
                  <c:v>44823</c:v>
                </c:pt>
                <c:pt idx="249">
                  <c:v>44824</c:v>
                </c:pt>
                <c:pt idx="250">
                  <c:v>44825</c:v>
                </c:pt>
                <c:pt idx="251">
                  <c:v>44826</c:v>
                </c:pt>
                <c:pt idx="252">
                  <c:v>44827</c:v>
                </c:pt>
                <c:pt idx="253">
                  <c:v>44828</c:v>
                </c:pt>
                <c:pt idx="254">
                  <c:v>44829</c:v>
                </c:pt>
                <c:pt idx="255">
                  <c:v>44830</c:v>
                </c:pt>
                <c:pt idx="256">
                  <c:v>44831</c:v>
                </c:pt>
                <c:pt idx="257">
                  <c:v>44832</c:v>
                </c:pt>
                <c:pt idx="258">
                  <c:v>44833</c:v>
                </c:pt>
                <c:pt idx="259">
                  <c:v>44834</c:v>
                </c:pt>
                <c:pt idx="260">
                  <c:v>44835</c:v>
                </c:pt>
                <c:pt idx="261">
                  <c:v>44836</c:v>
                </c:pt>
                <c:pt idx="262">
                  <c:v>44837</c:v>
                </c:pt>
                <c:pt idx="263">
                  <c:v>44838</c:v>
                </c:pt>
                <c:pt idx="264">
                  <c:v>44839</c:v>
                </c:pt>
                <c:pt idx="265">
                  <c:v>44840</c:v>
                </c:pt>
                <c:pt idx="266">
                  <c:v>44841</c:v>
                </c:pt>
                <c:pt idx="267">
                  <c:v>44842</c:v>
                </c:pt>
                <c:pt idx="268">
                  <c:v>44843</c:v>
                </c:pt>
                <c:pt idx="269">
                  <c:v>44844</c:v>
                </c:pt>
                <c:pt idx="270">
                  <c:v>44845</c:v>
                </c:pt>
                <c:pt idx="271">
                  <c:v>44846</c:v>
                </c:pt>
                <c:pt idx="272">
                  <c:v>44847</c:v>
                </c:pt>
                <c:pt idx="273">
                  <c:v>44848</c:v>
                </c:pt>
                <c:pt idx="274">
                  <c:v>44849</c:v>
                </c:pt>
                <c:pt idx="275">
                  <c:v>44850</c:v>
                </c:pt>
                <c:pt idx="276">
                  <c:v>44851</c:v>
                </c:pt>
                <c:pt idx="277">
                  <c:v>44852</c:v>
                </c:pt>
                <c:pt idx="278">
                  <c:v>44853</c:v>
                </c:pt>
                <c:pt idx="279">
                  <c:v>44854</c:v>
                </c:pt>
                <c:pt idx="280">
                  <c:v>44855</c:v>
                </c:pt>
                <c:pt idx="281">
                  <c:v>44856</c:v>
                </c:pt>
                <c:pt idx="282">
                  <c:v>44857</c:v>
                </c:pt>
                <c:pt idx="283">
                  <c:v>44858</c:v>
                </c:pt>
                <c:pt idx="284">
                  <c:v>44859</c:v>
                </c:pt>
                <c:pt idx="285">
                  <c:v>44860</c:v>
                </c:pt>
                <c:pt idx="286">
                  <c:v>44861</c:v>
                </c:pt>
                <c:pt idx="287">
                  <c:v>44862</c:v>
                </c:pt>
                <c:pt idx="288">
                  <c:v>44863</c:v>
                </c:pt>
                <c:pt idx="289">
                  <c:v>44864</c:v>
                </c:pt>
                <c:pt idx="290">
                  <c:v>44865</c:v>
                </c:pt>
                <c:pt idx="291">
                  <c:v>44866</c:v>
                </c:pt>
                <c:pt idx="292">
                  <c:v>44867</c:v>
                </c:pt>
                <c:pt idx="293">
                  <c:v>44868</c:v>
                </c:pt>
                <c:pt idx="294">
                  <c:v>44869</c:v>
                </c:pt>
                <c:pt idx="295">
                  <c:v>44870</c:v>
                </c:pt>
                <c:pt idx="296">
                  <c:v>44871</c:v>
                </c:pt>
                <c:pt idx="297">
                  <c:v>44872</c:v>
                </c:pt>
                <c:pt idx="298">
                  <c:v>44873</c:v>
                </c:pt>
                <c:pt idx="299">
                  <c:v>44874</c:v>
                </c:pt>
                <c:pt idx="300">
                  <c:v>44875</c:v>
                </c:pt>
                <c:pt idx="301">
                  <c:v>44876</c:v>
                </c:pt>
                <c:pt idx="302">
                  <c:v>44877</c:v>
                </c:pt>
                <c:pt idx="303">
                  <c:v>44878</c:v>
                </c:pt>
                <c:pt idx="304">
                  <c:v>44879</c:v>
                </c:pt>
                <c:pt idx="305">
                  <c:v>44880</c:v>
                </c:pt>
                <c:pt idx="306">
                  <c:v>44881</c:v>
                </c:pt>
                <c:pt idx="307">
                  <c:v>44882</c:v>
                </c:pt>
                <c:pt idx="308">
                  <c:v>44883</c:v>
                </c:pt>
                <c:pt idx="309">
                  <c:v>44884</c:v>
                </c:pt>
                <c:pt idx="310">
                  <c:v>44885</c:v>
                </c:pt>
                <c:pt idx="311">
                  <c:v>44886</c:v>
                </c:pt>
                <c:pt idx="312">
                  <c:v>44887</c:v>
                </c:pt>
                <c:pt idx="313">
                  <c:v>44888</c:v>
                </c:pt>
                <c:pt idx="314">
                  <c:v>44889</c:v>
                </c:pt>
                <c:pt idx="315">
                  <c:v>44890</c:v>
                </c:pt>
                <c:pt idx="316">
                  <c:v>44891</c:v>
                </c:pt>
                <c:pt idx="317">
                  <c:v>44892</c:v>
                </c:pt>
                <c:pt idx="318">
                  <c:v>44893</c:v>
                </c:pt>
                <c:pt idx="319">
                  <c:v>44894</c:v>
                </c:pt>
                <c:pt idx="320">
                  <c:v>44895</c:v>
                </c:pt>
                <c:pt idx="321">
                  <c:v>44896</c:v>
                </c:pt>
                <c:pt idx="322">
                  <c:v>44897</c:v>
                </c:pt>
                <c:pt idx="323">
                  <c:v>44898</c:v>
                </c:pt>
                <c:pt idx="324">
                  <c:v>44899</c:v>
                </c:pt>
                <c:pt idx="325">
                  <c:v>44900</c:v>
                </c:pt>
                <c:pt idx="326">
                  <c:v>44901</c:v>
                </c:pt>
                <c:pt idx="327">
                  <c:v>44902</c:v>
                </c:pt>
                <c:pt idx="328">
                  <c:v>44903</c:v>
                </c:pt>
                <c:pt idx="329">
                  <c:v>44904</c:v>
                </c:pt>
                <c:pt idx="330">
                  <c:v>44905</c:v>
                </c:pt>
                <c:pt idx="331">
                  <c:v>44906</c:v>
                </c:pt>
                <c:pt idx="332">
                  <c:v>44907</c:v>
                </c:pt>
                <c:pt idx="333">
                  <c:v>44908</c:v>
                </c:pt>
                <c:pt idx="334">
                  <c:v>44909</c:v>
                </c:pt>
                <c:pt idx="335">
                  <c:v>44910</c:v>
                </c:pt>
                <c:pt idx="336">
                  <c:v>44911</c:v>
                </c:pt>
                <c:pt idx="337">
                  <c:v>44912</c:v>
                </c:pt>
                <c:pt idx="338">
                  <c:v>44913</c:v>
                </c:pt>
                <c:pt idx="339">
                  <c:v>44914</c:v>
                </c:pt>
                <c:pt idx="340">
                  <c:v>44915</c:v>
                </c:pt>
                <c:pt idx="341">
                  <c:v>44916</c:v>
                </c:pt>
                <c:pt idx="342">
                  <c:v>44917</c:v>
                </c:pt>
                <c:pt idx="343">
                  <c:v>44918</c:v>
                </c:pt>
                <c:pt idx="344">
                  <c:v>44919</c:v>
                </c:pt>
                <c:pt idx="345">
                  <c:v>44920</c:v>
                </c:pt>
                <c:pt idx="346">
                  <c:v>44921</c:v>
                </c:pt>
                <c:pt idx="347">
                  <c:v>44922</c:v>
                </c:pt>
                <c:pt idx="348">
                  <c:v>44923</c:v>
                </c:pt>
                <c:pt idx="349">
                  <c:v>44924</c:v>
                </c:pt>
                <c:pt idx="350">
                  <c:v>44925</c:v>
                </c:pt>
                <c:pt idx="351">
                  <c:v>44926</c:v>
                </c:pt>
                <c:pt idx="352">
                  <c:v>44927</c:v>
                </c:pt>
                <c:pt idx="353">
                  <c:v>44928</c:v>
                </c:pt>
                <c:pt idx="354">
                  <c:v>44929</c:v>
                </c:pt>
                <c:pt idx="355">
                  <c:v>44930</c:v>
                </c:pt>
                <c:pt idx="356">
                  <c:v>44931</c:v>
                </c:pt>
                <c:pt idx="357">
                  <c:v>44932</c:v>
                </c:pt>
                <c:pt idx="358">
                  <c:v>44933</c:v>
                </c:pt>
                <c:pt idx="359">
                  <c:v>44934</c:v>
                </c:pt>
                <c:pt idx="360">
                  <c:v>44935</c:v>
                </c:pt>
                <c:pt idx="361">
                  <c:v>44936</c:v>
                </c:pt>
                <c:pt idx="362">
                  <c:v>44937</c:v>
                </c:pt>
                <c:pt idx="363">
                  <c:v>44938</c:v>
                </c:pt>
                <c:pt idx="364">
                  <c:v>44939</c:v>
                </c:pt>
                <c:pt idx="365">
                  <c:v>44940</c:v>
                </c:pt>
                <c:pt idx="366">
                  <c:v>44941</c:v>
                </c:pt>
                <c:pt idx="367">
                  <c:v>44942</c:v>
                </c:pt>
                <c:pt idx="368">
                  <c:v>44943</c:v>
                </c:pt>
                <c:pt idx="369">
                  <c:v>44944</c:v>
                </c:pt>
                <c:pt idx="370">
                  <c:v>44945</c:v>
                </c:pt>
                <c:pt idx="371">
                  <c:v>44946</c:v>
                </c:pt>
                <c:pt idx="372">
                  <c:v>44947</c:v>
                </c:pt>
                <c:pt idx="373">
                  <c:v>44948</c:v>
                </c:pt>
                <c:pt idx="374">
                  <c:v>44949</c:v>
                </c:pt>
                <c:pt idx="375">
                  <c:v>44950</c:v>
                </c:pt>
                <c:pt idx="376">
                  <c:v>44951</c:v>
                </c:pt>
                <c:pt idx="377">
                  <c:v>44952</c:v>
                </c:pt>
                <c:pt idx="378">
                  <c:v>44953</c:v>
                </c:pt>
                <c:pt idx="379">
                  <c:v>44954</c:v>
                </c:pt>
                <c:pt idx="380">
                  <c:v>44955</c:v>
                </c:pt>
                <c:pt idx="381">
                  <c:v>44956</c:v>
                </c:pt>
                <c:pt idx="382">
                  <c:v>44957</c:v>
                </c:pt>
                <c:pt idx="383">
                  <c:v>44958</c:v>
                </c:pt>
                <c:pt idx="384">
                  <c:v>44959</c:v>
                </c:pt>
                <c:pt idx="385">
                  <c:v>44960</c:v>
                </c:pt>
                <c:pt idx="386">
                  <c:v>44961</c:v>
                </c:pt>
                <c:pt idx="387">
                  <c:v>44962</c:v>
                </c:pt>
                <c:pt idx="388">
                  <c:v>44963</c:v>
                </c:pt>
                <c:pt idx="389">
                  <c:v>44964</c:v>
                </c:pt>
                <c:pt idx="390">
                  <c:v>44965</c:v>
                </c:pt>
                <c:pt idx="391">
                  <c:v>44966</c:v>
                </c:pt>
                <c:pt idx="392">
                  <c:v>44967</c:v>
                </c:pt>
                <c:pt idx="393">
                  <c:v>44968</c:v>
                </c:pt>
                <c:pt idx="394">
                  <c:v>44969</c:v>
                </c:pt>
                <c:pt idx="395">
                  <c:v>44970</c:v>
                </c:pt>
                <c:pt idx="396">
                  <c:v>44971</c:v>
                </c:pt>
                <c:pt idx="397">
                  <c:v>44972</c:v>
                </c:pt>
                <c:pt idx="398">
                  <c:v>44973</c:v>
                </c:pt>
                <c:pt idx="399">
                  <c:v>44974</c:v>
                </c:pt>
                <c:pt idx="400">
                  <c:v>44975</c:v>
                </c:pt>
                <c:pt idx="401">
                  <c:v>44976</c:v>
                </c:pt>
                <c:pt idx="402">
                  <c:v>44977</c:v>
                </c:pt>
                <c:pt idx="403">
                  <c:v>44978</c:v>
                </c:pt>
                <c:pt idx="404">
                  <c:v>44979</c:v>
                </c:pt>
                <c:pt idx="405">
                  <c:v>44980</c:v>
                </c:pt>
                <c:pt idx="406">
                  <c:v>44981</c:v>
                </c:pt>
                <c:pt idx="407">
                  <c:v>44982</c:v>
                </c:pt>
                <c:pt idx="408">
                  <c:v>44983</c:v>
                </c:pt>
                <c:pt idx="409">
                  <c:v>44984</c:v>
                </c:pt>
                <c:pt idx="410">
                  <c:v>44985</c:v>
                </c:pt>
                <c:pt idx="411">
                  <c:v>44986</c:v>
                </c:pt>
                <c:pt idx="412">
                  <c:v>44987</c:v>
                </c:pt>
                <c:pt idx="413">
                  <c:v>44988</c:v>
                </c:pt>
                <c:pt idx="414">
                  <c:v>44989</c:v>
                </c:pt>
                <c:pt idx="415">
                  <c:v>44990</c:v>
                </c:pt>
                <c:pt idx="416">
                  <c:v>44991</c:v>
                </c:pt>
                <c:pt idx="417">
                  <c:v>44992</c:v>
                </c:pt>
                <c:pt idx="418">
                  <c:v>44993</c:v>
                </c:pt>
                <c:pt idx="419">
                  <c:v>44994</c:v>
                </c:pt>
                <c:pt idx="420">
                  <c:v>44995</c:v>
                </c:pt>
                <c:pt idx="421">
                  <c:v>44996</c:v>
                </c:pt>
                <c:pt idx="422">
                  <c:v>44997</c:v>
                </c:pt>
                <c:pt idx="423">
                  <c:v>44998</c:v>
                </c:pt>
                <c:pt idx="424">
                  <c:v>44999</c:v>
                </c:pt>
                <c:pt idx="425">
                  <c:v>45000</c:v>
                </c:pt>
                <c:pt idx="426">
                  <c:v>45001</c:v>
                </c:pt>
                <c:pt idx="427">
                  <c:v>45002</c:v>
                </c:pt>
                <c:pt idx="428">
                  <c:v>45003</c:v>
                </c:pt>
                <c:pt idx="429">
                  <c:v>45004</c:v>
                </c:pt>
                <c:pt idx="430">
                  <c:v>45005</c:v>
                </c:pt>
                <c:pt idx="431">
                  <c:v>45006</c:v>
                </c:pt>
                <c:pt idx="432">
                  <c:v>45007</c:v>
                </c:pt>
                <c:pt idx="433">
                  <c:v>45008</c:v>
                </c:pt>
                <c:pt idx="434">
                  <c:v>45009</c:v>
                </c:pt>
                <c:pt idx="435">
                  <c:v>45010</c:v>
                </c:pt>
                <c:pt idx="436">
                  <c:v>45011</c:v>
                </c:pt>
                <c:pt idx="437">
                  <c:v>45012</c:v>
                </c:pt>
                <c:pt idx="438">
                  <c:v>45013</c:v>
                </c:pt>
                <c:pt idx="439">
                  <c:v>45014</c:v>
                </c:pt>
                <c:pt idx="440">
                  <c:v>45015</c:v>
                </c:pt>
                <c:pt idx="441">
                  <c:v>45016</c:v>
                </c:pt>
                <c:pt idx="442">
                  <c:v>45017</c:v>
                </c:pt>
                <c:pt idx="443">
                  <c:v>45018</c:v>
                </c:pt>
                <c:pt idx="444">
                  <c:v>45019</c:v>
                </c:pt>
                <c:pt idx="445">
                  <c:v>45020</c:v>
                </c:pt>
                <c:pt idx="446">
                  <c:v>45021</c:v>
                </c:pt>
                <c:pt idx="447">
                  <c:v>45022</c:v>
                </c:pt>
                <c:pt idx="448">
                  <c:v>45023</c:v>
                </c:pt>
                <c:pt idx="449">
                  <c:v>45024</c:v>
                </c:pt>
                <c:pt idx="450">
                  <c:v>45025</c:v>
                </c:pt>
                <c:pt idx="451">
                  <c:v>45026</c:v>
                </c:pt>
                <c:pt idx="452">
                  <c:v>45027</c:v>
                </c:pt>
                <c:pt idx="453">
                  <c:v>45028</c:v>
                </c:pt>
                <c:pt idx="454">
                  <c:v>45029</c:v>
                </c:pt>
                <c:pt idx="455">
                  <c:v>45030</c:v>
                </c:pt>
                <c:pt idx="456">
                  <c:v>45031</c:v>
                </c:pt>
                <c:pt idx="457">
                  <c:v>45032</c:v>
                </c:pt>
                <c:pt idx="458">
                  <c:v>45033</c:v>
                </c:pt>
                <c:pt idx="459">
                  <c:v>45034</c:v>
                </c:pt>
                <c:pt idx="460">
                  <c:v>45035</c:v>
                </c:pt>
                <c:pt idx="461">
                  <c:v>45036</c:v>
                </c:pt>
                <c:pt idx="462">
                  <c:v>45037</c:v>
                </c:pt>
                <c:pt idx="463">
                  <c:v>45038</c:v>
                </c:pt>
                <c:pt idx="464">
                  <c:v>45039</c:v>
                </c:pt>
                <c:pt idx="465">
                  <c:v>45040</c:v>
                </c:pt>
                <c:pt idx="466">
                  <c:v>45041</c:v>
                </c:pt>
                <c:pt idx="467">
                  <c:v>45042</c:v>
                </c:pt>
                <c:pt idx="468">
                  <c:v>45043</c:v>
                </c:pt>
                <c:pt idx="469">
                  <c:v>45044</c:v>
                </c:pt>
                <c:pt idx="470">
                  <c:v>45045</c:v>
                </c:pt>
                <c:pt idx="471">
                  <c:v>45046</c:v>
                </c:pt>
                <c:pt idx="472">
                  <c:v>45047</c:v>
                </c:pt>
                <c:pt idx="473">
                  <c:v>45048</c:v>
                </c:pt>
                <c:pt idx="474">
                  <c:v>45049</c:v>
                </c:pt>
                <c:pt idx="475">
                  <c:v>45050</c:v>
                </c:pt>
                <c:pt idx="476">
                  <c:v>45051</c:v>
                </c:pt>
                <c:pt idx="477">
                  <c:v>45052</c:v>
                </c:pt>
                <c:pt idx="478">
                  <c:v>45053</c:v>
                </c:pt>
                <c:pt idx="479">
                  <c:v>45054</c:v>
                </c:pt>
                <c:pt idx="480">
                  <c:v>45055</c:v>
                </c:pt>
                <c:pt idx="481">
                  <c:v>45056</c:v>
                </c:pt>
                <c:pt idx="482">
                  <c:v>45057</c:v>
                </c:pt>
                <c:pt idx="483">
                  <c:v>45058</c:v>
                </c:pt>
                <c:pt idx="484">
                  <c:v>45059</c:v>
                </c:pt>
                <c:pt idx="485">
                  <c:v>45060</c:v>
                </c:pt>
                <c:pt idx="486">
                  <c:v>45061</c:v>
                </c:pt>
                <c:pt idx="487">
                  <c:v>45062</c:v>
                </c:pt>
                <c:pt idx="488">
                  <c:v>45063</c:v>
                </c:pt>
                <c:pt idx="489">
                  <c:v>45064</c:v>
                </c:pt>
                <c:pt idx="490">
                  <c:v>45065</c:v>
                </c:pt>
                <c:pt idx="491">
                  <c:v>45066</c:v>
                </c:pt>
                <c:pt idx="492">
                  <c:v>45067</c:v>
                </c:pt>
                <c:pt idx="493">
                  <c:v>45068</c:v>
                </c:pt>
                <c:pt idx="494">
                  <c:v>45069</c:v>
                </c:pt>
                <c:pt idx="495">
                  <c:v>45070</c:v>
                </c:pt>
                <c:pt idx="496">
                  <c:v>45071</c:v>
                </c:pt>
                <c:pt idx="497">
                  <c:v>45072</c:v>
                </c:pt>
                <c:pt idx="498">
                  <c:v>45073</c:v>
                </c:pt>
                <c:pt idx="499">
                  <c:v>45074</c:v>
                </c:pt>
                <c:pt idx="500">
                  <c:v>45075</c:v>
                </c:pt>
                <c:pt idx="501">
                  <c:v>45076</c:v>
                </c:pt>
                <c:pt idx="502">
                  <c:v>45077</c:v>
                </c:pt>
                <c:pt idx="503">
                  <c:v>45078</c:v>
                </c:pt>
                <c:pt idx="504">
                  <c:v>45079</c:v>
                </c:pt>
                <c:pt idx="505">
                  <c:v>45080</c:v>
                </c:pt>
                <c:pt idx="506">
                  <c:v>45081</c:v>
                </c:pt>
                <c:pt idx="507">
                  <c:v>45082</c:v>
                </c:pt>
                <c:pt idx="508">
                  <c:v>45083</c:v>
                </c:pt>
                <c:pt idx="509">
                  <c:v>45084</c:v>
                </c:pt>
                <c:pt idx="510">
                  <c:v>45085</c:v>
                </c:pt>
                <c:pt idx="511">
                  <c:v>45086</c:v>
                </c:pt>
                <c:pt idx="512">
                  <c:v>45087</c:v>
                </c:pt>
                <c:pt idx="513">
                  <c:v>45088</c:v>
                </c:pt>
                <c:pt idx="514">
                  <c:v>45089</c:v>
                </c:pt>
                <c:pt idx="515">
                  <c:v>45090</c:v>
                </c:pt>
                <c:pt idx="516">
                  <c:v>45091</c:v>
                </c:pt>
                <c:pt idx="517">
                  <c:v>45092</c:v>
                </c:pt>
                <c:pt idx="518">
                  <c:v>45093</c:v>
                </c:pt>
                <c:pt idx="519">
                  <c:v>45094</c:v>
                </c:pt>
                <c:pt idx="520">
                  <c:v>45095</c:v>
                </c:pt>
                <c:pt idx="521">
                  <c:v>45096</c:v>
                </c:pt>
                <c:pt idx="522">
                  <c:v>45097</c:v>
                </c:pt>
                <c:pt idx="523">
                  <c:v>45098</c:v>
                </c:pt>
                <c:pt idx="524">
                  <c:v>45099</c:v>
                </c:pt>
                <c:pt idx="525">
                  <c:v>45100</c:v>
                </c:pt>
                <c:pt idx="526">
                  <c:v>45101</c:v>
                </c:pt>
                <c:pt idx="527">
                  <c:v>45102</c:v>
                </c:pt>
                <c:pt idx="528">
                  <c:v>45103</c:v>
                </c:pt>
                <c:pt idx="529">
                  <c:v>45104</c:v>
                </c:pt>
                <c:pt idx="530">
                  <c:v>45105</c:v>
                </c:pt>
                <c:pt idx="531">
                  <c:v>45106</c:v>
                </c:pt>
                <c:pt idx="532">
                  <c:v>45107</c:v>
                </c:pt>
                <c:pt idx="533">
                  <c:v>45108</c:v>
                </c:pt>
                <c:pt idx="534">
                  <c:v>45109</c:v>
                </c:pt>
                <c:pt idx="535">
                  <c:v>45110</c:v>
                </c:pt>
                <c:pt idx="536">
                  <c:v>45111</c:v>
                </c:pt>
                <c:pt idx="537">
                  <c:v>45112</c:v>
                </c:pt>
                <c:pt idx="538">
                  <c:v>45113</c:v>
                </c:pt>
                <c:pt idx="539">
                  <c:v>45114</c:v>
                </c:pt>
                <c:pt idx="540">
                  <c:v>45115</c:v>
                </c:pt>
                <c:pt idx="541">
                  <c:v>45116</c:v>
                </c:pt>
                <c:pt idx="542">
                  <c:v>45117</c:v>
                </c:pt>
                <c:pt idx="543">
                  <c:v>45118</c:v>
                </c:pt>
                <c:pt idx="544">
                  <c:v>45119</c:v>
                </c:pt>
                <c:pt idx="545">
                  <c:v>45120</c:v>
                </c:pt>
                <c:pt idx="546">
                  <c:v>45121</c:v>
                </c:pt>
                <c:pt idx="547">
                  <c:v>45122</c:v>
                </c:pt>
                <c:pt idx="548">
                  <c:v>45123</c:v>
                </c:pt>
                <c:pt idx="549">
                  <c:v>45124</c:v>
                </c:pt>
                <c:pt idx="550">
                  <c:v>45125</c:v>
                </c:pt>
                <c:pt idx="551">
                  <c:v>45126</c:v>
                </c:pt>
                <c:pt idx="552">
                  <c:v>45127</c:v>
                </c:pt>
                <c:pt idx="553">
                  <c:v>45128</c:v>
                </c:pt>
                <c:pt idx="554">
                  <c:v>45129</c:v>
                </c:pt>
                <c:pt idx="555">
                  <c:v>45130</c:v>
                </c:pt>
                <c:pt idx="556">
                  <c:v>45131</c:v>
                </c:pt>
                <c:pt idx="557">
                  <c:v>45132</c:v>
                </c:pt>
                <c:pt idx="558">
                  <c:v>45133</c:v>
                </c:pt>
                <c:pt idx="559">
                  <c:v>45134</c:v>
                </c:pt>
                <c:pt idx="560">
                  <c:v>45135</c:v>
                </c:pt>
                <c:pt idx="561">
                  <c:v>45136</c:v>
                </c:pt>
                <c:pt idx="562">
                  <c:v>45137</c:v>
                </c:pt>
                <c:pt idx="563">
                  <c:v>45138</c:v>
                </c:pt>
                <c:pt idx="564">
                  <c:v>45139</c:v>
                </c:pt>
                <c:pt idx="565">
                  <c:v>45140</c:v>
                </c:pt>
                <c:pt idx="566">
                  <c:v>45141</c:v>
                </c:pt>
                <c:pt idx="567">
                  <c:v>45142</c:v>
                </c:pt>
                <c:pt idx="568">
                  <c:v>45143</c:v>
                </c:pt>
                <c:pt idx="569">
                  <c:v>45144</c:v>
                </c:pt>
                <c:pt idx="570">
                  <c:v>45145</c:v>
                </c:pt>
                <c:pt idx="571">
                  <c:v>45146</c:v>
                </c:pt>
                <c:pt idx="572">
                  <c:v>45147</c:v>
                </c:pt>
                <c:pt idx="573">
                  <c:v>45148</c:v>
                </c:pt>
                <c:pt idx="574">
                  <c:v>45149</c:v>
                </c:pt>
                <c:pt idx="575">
                  <c:v>45150</c:v>
                </c:pt>
                <c:pt idx="576">
                  <c:v>45151</c:v>
                </c:pt>
                <c:pt idx="577">
                  <c:v>45152</c:v>
                </c:pt>
                <c:pt idx="578">
                  <c:v>45153</c:v>
                </c:pt>
                <c:pt idx="579">
                  <c:v>45154</c:v>
                </c:pt>
                <c:pt idx="580">
                  <c:v>45155</c:v>
                </c:pt>
                <c:pt idx="581">
                  <c:v>45156</c:v>
                </c:pt>
                <c:pt idx="582">
                  <c:v>45157</c:v>
                </c:pt>
                <c:pt idx="583">
                  <c:v>45158</c:v>
                </c:pt>
                <c:pt idx="584">
                  <c:v>45159</c:v>
                </c:pt>
                <c:pt idx="585">
                  <c:v>45160</c:v>
                </c:pt>
                <c:pt idx="586">
                  <c:v>45161</c:v>
                </c:pt>
                <c:pt idx="587">
                  <c:v>45162</c:v>
                </c:pt>
                <c:pt idx="588">
                  <c:v>45163</c:v>
                </c:pt>
                <c:pt idx="589">
                  <c:v>45164</c:v>
                </c:pt>
                <c:pt idx="590">
                  <c:v>45165</c:v>
                </c:pt>
                <c:pt idx="591">
                  <c:v>45166</c:v>
                </c:pt>
                <c:pt idx="592">
                  <c:v>45167</c:v>
                </c:pt>
                <c:pt idx="593">
                  <c:v>45168</c:v>
                </c:pt>
                <c:pt idx="594">
                  <c:v>45169</c:v>
                </c:pt>
                <c:pt idx="595">
                  <c:v>45170</c:v>
                </c:pt>
                <c:pt idx="596">
                  <c:v>45171</c:v>
                </c:pt>
                <c:pt idx="597">
                  <c:v>45172</c:v>
                </c:pt>
                <c:pt idx="598">
                  <c:v>45173</c:v>
                </c:pt>
                <c:pt idx="599">
                  <c:v>45174</c:v>
                </c:pt>
                <c:pt idx="600">
                  <c:v>45175</c:v>
                </c:pt>
                <c:pt idx="601">
                  <c:v>45176</c:v>
                </c:pt>
                <c:pt idx="602">
                  <c:v>45177</c:v>
                </c:pt>
                <c:pt idx="603">
                  <c:v>45178</c:v>
                </c:pt>
                <c:pt idx="604">
                  <c:v>45179</c:v>
                </c:pt>
                <c:pt idx="605">
                  <c:v>45180</c:v>
                </c:pt>
                <c:pt idx="606">
                  <c:v>45181</c:v>
                </c:pt>
                <c:pt idx="607">
                  <c:v>45182</c:v>
                </c:pt>
                <c:pt idx="608">
                  <c:v>45183</c:v>
                </c:pt>
                <c:pt idx="609">
                  <c:v>45184</c:v>
                </c:pt>
                <c:pt idx="610">
                  <c:v>45185</c:v>
                </c:pt>
                <c:pt idx="611">
                  <c:v>45186</c:v>
                </c:pt>
                <c:pt idx="612">
                  <c:v>45187</c:v>
                </c:pt>
                <c:pt idx="613">
                  <c:v>45188</c:v>
                </c:pt>
                <c:pt idx="614">
                  <c:v>45189</c:v>
                </c:pt>
                <c:pt idx="615">
                  <c:v>45190</c:v>
                </c:pt>
                <c:pt idx="616">
                  <c:v>45191</c:v>
                </c:pt>
                <c:pt idx="617">
                  <c:v>45192</c:v>
                </c:pt>
                <c:pt idx="618">
                  <c:v>45193</c:v>
                </c:pt>
                <c:pt idx="619">
                  <c:v>45194</c:v>
                </c:pt>
                <c:pt idx="620">
                  <c:v>45195</c:v>
                </c:pt>
                <c:pt idx="621">
                  <c:v>45196</c:v>
                </c:pt>
                <c:pt idx="622">
                  <c:v>45197</c:v>
                </c:pt>
                <c:pt idx="623">
                  <c:v>45198</c:v>
                </c:pt>
                <c:pt idx="624">
                  <c:v>45199</c:v>
                </c:pt>
                <c:pt idx="625">
                  <c:v>45200</c:v>
                </c:pt>
                <c:pt idx="626">
                  <c:v>45201</c:v>
                </c:pt>
                <c:pt idx="627">
                  <c:v>45202</c:v>
                </c:pt>
                <c:pt idx="628">
                  <c:v>45203</c:v>
                </c:pt>
                <c:pt idx="629">
                  <c:v>45204</c:v>
                </c:pt>
                <c:pt idx="630">
                  <c:v>45205</c:v>
                </c:pt>
                <c:pt idx="631">
                  <c:v>45206</c:v>
                </c:pt>
                <c:pt idx="632">
                  <c:v>45207</c:v>
                </c:pt>
                <c:pt idx="633">
                  <c:v>45208</c:v>
                </c:pt>
                <c:pt idx="634">
                  <c:v>45209</c:v>
                </c:pt>
                <c:pt idx="635">
                  <c:v>45210</c:v>
                </c:pt>
                <c:pt idx="636">
                  <c:v>45211</c:v>
                </c:pt>
                <c:pt idx="637">
                  <c:v>45212</c:v>
                </c:pt>
                <c:pt idx="638">
                  <c:v>45213</c:v>
                </c:pt>
                <c:pt idx="639">
                  <c:v>45214</c:v>
                </c:pt>
                <c:pt idx="640">
                  <c:v>45215</c:v>
                </c:pt>
                <c:pt idx="641">
                  <c:v>45216</c:v>
                </c:pt>
                <c:pt idx="642">
                  <c:v>45217</c:v>
                </c:pt>
                <c:pt idx="643">
                  <c:v>45218</c:v>
                </c:pt>
                <c:pt idx="644">
                  <c:v>45219</c:v>
                </c:pt>
                <c:pt idx="645">
                  <c:v>45220</c:v>
                </c:pt>
                <c:pt idx="646">
                  <c:v>45221</c:v>
                </c:pt>
                <c:pt idx="647">
                  <c:v>45222</c:v>
                </c:pt>
                <c:pt idx="648">
                  <c:v>45223</c:v>
                </c:pt>
                <c:pt idx="649">
                  <c:v>45224</c:v>
                </c:pt>
                <c:pt idx="650">
                  <c:v>45225</c:v>
                </c:pt>
                <c:pt idx="651">
                  <c:v>45226</c:v>
                </c:pt>
                <c:pt idx="652">
                  <c:v>45227</c:v>
                </c:pt>
                <c:pt idx="653">
                  <c:v>45228</c:v>
                </c:pt>
                <c:pt idx="654">
                  <c:v>45229</c:v>
                </c:pt>
                <c:pt idx="655">
                  <c:v>45230</c:v>
                </c:pt>
                <c:pt idx="656">
                  <c:v>45231</c:v>
                </c:pt>
                <c:pt idx="657">
                  <c:v>45232</c:v>
                </c:pt>
                <c:pt idx="658">
                  <c:v>45233</c:v>
                </c:pt>
                <c:pt idx="659">
                  <c:v>45234</c:v>
                </c:pt>
                <c:pt idx="660">
                  <c:v>45235</c:v>
                </c:pt>
                <c:pt idx="661">
                  <c:v>45236</c:v>
                </c:pt>
                <c:pt idx="662">
                  <c:v>45237</c:v>
                </c:pt>
                <c:pt idx="663">
                  <c:v>45238</c:v>
                </c:pt>
                <c:pt idx="664">
                  <c:v>45239</c:v>
                </c:pt>
                <c:pt idx="665">
                  <c:v>45240</c:v>
                </c:pt>
                <c:pt idx="666">
                  <c:v>45241</c:v>
                </c:pt>
                <c:pt idx="667">
                  <c:v>45242</c:v>
                </c:pt>
                <c:pt idx="668">
                  <c:v>45243</c:v>
                </c:pt>
                <c:pt idx="669">
                  <c:v>45244</c:v>
                </c:pt>
                <c:pt idx="670">
                  <c:v>45245</c:v>
                </c:pt>
                <c:pt idx="671">
                  <c:v>45246</c:v>
                </c:pt>
                <c:pt idx="672">
                  <c:v>45247</c:v>
                </c:pt>
                <c:pt idx="673">
                  <c:v>45248</c:v>
                </c:pt>
                <c:pt idx="674">
                  <c:v>45249</c:v>
                </c:pt>
                <c:pt idx="675">
                  <c:v>45250</c:v>
                </c:pt>
                <c:pt idx="676">
                  <c:v>45251</c:v>
                </c:pt>
                <c:pt idx="677">
                  <c:v>45252</c:v>
                </c:pt>
                <c:pt idx="678">
                  <c:v>45253</c:v>
                </c:pt>
                <c:pt idx="679">
                  <c:v>45254</c:v>
                </c:pt>
                <c:pt idx="680">
                  <c:v>45255</c:v>
                </c:pt>
                <c:pt idx="681">
                  <c:v>45256</c:v>
                </c:pt>
                <c:pt idx="682">
                  <c:v>45257</c:v>
                </c:pt>
                <c:pt idx="683">
                  <c:v>45258</c:v>
                </c:pt>
                <c:pt idx="684">
                  <c:v>45259</c:v>
                </c:pt>
                <c:pt idx="685">
                  <c:v>45260</c:v>
                </c:pt>
                <c:pt idx="686">
                  <c:v>45261</c:v>
                </c:pt>
                <c:pt idx="687">
                  <c:v>45262</c:v>
                </c:pt>
                <c:pt idx="688">
                  <c:v>45263</c:v>
                </c:pt>
                <c:pt idx="689">
                  <c:v>45264</c:v>
                </c:pt>
                <c:pt idx="690">
                  <c:v>45265</c:v>
                </c:pt>
                <c:pt idx="691">
                  <c:v>45266</c:v>
                </c:pt>
                <c:pt idx="692">
                  <c:v>45267</c:v>
                </c:pt>
                <c:pt idx="693">
                  <c:v>45268</c:v>
                </c:pt>
                <c:pt idx="694">
                  <c:v>45269</c:v>
                </c:pt>
                <c:pt idx="695">
                  <c:v>45270</c:v>
                </c:pt>
                <c:pt idx="696">
                  <c:v>45271</c:v>
                </c:pt>
                <c:pt idx="697">
                  <c:v>45272</c:v>
                </c:pt>
                <c:pt idx="698">
                  <c:v>45273</c:v>
                </c:pt>
                <c:pt idx="699">
                  <c:v>45274</c:v>
                </c:pt>
                <c:pt idx="700">
                  <c:v>45275</c:v>
                </c:pt>
                <c:pt idx="701">
                  <c:v>45276</c:v>
                </c:pt>
                <c:pt idx="702">
                  <c:v>45277</c:v>
                </c:pt>
                <c:pt idx="703">
                  <c:v>45278</c:v>
                </c:pt>
                <c:pt idx="704">
                  <c:v>45279</c:v>
                </c:pt>
                <c:pt idx="705">
                  <c:v>45280</c:v>
                </c:pt>
                <c:pt idx="706">
                  <c:v>45281</c:v>
                </c:pt>
                <c:pt idx="707">
                  <c:v>45282</c:v>
                </c:pt>
                <c:pt idx="708">
                  <c:v>45283</c:v>
                </c:pt>
                <c:pt idx="709">
                  <c:v>45284</c:v>
                </c:pt>
                <c:pt idx="710">
                  <c:v>45285</c:v>
                </c:pt>
                <c:pt idx="711">
                  <c:v>45286</c:v>
                </c:pt>
                <c:pt idx="712">
                  <c:v>45287</c:v>
                </c:pt>
                <c:pt idx="713">
                  <c:v>45288</c:v>
                </c:pt>
                <c:pt idx="714">
                  <c:v>45289</c:v>
                </c:pt>
                <c:pt idx="715">
                  <c:v>45290</c:v>
                </c:pt>
                <c:pt idx="716">
                  <c:v>45291</c:v>
                </c:pt>
                <c:pt idx="717">
                  <c:v>45292</c:v>
                </c:pt>
                <c:pt idx="718">
                  <c:v>45293</c:v>
                </c:pt>
                <c:pt idx="719">
                  <c:v>45294</c:v>
                </c:pt>
                <c:pt idx="720">
                  <c:v>45295</c:v>
                </c:pt>
                <c:pt idx="721">
                  <c:v>45296</c:v>
                </c:pt>
                <c:pt idx="722">
                  <c:v>45297</c:v>
                </c:pt>
                <c:pt idx="723">
                  <c:v>45298</c:v>
                </c:pt>
                <c:pt idx="724">
                  <c:v>45299</c:v>
                </c:pt>
                <c:pt idx="725">
                  <c:v>45300</c:v>
                </c:pt>
                <c:pt idx="726">
                  <c:v>45301</c:v>
                </c:pt>
                <c:pt idx="727">
                  <c:v>45302</c:v>
                </c:pt>
                <c:pt idx="728">
                  <c:v>45303</c:v>
                </c:pt>
                <c:pt idx="729">
                  <c:v>45304</c:v>
                </c:pt>
                <c:pt idx="730">
                  <c:v>45305</c:v>
                </c:pt>
                <c:pt idx="731">
                  <c:v>45306</c:v>
                </c:pt>
                <c:pt idx="732">
                  <c:v>45307</c:v>
                </c:pt>
                <c:pt idx="733">
                  <c:v>45308</c:v>
                </c:pt>
                <c:pt idx="734">
                  <c:v>45309</c:v>
                </c:pt>
                <c:pt idx="735">
                  <c:v>45310</c:v>
                </c:pt>
                <c:pt idx="736">
                  <c:v>45311</c:v>
                </c:pt>
                <c:pt idx="737">
                  <c:v>45312</c:v>
                </c:pt>
                <c:pt idx="738">
                  <c:v>45313</c:v>
                </c:pt>
                <c:pt idx="739">
                  <c:v>45314</c:v>
                </c:pt>
                <c:pt idx="740">
                  <c:v>45315</c:v>
                </c:pt>
                <c:pt idx="741">
                  <c:v>45316</c:v>
                </c:pt>
                <c:pt idx="742">
                  <c:v>45317</c:v>
                </c:pt>
                <c:pt idx="743">
                  <c:v>45318</c:v>
                </c:pt>
                <c:pt idx="744">
                  <c:v>45319</c:v>
                </c:pt>
                <c:pt idx="745">
                  <c:v>45320</c:v>
                </c:pt>
                <c:pt idx="746">
                  <c:v>45321</c:v>
                </c:pt>
                <c:pt idx="747">
                  <c:v>45322</c:v>
                </c:pt>
                <c:pt idx="748">
                  <c:v>45323</c:v>
                </c:pt>
                <c:pt idx="749">
                  <c:v>45324</c:v>
                </c:pt>
                <c:pt idx="750">
                  <c:v>45325</c:v>
                </c:pt>
                <c:pt idx="751">
                  <c:v>45326</c:v>
                </c:pt>
                <c:pt idx="752">
                  <c:v>45327</c:v>
                </c:pt>
                <c:pt idx="753">
                  <c:v>45328</c:v>
                </c:pt>
                <c:pt idx="754">
                  <c:v>45329</c:v>
                </c:pt>
                <c:pt idx="755">
                  <c:v>45330</c:v>
                </c:pt>
                <c:pt idx="756">
                  <c:v>45331</c:v>
                </c:pt>
                <c:pt idx="757">
                  <c:v>45332</c:v>
                </c:pt>
                <c:pt idx="758">
                  <c:v>45333</c:v>
                </c:pt>
                <c:pt idx="759">
                  <c:v>45334</c:v>
                </c:pt>
                <c:pt idx="760">
                  <c:v>45335</c:v>
                </c:pt>
                <c:pt idx="761">
                  <c:v>45336</c:v>
                </c:pt>
                <c:pt idx="762">
                  <c:v>45337</c:v>
                </c:pt>
                <c:pt idx="763">
                  <c:v>45338</c:v>
                </c:pt>
                <c:pt idx="764">
                  <c:v>45339</c:v>
                </c:pt>
                <c:pt idx="765">
                  <c:v>45340</c:v>
                </c:pt>
                <c:pt idx="766">
                  <c:v>45341</c:v>
                </c:pt>
                <c:pt idx="767">
                  <c:v>45342</c:v>
                </c:pt>
                <c:pt idx="768">
                  <c:v>45343</c:v>
                </c:pt>
                <c:pt idx="769">
                  <c:v>45344</c:v>
                </c:pt>
                <c:pt idx="770">
                  <c:v>45345</c:v>
                </c:pt>
                <c:pt idx="771">
                  <c:v>45346</c:v>
                </c:pt>
                <c:pt idx="772">
                  <c:v>45347</c:v>
                </c:pt>
                <c:pt idx="773">
                  <c:v>45348</c:v>
                </c:pt>
                <c:pt idx="774">
                  <c:v>45349</c:v>
                </c:pt>
                <c:pt idx="775">
                  <c:v>45350</c:v>
                </c:pt>
                <c:pt idx="776">
                  <c:v>45351</c:v>
                </c:pt>
                <c:pt idx="777">
                  <c:v>45352</c:v>
                </c:pt>
                <c:pt idx="778">
                  <c:v>45353</c:v>
                </c:pt>
                <c:pt idx="779">
                  <c:v>45354</c:v>
                </c:pt>
                <c:pt idx="780">
                  <c:v>45355</c:v>
                </c:pt>
                <c:pt idx="781">
                  <c:v>45356</c:v>
                </c:pt>
                <c:pt idx="782">
                  <c:v>45357</c:v>
                </c:pt>
                <c:pt idx="783">
                  <c:v>45358</c:v>
                </c:pt>
                <c:pt idx="784">
                  <c:v>45359</c:v>
                </c:pt>
                <c:pt idx="785">
                  <c:v>45360</c:v>
                </c:pt>
                <c:pt idx="786">
                  <c:v>45361</c:v>
                </c:pt>
                <c:pt idx="787">
                  <c:v>45362</c:v>
                </c:pt>
                <c:pt idx="788">
                  <c:v>45363</c:v>
                </c:pt>
                <c:pt idx="789">
                  <c:v>45364</c:v>
                </c:pt>
                <c:pt idx="790">
                  <c:v>45365</c:v>
                </c:pt>
                <c:pt idx="791">
                  <c:v>45366</c:v>
                </c:pt>
                <c:pt idx="792">
                  <c:v>45367</c:v>
                </c:pt>
                <c:pt idx="793">
                  <c:v>45368</c:v>
                </c:pt>
                <c:pt idx="794">
                  <c:v>45369</c:v>
                </c:pt>
                <c:pt idx="795">
                  <c:v>45370</c:v>
                </c:pt>
                <c:pt idx="796">
                  <c:v>45371</c:v>
                </c:pt>
                <c:pt idx="797">
                  <c:v>45372</c:v>
                </c:pt>
                <c:pt idx="798">
                  <c:v>45373</c:v>
                </c:pt>
                <c:pt idx="799">
                  <c:v>45374</c:v>
                </c:pt>
                <c:pt idx="800">
                  <c:v>45375</c:v>
                </c:pt>
                <c:pt idx="801">
                  <c:v>45376</c:v>
                </c:pt>
                <c:pt idx="802">
                  <c:v>45377</c:v>
                </c:pt>
                <c:pt idx="803">
                  <c:v>45378</c:v>
                </c:pt>
                <c:pt idx="804">
                  <c:v>45379</c:v>
                </c:pt>
                <c:pt idx="805">
                  <c:v>45380</c:v>
                </c:pt>
                <c:pt idx="806">
                  <c:v>45381</c:v>
                </c:pt>
                <c:pt idx="807">
                  <c:v>45382</c:v>
                </c:pt>
                <c:pt idx="808">
                  <c:v>45383</c:v>
                </c:pt>
                <c:pt idx="809">
                  <c:v>45384</c:v>
                </c:pt>
                <c:pt idx="810">
                  <c:v>45385</c:v>
                </c:pt>
                <c:pt idx="811">
                  <c:v>45386</c:v>
                </c:pt>
                <c:pt idx="812">
                  <c:v>45387</c:v>
                </c:pt>
                <c:pt idx="813">
                  <c:v>45388</c:v>
                </c:pt>
                <c:pt idx="814">
                  <c:v>45389</c:v>
                </c:pt>
                <c:pt idx="815">
                  <c:v>45390</c:v>
                </c:pt>
                <c:pt idx="816">
                  <c:v>45391</c:v>
                </c:pt>
                <c:pt idx="817">
                  <c:v>45392</c:v>
                </c:pt>
                <c:pt idx="818">
                  <c:v>45393</c:v>
                </c:pt>
                <c:pt idx="819">
                  <c:v>45394</c:v>
                </c:pt>
                <c:pt idx="820">
                  <c:v>45395</c:v>
                </c:pt>
                <c:pt idx="821">
                  <c:v>45396</c:v>
                </c:pt>
                <c:pt idx="822">
                  <c:v>45397</c:v>
                </c:pt>
                <c:pt idx="823">
                  <c:v>45398</c:v>
                </c:pt>
                <c:pt idx="824">
                  <c:v>45399</c:v>
                </c:pt>
                <c:pt idx="825">
                  <c:v>45400</c:v>
                </c:pt>
                <c:pt idx="826">
                  <c:v>45401</c:v>
                </c:pt>
                <c:pt idx="827">
                  <c:v>45402</c:v>
                </c:pt>
                <c:pt idx="828">
                  <c:v>45403</c:v>
                </c:pt>
                <c:pt idx="829">
                  <c:v>45404</c:v>
                </c:pt>
                <c:pt idx="830">
                  <c:v>45405</c:v>
                </c:pt>
                <c:pt idx="831">
                  <c:v>45406</c:v>
                </c:pt>
                <c:pt idx="832">
                  <c:v>45407</c:v>
                </c:pt>
                <c:pt idx="833">
                  <c:v>45408</c:v>
                </c:pt>
                <c:pt idx="834">
                  <c:v>45409</c:v>
                </c:pt>
                <c:pt idx="835">
                  <c:v>45410</c:v>
                </c:pt>
                <c:pt idx="836">
                  <c:v>45411</c:v>
                </c:pt>
                <c:pt idx="837">
                  <c:v>45412</c:v>
                </c:pt>
                <c:pt idx="838">
                  <c:v>45413</c:v>
                </c:pt>
                <c:pt idx="839">
                  <c:v>45414</c:v>
                </c:pt>
                <c:pt idx="840">
                  <c:v>45415</c:v>
                </c:pt>
                <c:pt idx="841">
                  <c:v>45416</c:v>
                </c:pt>
                <c:pt idx="842">
                  <c:v>45417</c:v>
                </c:pt>
                <c:pt idx="843">
                  <c:v>45418</c:v>
                </c:pt>
                <c:pt idx="844">
                  <c:v>45419</c:v>
                </c:pt>
                <c:pt idx="845">
                  <c:v>45420</c:v>
                </c:pt>
                <c:pt idx="846">
                  <c:v>45421</c:v>
                </c:pt>
                <c:pt idx="847">
                  <c:v>45422</c:v>
                </c:pt>
                <c:pt idx="848">
                  <c:v>45423</c:v>
                </c:pt>
                <c:pt idx="849">
                  <c:v>45424</c:v>
                </c:pt>
                <c:pt idx="850">
                  <c:v>45425</c:v>
                </c:pt>
                <c:pt idx="851">
                  <c:v>45426</c:v>
                </c:pt>
                <c:pt idx="852">
                  <c:v>45427</c:v>
                </c:pt>
                <c:pt idx="853">
                  <c:v>45428</c:v>
                </c:pt>
                <c:pt idx="854">
                  <c:v>45429</c:v>
                </c:pt>
                <c:pt idx="855">
                  <c:v>45430</c:v>
                </c:pt>
                <c:pt idx="856">
                  <c:v>45431</c:v>
                </c:pt>
                <c:pt idx="857">
                  <c:v>45432</c:v>
                </c:pt>
                <c:pt idx="858">
                  <c:v>45433</c:v>
                </c:pt>
                <c:pt idx="859">
                  <c:v>45434</c:v>
                </c:pt>
                <c:pt idx="860">
                  <c:v>45435</c:v>
                </c:pt>
                <c:pt idx="861">
                  <c:v>45436</c:v>
                </c:pt>
                <c:pt idx="862">
                  <c:v>45437</c:v>
                </c:pt>
                <c:pt idx="863">
                  <c:v>45438</c:v>
                </c:pt>
                <c:pt idx="864">
                  <c:v>45439</c:v>
                </c:pt>
                <c:pt idx="865">
                  <c:v>45440</c:v>
                </c:pt>
                <c:pt idx="866">
                  <c:v>45441</c:v>
                </c:pt>
                <c:pt idx="867">
                  <c:v>45442</c:v>
                </c:pt>
                <c:pt idx="868">
                  <c:v>45443</c:v>
                </c:pt>
                <c:pt idx="869">
                  <c:v>45444</c:v>
                </c:pt>
                <c:pt idx="870">
                  <c:v>45445</c:v>
                </c:pt>
                <c:pt idx="871">
                  <c:v>45446</c:v>
                </c:pt>
                <c:pt idx="872">
                  <c:v>45447</c:v>
                </c:pt>
                <c:pt idx="873">
                  <c:v>45448</c:v>
                </c:pt>
                <c:pt idx="874">
                  <c:v>45449</c:v>
                </c:pt>
                <c:pt idx="875">
                  <c:v>45450</c:v>
                </c:pt>
                <c:pt idx="876">
                  <c:v>45451</c:v>
                </c:pt>
                <c:pt idx="877">
                  <c:v>45452</c:v>
                </c:pt>
                <c:pt idx="878">
                  <c:v>45453</c:v>
                </c:pt>
                <c:pt idx="879">
                  <c:v>45454</c:v>
                </c:pt>
                <c:pt idx="880">
                  <c:v>45455</c:v>
                </c:pt>
                <c:pt idx="881">
                  <c:v>45456</c:v>
                </c:pt>
                <c:pt idx="882">
                  <c:v>45457</c:v>
                </c:pt>
                <c:pt idx="883">
                  <c:v>45458</c:v>
                </c:pt>
                <c:pt idx="884">
                  <c:v>45459</c:v>
                </c:pt>
                <c:pt idx="885">
                  <c:v>45460</c:v>
                </c:pt>
                <c:pt idx="886">
                  <c:v>45461</c:v>
                </c:pt>
                <c:pt idx="887">
                  <c:v>45462</c:v>
                </c:pt>
                <c:pt idx="888">
                  <c:v>45463</c:v>
                </c:pt>
                <c:pt idx="889">
                  <c:v>45464</c:v>
                </c:pt>
                <c:pt idx="890">
                  <c:v>45465</c:v>
                </c:pt>
                <c:pt idx="891">
                  <c:v>45466</c:v>
                </c:pt>
                <c:pt idx="892">
                  <c:v>45467</c:v>
                </c:pt>
                <c:pt idx="893">
                  <c:v>45468</c:v>
                </c:pt>
                <c:pt idx="894">
                  <c:v>45469</c:v>
                </c:pt>
                <c:pt idx="895">
                  <c:v>45470</c:v>
                </c:pt>
                <c:pt idx="896">
                  <c:v>45471</c:v>
                </c:pt>
                <c:pt idx="897">
                  <c:v>45472</c:v>
                </c:pt>
                <c:pt idx="898">
                  <c:v>45473</c:v>
                </c:pt>
                <c:pt idx="899">
                  <c:v>45474</c:v>
                </c:pt>
                <c:pt idx="900">
                  <c:v>45475</c:v>
                </c:pt>
                <c:pt idx="901">
                  <c:v>45476</c:v>
                </c:pt>
                <c:pt idx="902">
                  <c:v>45477</c:v>
                </c:pt>
                <c:pt idx="903">
                  <c:v>45478</c:v>
                </c:pt>
                <c:pt idx="904">
                  <c:v>45479</c:v>
                </c:pt>
                <c:pt idx="905">
                  <c:v>45480</c:v>
                </c:pt>
                <c:pt idx="906">
                  <c:v>45481</c:v>
                </c:pt>
                <c:pt idx="907">
                  <c:v>45482</c:v>
                </c:pt>
                <c:pt idx="908">
                  <c:v>45483</c:v>
                </c:pt>
                <c:pt idx="909">
                  <c:v>45484</c:v>
                </c:pt>
                <c:pt idx="910">
                  <c:v>45485</c:v>
                </c:pt>
                <c:pt idx="911">
                  <c:v>45486</c:v>
                </c:pt>
                <c:pt idx="912">
                  <c:v>45487</c:v>
                </c:pt>
                <c:pt idx="913">
                  <c:v>45488</c:v>
                </c:pt>
                <c:pt idx="914">
                  <c:v>45489</c:v>
                </c:pt>
                <c:pt idx="915">
                  <c:v>45490</c:v>
                </c:pt>
                <c:pt idx="916">
                  <c:v>45491</c:v>
                </c:pt>
                <c:pt idx="917">
                  <c:v>45492</c:v>
                </c:pt>
                <c:pt idx="918">
                  <c:v>45493</c:v>
                </c:pt>
                <c:pt idx="919">
                  <c:v>45494</c:v>
                </c:pt>
                <c:pt idx="920">
                  <c:v>45495</c:v>
                </c:pt>
                <c:pt idx="921">
                  <c:v>45496</c:v>
                </c:pt>
                <c:pt idx="922">
                  <c:v>45497</c:v>
                </c:pt>
                <c:pt idx="923">
                  <c:v>45498</c:v>
                </c:pt>
                <c:pt idx="924">
                  <c:v>45499</c:v>
                </c:pt>
                <c:pt idx="925">
                  <c:v>45500</c:v>
                </c:pt>
                <c:pt idx="926">
                  <c:v>45501</c:v>
                </c:pt>
                <c:pt idx="927">
                  <c:v>45502</c:v>
                </c:pt>
                <c:pt idx="928">
                  <c:v>45503</c:v>
                </c:pt>
                <c:pt idx="929">
                  <c:v>45504</c:v>
                </c:pt>
                <c:pt idx="930">
                  <c:v>45505</c:v>
                </c:pt>
                <c:pt idx="931">
                  <c:v>45506</c:v>
                </c:pt>
                <c:pt idx="932">
                  <c:v>45507</c:v>
                </c:pt>
                <c:pt idx="933">
                  <c:v>45508</c:v>
                </c:pt>
                <c:pt idx="934">
                  <c:v>45509</c:v>
                </c:pt>
                <c:pt idx="935">
                  <c:v>45510</c:v>
                </c:pt>
                <c:pt idx="936">
                  <c:v>45511</c:v>
                </c:pt>
                <c:pt idx="937">
                  <c:v>45512</c:v>
                </c:pt>
                <c:pt idx="938">
                  <c:v>45513</c:v>
                </c:pt>
                <c:pt idx="939">
                  <c:v>45514</c:v>
                </c:pt>
                <c:pt idx="940">
                  <c:v>45515</c:v>
                </c:pt>
                <c:pt idx="941">
                  <c:v>45516</c:v>
                </c:pt>
                <c:pt idx="942">
                  <c:v>45517</c:v>
                </c:pt>
                <c:pt idx="943">
                  <c:v>45518</c:v>
                </c:pt>
                <c:pt idx="944">
                  <c:v>45519</c:v>
                </c:pt>
                <c:pt idx="945">
                  <c:v>45520</c:v>
                </c:pt>
                <c:pt idx="946">
                  <c:v>45521</c:v>
                </c:pt>
                <c:pt idx="947">
                  <c:v>45522</c:v>
                </c:pt>
                <c:pt idx="948">
                  <c:v>45523</c:v>
                </c:pt>
                <c:pt idx="949">
                  <c:v>45524</c:v>
                </c:pt>
                <c:pt idx="950">
                  <c:v>45525</c:v>
                </c:pt>
                <c:pt idx="951">
                  <c:v>45526</c:v>
                </c:pt>
                <c:pt idx="952">
                  <c:v>45527</c:v>
                </c:pt>
                <c:pt idx="953">
                  <c:v>45528</c:v>
                </c:pt>
                <c:pt idx="954">
                  <c:v>45529</c:v>
                </c:pt>
                <c:pt idx="955">
                  <c:v>45530</c:v>
                </c:pt>
                <c:pt idx="956">
                  <c:v>45531</c:v>
                </c:pt>
                <c:pt idx="957">
                  <c:v>45532</c:v>
                </c:pt>
                <c:pt idx="958">
                  <c:v>45533</c:v>
                </c:pt>
                <c:pt idx="959">
                  <c:v>45534</c:v>
                </c:pt>
                <c:pt idx="960">
                  <c:v>45535</c:v>
                </c:pt>
                <c:pt idx="961">
                  <c:v>45536</c:v>
                </c:pt>
                <c:pt idx="962">
                  <c:v>45537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45542</c:v>
                </c:pt>
                <c:pt idx="968">
                  <c:v>45543</c:v>
                </c:pt>
                <c:pt idx="969">
                  <c:v>45544</c:v>
                </c:pt>
                <c:pt idx="970">
                  <c:v>45545</c:v>
                </c:pt>
                <c:pt idx="971">
                  <c:v>45546</c:v>
                </c:pt>
                <c:pt idx="972">
                  <c:v>45547</c:v>
                </c:pt>
                <c:pt idx="973">
                  <c:v>45548</c:v>
                </c:pt>
                <c:pt idx="974">
                  <c:v>45549</c:v>
                </c:pt>
                <c:pt idx="975">
                  <c:v>45550</c:v>
                </c:pt>
                <c:pt idx="976">
                  <c:v>45551</c:v>
                </c:pt>
                <c:pt idx="977">
                  <c:v>45552</c:v>
                </c:pt>
                <c:pt idx="978">
                  <c:v>45553</c:v>
                </c:pt>
                <c:pt idx="979">
                  <c:v>45554</c:v>
                </c:pt>
                <c:pt idx="980">
                  <c:v>45555</c:v>
                </c:pt>
                <c:pt idx="981">
                  <c:v>45556</c:v>
                </c:pt>
                <c:pt idx="982">
                  <c:v>45557</c:v>
                </c:pt>
                <c:pt idx="983">
                  <c:v>45558</c:v>
                </c:pt>
                <c:pt idx="984">
                  <c:v>45559</c:v>
                </c:pt>
                <c:pt idx="985">
                  <c:v>45560</c:v>
                </c:pt>
                <c:pt idx="986">
                  <c:v>45561</c:v>
                </c:pt>
                <c:pt idx="987">
                  <c:v>45562</c:v>
                </c:pt>
                <c:pt idx="988">
                  <c:v>45563</c:v>
                </c:pt>
                <c:pt idx="989">
                  <c:v>45564</c:v>
                </c:pt>
                <c:pt idx="990">
                  <c:v>45565</c:v>
                </c:pt>
                <c:pt idx="991">
                  <c:v>45566</c:v>
                </c:pt>
                <c:pt idx="992">
                  <c:v>45567</c:v>
                </c:pt>
                <c:pt idx="993">
                  <c:v>45568</c:v>
                </c:pt>
                <c:pt idx="994">
                  <c:v>45569</c:v>
                </c:pt>
                <c:pt idx="995">
                  <c:v>45570</c:v>
                </c:pt>
                <c:pt idx="996">
                  <c:v>45571</c:v>
                </c:pt>
                <c:pt idx="997">
                  <c:v>45572</c:v>
                </c:pt>
                <c:pt idx="998">
                  <c:v>45573</c:v>
                </c:pt>
                <c:pt idx="999">
                  <c:v>45574</c:v>
                </c:pt>
                <c:pt idx="1000">
                  <c:v>45575</c:v>
                </c:pt>
                <c:pt idx="1001">
                  <c:v>45576</c:v>
                </c:pt>
                <c:pt idx="1002">
                  <c:v>45577</c:v>
                </c:pt>
                <c:pt idx="1003">
                  <c:v>45578</c:v>
                </c:pt>
                <c:pt idx="1004">
                  <c:v>45579</c:v>
                </c:pt>
                <c:pt idx="1005">
                  <c:v>45580</c:v>
                </c:pt>
                <c:pt idx="1006">
                  <c:v>45581</c:v>
                </c:pt>
                <c:pt idx="1007">
                  <c:v>45582</c:v>
                </c:pt>
                <c:pt idx="1008">
                  <c:v>45583</c:v>
                </c:pt>
                <c:pt idx="1009">
                  <c:v>45584</c:v>
                </c:pt>
                <c:pt idx="1010">
                  <c:v>45585</c:v>
                </c:pt>
                <c:pt idx="1011">
                  <c:v>45586</c:v>
                </c:pt>
                <c:pt idx="1012">
                  <c:v>45587</c:v>
                </c:pt>
                <c:pt idx="1013">
                  <c:v>45588</c:v>
                </c:pt>
                <c:pt idx="1014">
                  <c:v>45589</c:v>
                </c:pt>
                <c:pt idx="1015">
                  <c:v>45590</c:v>
                </c:pt>
                <c:pt idx="1016">
                  <c:v>45591</c:v>
                </c:pt>
                <c:pt idx="1017">
                  <c:v>45592</c:v>
                </c:pt>
                <c:pt idx="1018">
                  <c:v>45593</c:v>
                </c:pt>
                <c:pt idx="1019">
                  <c:v>45594</c:v>
                </c:pt>
                <c:pt idx="1020">
                  <c:v>45595</c:v>
                </c:pt>
                <c:pt idx="1021">
                  <c:v>45596</c:v>
                </c:pt>
                <c:pt idx="1022">
                  <c:v>45597</c:v>
                </c:pt>
                <c:pt idx="1023">
                  <c:v>45598</c:v>
                </c:pt>
                <c:pt idx="1024">
                  <c:v>45599</c:v>
                </c:pt>
                <c:pt idx="1025">
                  <c:v>45600</c:v>
                </c:pt>
                <c:pt idx="1026">
                  <c:v>45601</c:v>
                </c:pt>
                <c:pt idx="1027">
                  <c:v>45602</c:v>
                </c:pt>
                <c:pt idx="1028">
                  <c:v>45603</c:v>
                </c:pt>
                <c:pt idx="1029">
                  <c:v>45604</c:v>
                </c:pt>
                <c:pt idx="1030">
                  <c:v>45605</c:v>
                </c:pt>
                <c:pt idx="1031">
                  <c:v>45606</c:v>
                </c:pt>
                <c:pt idx="1032">
                  <c:v>45607</c:v>
                </c:pt>
                <c:pt idx="1033">
                  <c:v>45608</c:v>
                </c:pt>
                <c:pt idx="1034">
                  <c:v>45609</c:v>
                </c:pt>
                <c:pt idx="1035">
                  <c:v>45610</c:v>
                </c:pt>
                <c:pt idx="1036">
                  <c:v>45611</c:v>
                </c:pt>
                <c:pt idx="1037">
                  <c:v>45612</c:v>
                </c:pt>
                <c:pt idx="1038">
                  <c:v>45613</c:v>
                </c:pt>
                <c:pt idx="1039">
                  <c:v>45614</c:v>
                </c:pt>
                <c:pt idx="1040">
                  <c:v>45615</c:v>
                </c:pt>
                <c:pt idx="1041">
                  <c:v>45616</c:v>
                </c:pt>
                <c:pt idx="1042">
                  <c:v>45617</c:v>
                </c:pt>
                <c:pt idx="1043">
                  <c:v>45618</c:v>
                </c:pt>
                <c:pt idx="1044">
                  <c:v>45619</c:v>
                </c:pt>
                <c:pt idx="1045">
                  <c:v>45620</c:v>
                </c:pt>
                <c:pt idx="1046">
                  <c:v>45621</c:v>
                </c:pt>
                <c:pt idx="1047">
                  <c:v>45622</c:v>
                </c:pt>
                <c:pt idx="1048">
                  <c:v>45623</c:v>
                </c:pt>
                <c:pt idx="1049">
                  <c:v>45624</c:v>
                </c:pt>
                <c:pt idx="1050">
                  <c:v>45625</c:v>
                </c:pt>
                <c:pt idx="1051">
                  <c:v>45626</c:v>
                </c:pt>
                <c:pt idx="1052">
                  <c:v>45627</c:v>
                </c:pt>
                <c:pt idx="1053">
                  <c:v>45628</c:v>
                </c:pt>
                <c:pt idx="1054">
                  <c:v>45629</c:v>
                </c:pt>
                <c:pt idx="1055">
                  <c:v>45630</c:v>
                </c:pt>
                <c:pt idx="1056">
                  <c:v>45631</c:v>
                </c:pt>
                <c:pt idx="1057">
                  <c:v>45632</c:v>
                </c:pt>
                <c:pt idx="1058">
                  <c:v>45633</c:v>
                </c:pt>
                <c:pt idx="1059">
                  <c:v>45634</c:v>
                </c:pt>
                <c:pt idx="1060">
                  <c:v>45635</c:v>
                </c:pt>
                <c:pt idx="1061">
                  <c:v>45636</c:v>
                </c:pt>
                <c:pt idx="1062">
                  <c:v>45637</c:v>
                </c:pt>
                <c:pt idx="1063">
                  <c:v>45638</c:v>
                </c:pt>
                <c:pt idx="1064">
                  <c:v>45639</c:v>
                </c:pt>
                <c:pt idx="1065">
                  <c:v>45640</c:v>
                </c:pt>
                <c:pt idx="1066">
                  <c:v>45641</c:v>
                </c:pt>
                <c:pt idx="1067">
                  <c:v>45642</c:v>
                </c:pt>
                <c:pt idx="1068">
                  <c:v>45643</c:v>
                </c:pt>
                <c:pt idx="1069">
                  <c:v>45644</c:v>
                </c:pt>
                <c:pt idx="1070">
                  <c:v>45645</c:v>
                </c:pt>
                <c:pt idx="1071">
                  <c:v>45646</c:v>
                </c:pt>
                <c:pt idx="1072">
                  <c:v>45647</c:v>
                </c:pt>
                <c:pt idx="1073">
                  <c:v>45648</c:v>
                </c:pt>
                <c:pt idx="1074">
                  <c:v>45649</c:v>
                </c:pt>
                <c:pt idx="1075">
                  <c:v>45650</c:v>
                </c:pt>
                <c:pt idx="1076">
                  <c:v>45651</c:v>
                </c:pt>
                <c:pt idx="1077">
                  <c:v>45652</c:v>
                </c:pt>
                <c:pt idx="1078">
                  <c:v>45653</c:v>
                </c:pt>
                <c:pt idx="1079">
                  <c:v>45654</c:v>
                </c:pt>
                <c:pt idx="1080">
                  <c:v>45655</c:v>
                </c:pt>
                <c:pt idx="1081">
                  <c:v>45656</c:v>
                </c:pt>
                <c:pt idx="1082">
                  <c:v>45657</c:v>
                </c:pt>
                <c:pt idx="1083">
                  <c:v>45658</c:v>
                </c:pt>
                <c:pt idx="1084">
                  <c:v>45659</c:v>
                </c:pt>
                <c:pt idx="1085">
                  <c:v>45660</c:v>
                </c:pt>
                <c:pt idx="1086">
                  <c:v>45661</c:v>
                </c:pt>
                <c:pt idx="1087">
                  <c:v>45662</c:v>
                </c:pt>
                <c:pt idx="1088">
                  <c:v>45663</c:v>
                </c:pt>
                <c:pt idx="1089">
                  <c:v>45664</c:v>
                </c:pt>
                <c:pt idx="1090">
                  <c:v>45665</c:v>
                </c:pt>
                <c:pt idx="1091">
                  <c:v>45666</c:v>
                </c:pt>
                <c:pt idx="1092">
                  <c:v>45667</c:v>
                </c:pt>
                <c:pt idx="1093">
                  <c:v>45668</c:v>
                </c:pt>
                <c:pt idx="1094">
                  <c:v>45669</c:v>
                </c:pt>
                <c:pt idx="1095">
                  <c:v>45670</c:v>
                </c:pt>
                <c:pt idx="1096">
                  <c:v>45671</c:v>
                </c:pt>
                <c:pt idx="1097">
                  <c:v>45672</c:v>
                </c:pt>
                <c:pt idx="1098">
                  <c:v>45673</c:v>
                </c:pt>
                <c:pt idx="1099">
                  <c:v>45674</c:v>
                </c:pt>
                <c:pt idx="1100">
                  <c:v>45675</c:v>
                </c:pt>
                <c:pt idx="1101">
                  <c:v>45676</c:v>
                </c:pt>
                <c:pt idx="1102">
                  <c:v>45677</c:v>
                </c:pt>
                <c:pt idx="1103">
                  <c:v>45678</c:v>
                </c:pt>
                <c:pt idx="1104">
                  <c:v>45679</c:v>
                </c:pt>
                <c:pt idx="1105">
                  <c:v>45680</c:v>
                </c:pt>
                <c:pt idx="1106">
                  <c:v>45681</c:v>
                </c:pt>
                <c:pt idx="1107">
                  <c:v>45682</c:v>
                </c:pt>
                <c:pt idx="1108">
                  <c:v>45683</c:v>
                </c:pt>
                <c:pt idx="1109">
                  <c:v>45684</c:v>
                </c:pt>
                <c:pt idx="1110">
                  <c:v>45685</c:v>
                </c:pt>
                <c:pt idx="1111">
                  <c:v>45686</c:v>
                </c:pt>
                <c:pt idx="1112">
                  <c:v>45687</c:v>
                </c:pt>
                <c:pt idx="1113">
                  <c:v>45688</c:v>
                </c:pt>
                <c:pt idx="1114">
                  <c:v>45689</c:v>
                </c:pt>
                <c:pt idx="1115">
                  <c:v>45690</c:v>
                </c:pt>
                <c:pt idx="1116">
                  <c:v>45691</c:v>
                </c:pt>
                <c:pt idx="1117">
                  <c:v>45692</c:v>
                </c:pt>
                <c:pt idx="1118">
                  <c:v>45693</c:v>
                </c:pt>
                <c:pt idx="1119">
                  <c:v>45694</c:v>
                </c:pt>
                <c:pt idx="1120">
                  <c:v>45695</c:v>
                </c:pt>
                <c:pt idx="1121">
                  <c:v>45696</c:v>
                </c:pt>
                <c:pt idx="1122">
                  <c:v>45697</c:v>
                </c:pt>
                <c:pt idx="1123">
                  <c:v>45698</c:v>
                </c:pt>
                <c:pt idx="1124">
                  <c:v>45699</c:v>
                </c:pt>
                <c:pt idx="1125">
                  <c:v>45700</c:v>
                </c:pt>
                <c:pt idx="1126">
                  <c:v>45701</c:v>
                </c:pt>
                <c:pt idx="1127">
                  <c:v>45702</c:v>
                </c:pt>
                <c:pt idx="1128">
                  <c:v>45703</c:v>
                </c:pt>
                <c:pt idx="1129">
                  <c:v>45704</c:v>
                </c:pt>
                <c:pt idx="1130">
                  <c:v>45705</c:v>
                </c:pt>
                <c:pt idx="1131">
                  <c:v>45706</c:v>
                </c:pt>
                <c:pt idx="1132">
                  <c:v>45707</c:v>
                </c:pt>
                <c:pt idx="1133">
                  <c:v>45708</c:v>
                </c:pt>
                <c:pt idx="1134">
                  <c:v>45709</c:v>
                </c:pt>
                <c:pt idx="1135">
                  <c:v>45710</c:v>
                </c:pt>
                <c:pt idx="1136">
                  <c:v>45711</c:v>
                </c:pt>
                <c:pt idx="1137">
                  <c:v>45712</c:v>
                </c:pt>
                <c:pt idx="1138">
                  <c:v>45713</c:v>
                </c:pt>
                <c:pt idx="1139">
                  <c:v>45714</c:v>
                </c:pt>
                <c:pt idx="1140">
                  <c:v>45715</c:v>
                </c:pt>
                <c:pt idx="1141">
                  <c:v>45716</c:v>
                </c:pt>
                <c:pt idx="1142">
                  <c:v>45717</c:v>
                </c:pt>
                <c:pt idx="1143">
                  <c:v>45718</c:v>
                </c:pt>
                <c:pt idx="1144">
                  <c:v>45719</c:v>
                </c:pt>
                <c:pt idx="1145">
                  <c:v>45720</c:v>
                </c:pt>
                <c:pt idx="1146">
                  <c:v>45721</c:v>
                </c:pt>
                <c:pt idx="1147">
                  <c:v>45722</c:v>
                </c:pt>
                <c:pt idx="1148">
                  <c:v>45723</c:v>
                </c:pt>
                <c:pt idx="1149">
                  <c:v>45724</c:v>
                </c:pt>
                <c:pt idx="1150">
                  <c:v>45725</c:v>
                </c:pt>
                <c:pt idx="1151">
                  <c:v>45726</c:v>
                </c:pt>
                <c:pt idx="1152">
                  <c:v>45727</c:v>
                </c:pt>
                <c:pt idx="1153">
                  <c:v>45728</c:v>
                </c:pt>
                <c:pt idx="1154">
                  <c:v>45729</c:v>
                </c:pt>
                <c:pt idx="1155">
                  <c:v>45730</c:v>
                </c:pt>
                <c:pt idx="1156">
                  <c:v>45731</c:v>
                </c:pt>
                <c:pt idx="1157">
                  <c:v>45732</c:v>
                </c:pt>
                <c:pt idx="1158">
                  <c:v>45733</c:v>
                </c:pt>
                <c:pt idx="1159">
                  <c:v>45734</c:v>
                </c:pt>
                <c:pt idx="1160">
                  <c:v>45735</c:v>
                </c:pt>
                <c:pt idx="1161">
                  <c:v>45736</c:v>
                </c:pt>
                <c:pt idx="1162">
                  <c:v>45737</c:v>
                </c:pt>
                <c:pt idx="1163">
                  <c:v>45738</c:v>
                </c:pt>
                <c:pt idx="1164">
                  <c:v>45739</c:v>
                </c:pt>
                <c:pt idx="1165">
                  <c:v>45740</c:v>
                </c:pt>
                <c:pt idx="1166">
                  <c:v>45741</c:v>
                </c:pt>
                <c:pt idx="1167">
                  <c:v>45742</c:v>
                </c:pt>
                <c:pt idx="1168">
                  <c:v>45743</c:v>
                </c:pt>
                <c:pt idx="1169">
                  <c:v>45744</c:v>
                </c:pt>
                <c:pt idx="1170">
                  <c:v>45745</c:v>
                </c:pt>
                <c:pt idx="1171">
                  <c:v>45746</c:v>
                </c:pt>
                <c:pt idx="1172">
                  <c:v>45747</c:v>
                </c:pt>
                <c:pt idx="1173">
                  <c:v>45748</c:v>
                </c:pt>
                <c:pt idx="1174">
                  <c:v>45749</c:v>
                </c:pt>
                <c:pt idx="1175">
                  <c:v>45750</c:v>
                </c:pt>
                <c:pt idx="1176">
                  <c:v>45751</c:v>
                </c:pt>
                <c:pt idx="1177">
                  <c:v>45752</c:v>
                </c:pt>
                <c:pt idx="1178">
                  <c:v>45753</c:v>
                </c:pt>
                <c:pt idx="1179">
                  <c:v>45754</c:v>
                </c:pt>
                <c:pt idx="1180">
                  <c:v>45755</c:v>
                </c:pt>
                <c:pt idx="1181">
                  <c:v>45756</c:v>
                </c:pt>
                <c:pt idx="1182">
                  <c:v>45757</c:v>
                </c:pt>
                <c:pt idx="1183">
                  <c:v>45758</c:v>
                </c:pt>
                <c:pt idx="1184">
                  <c:v>45759</c:v>
                </c:pt>
                <c:pt idx="1185">
                  <c:v>45760</c:v>
                </c:pt>
                <c:pt idx="1186">
                  <c:v>45761</c:v>
                </c:pt>
                <c:pt idx="1187">
                  <c:v>45762</c:v>
                </c:pt>
                <c:pt idx="1188">
                  <c:v>45763</c:v>
                </c:pt>
                <c:pt idx="1189">
                  <c:v>45764</c:v>
                </c:pt>
                <c:pt idx="1190">
                  <c:v>45765</c:v>
                </c:pt>
                <c:pt idx="1191">
                  <c:v>45766</c:v>
                </c:pt>
                <c:pt idx="1192">
                  <c:v>45767</c:v>
                </c:pt>
                <c:pt idx="1193">
                  <c:v>45768</c:v>
                </c:pt>
                <c:pt idx="1194">
                  <c:v>45769</c:v>
                </c:pt>
                <c:pt idx="1195">
                  <c:v>45770</c:v>
                </c:pt>
                <c:pt idx="1196">
                  <c:v>45771</c:v>
                </c:pt>
                <c:pt idx="1197">
                  <c:v>45772</c:v>
                </c:pt>
                <c:pt idx="1198">
                  <c:v>45773</c:v>
                </c:pt>
                <c:pt idx="1199">
                  <c:v>45774</c:v>
                </c:pt>
                <c:pt idx="1200">
                  <c:v>45775</c:v>
                </c:pt>
                <c:pt idx="1201">
                  <c:v>45776</c:v>
                </c:pt>
                <c:pt idx="1202">
                  <c:v>45777</c:v>
                </c:pt>
                <c:pt idx="1203">
                  <c:v>45778</c:v>
                </c:pt>
                <c:pt idx="1204">
                  <c:v>45779</c:v>
                </c:pt>
                <c:pt idx="1205">
                  <c:v>45780</c:v>
                </c:pt>
                <c:pt idx="1206">
                  <c:v>45781</c:v>
                </c:pt>
                <c:pt idx="1207">
                  <c:v>45782</c:v>
                </c:pt>
                <c:pt idx="1208">
                  <c:v>45783</c:v>
                </c:pt>
                <c:pt idx="1209">
                  <c:v>45784</c:v>
                </c:pt>
                <c:pt idx="1210">
                  <c:v>45785</c:v>
                </c:pt>
                <c:pt idx="1211">
                  <c:v>45786</c:v>
                </c:pt>
                <c:pt idx="1212">
                  <c:v>45787</c:v>
                </c:pt>
                <c:pt idx="1213">
                  <c:v>45788</c:v>
                </c:pt>
                <c:pt idx="1214">
                  <c:v>45789</c:v>
                </c:pt>
                <c:pt idx="1215">
                  <c:v>45790</c:v>
                </c:pt>
                <c:pt idx="1216">
                  <c:v>45791</c:v>
                </c:pt>
                <c:pt idx="1217">
                  <c:v>45792</c:v>
                </c:pt>
                <c:pt idx="1218">
                  <c:v>45793</c:v>
                </c:pt>
                <c:pt idx="1219">
                  <c:v>45794</c:v>
                </c:pt>
                <c:pt idx="1220">
                  <c:v>45795</c:v>
                </c:pt>
                <c:pt idx="1221">
                  <c:v>45796</c:v>
                </c:pt>
                <c:pt idx="1222">
                  <c:v>45797</c:v>
                </c:pt>
                <c:pt idx="1223">
                  <c:v>45798</c:v>
                </c:pt>
                <c:pt idx="1224">
                  <c:v>45799</c:v>
                </c:pt>
                <c:pt idx="1225">
                  <c:v>45800</c:v>
                </c:pt>
                <c:pt idx="1226">
                  <c:v>45801</c:v>
                </c:pt>
                <c:pt idx="1227">
                  <c:v>45802</c:v>
                </c:pt>
                <c:pt idx="1228">
                  <c:v>45803</c:v>
                </c:pt>
                <c:pt idx="1229">
                  <c:v>45804</c:v>
                </c:pt>
                <c:pt idx="1230">
                  <c:v>45805</c:v>
                </c:pt>
                <c:pt idx="1231">
                  <c:v>45806</c:v>
                </c:pt>
                <c:pt idx="1232">
                  <c:v>45807</c:v>
                </c:pt>
                <c:pt idx="1233">
                  <c:v>45808</c:v>
                </c:pt>
                <c:pt idx="1234">
                  <c:v>45809</c:v>
                </c:pt>
                <c:pt idx="1235">
                  <c:v>45810</c:v>
                </c:pt>
                <c:pt idx="1236">
                  <c:v>45811</c:v>
                </c:pt>
                <c:pt idx="1237">
                  <c:v>45812</c:v>
                </c:pt>
                <c:pt idx="1238">
                  <c:v>45813</c:v>
                </c:pt>
                <c:pt idx="1239">
                  <c:v>45814</c:v>
                </c:pt>
                <c:pt idx="1240">
                  <c:v>45815</c:v>
                </c:pt>
                <c:pt idx="1241">
                  <c:v>45816</c:v>
                </c:pt>
                <c:pt idx="1242">
                  <c:v>45817</c:v>
                </c:pt>
                <c:pt idx="1243">
                  <c:v>45818</c:v>
                </c:pt>
                <c:pt idx="1244">
                  <c:v>45819</c:v>
                </c:pt>
                <c:pt idx="1245">
                  <c:v>45820</c:v>
                </c:pt>
                <c:pt idx="1246">
                  <c:v>45821</c:v>
                </c:pt>
                <c:pt idx="1247">
                  <c:v>45822</c:v>
                </c:pt>
                <c:pt idx="1248">
                  <c:v>45823</c:v>
                </c:pt>
                <c:pt idx="1249">
                  <c:v>45824</c:v>
                </c:pt>
                <c:pt idx="1250">
                  <c:v>45825</c:v>
                </c:pt>
                <c:pt idx="1251">
                  <c:v>45826</c:v>
                </c:pt>
                <c:pt idx="1252">
                  <c:v>45827</c:v>
                </c:pt>
                <c:pt idx="1253">
                  <c:v>45828</c:v>
                </c:pt>
                <c:pt idx="1254">
                  <c:v>45829</c:v>
                </c:pt>
                <c:pt idx="1255">
                  <c:v>45830</c:v>
                </c:pt>
                <c:pt idx="1256">
                  <c:v>45831</c:v>
                </c:pt>
                <c:pt idx="1257">
                  <c:v>45832</c:v>
                </c:pt>
                <c:pt idx="1258">
                  <c:v>45833</c:v>
                </c:pt>
                <c:pt idx="1259">
                  <c:v>45834</c:v>
                </c:pt>
                <c:pt idx="1260">
                  <c:v>45835</c:v>
                </c:pt>
                <c:pt idx="1261">
                  <c:v>45836</c:v>
                </c:pt>
                <c:pt idx="1262">
                  <c:v>45837</c:v>
                </c:pt>
                <c:pt idx="1263">
                  <c:v>45838</c:v>
                </c:pt>
                <c:pt idx="1264">
                  <c:v>45839</c:v>
                </c:pt>
                <c:pt idx="1265">
                  <c:v>45840</c:v>
                </c:pt>
                <c:pt idx="1266">
                  <c:v>45841</c:v>
                </c:pt>
                <c:pt idx="1267">
                  <c:v>45842</c:v>
                </c:pt>
                <c:pt idx="1268">
                  <c:v>45843</c:v>
                </c:pt>
                <c:pt idx="1269">
                  <c:v>45844</c:v>
                </c:pt>
                <c:pt idx="1270">
                  <c:v>45845</c:v>
                </c:pt>
                <c:pt idx="1271">
                  <c:v>45846</c:v>
                </c:pt>
                <c:pt idx="1272">
                  <c:v>45847</c:v>
                </c:pt>
                <c:pt idx="1273">
                  <c:v>45848</c:v>
                </c:pt>
                <c:pt idx="1274">
                  <c:v>45849</c:v>
                </c:pt>
                <c:pt idx="1275">
                  <c:v>45850</c:v>
                </c:pt>
                <c:pt idx="1276">
                  <c:v>45851</c:v>
                </c:pt>
                <c:pt idx="1277">
                  <c:v>45852</c:v>
                </c:pt>
                <c:pt idx="1278">
                  <c:v>45853</c:v>
                </c:pt>
                <c:pt idx="1279">
                  <c:v>45854</c:v>
                </c:pt>
                <c:pt idx="1280">
                  <c:v>45855</c:v>
                </c:pt>
                <c:pt idx="1281">
                  <c:v>45856</c:v>
                </c:pt>
                <c:pt idx="1282">
                  <c:v>45857</c:v>
                </c:pt>
                <c:pt idx="1283">
                  <c:v>45858</c:v>
                </c:pt>
                <c:pt idx="1284">
                  <c:v>45859</c:v>
                </c:pt>
                <c:pt idx="1285">
                  <c:v>45860</c:v>
                </c:pt>
                <c:pt idx="1286">
                  <c:v>45861</c:v>
                </c:pt>
                <c:pt idx="1287">
                  <c:v>45862</c:v>
                </c:pt>
                <c:pt idx="1288">
                  <c:v>45863</c:v>
                </c:pt>
                <c:pt idx="1289">
                  <c:v>45864</c:v>
                </c:pt>
                <c:pt idx="1290">
                  <c:v>45865</c:v>
                </c:pt>
                <c:pt idx="1291">
                  <c:v>45866</c:v>
                </c:pt>
                <c:pt idx="1292">
                  <c:v>45867</c:v>
                </c:pt>
                <c:pt idx="1293">
                  <c:v>45868</c:v>
                </c:pt>
                <c:pt idx="1294">
                  <c:v>45869</c:v>
                </c:pt>
                <c:pt idx="1295">
                  <c:v>45870</c:v>
                </c:pt>
                <c:pt idx="1296">
                  <c:v>45871</c:v>
                </c:pt>
                <c:pt idx="1297">
                  <c:v>45872</c:v>
                </c:pt>
                <c:pt idx="1298">
                  <c:v>45873</c:v>
                </c:pt>
                <c:pt idx="1299">
                  <c:v>45874</c:v>
                </c:pt>
                <c:pt idx="1300">
                  <c:v>45875</c:v>
                </c:pt>
                <c:pt idx="1301">
                  <c:v>45876</c:v>
                </c:pt>
                <c:pt idx="1302">
                  <c:v>45877</c:v>
                </c:pt>
                <c:pt idx="1303">
                  <c:v>45878</c:v>
                </c:pt>
                <c:pt idx="1304">
                  <c:v>45879</c:v>
                </c:pt>
                <c:pt idx="1305">
                  <c:v>45880</c:v>
                </c:pt>
                <c:pt idx="1306">
                  <c:v>45881</c:v>
                </c:pt>
                <c:pt idx="1307">
                  <c:v>45882</c:v>
                </c:pt>
                <c:pt idx="1308">
                  <c:v>45883</c:v>
                </c:pt>
                <c:pt idx="1309">
                  <c:v>45884</c:v>
                </c:pt>
                <c:pt idx="1310">
                  <c:v>45885</c:v>
                </c:pt>
                <c:pt idx="1311">
                  <c:v>45886</c:v>
                </c:pt>
                <c:pt idx="1312">
                  <c:v>45887</c:v>
                </c:pt>
                <c:pt idx="1313">
                  <c:v>45888</c:v>
                </c:pt>
                <c:pt idx="1314">
                  <c:v>45889</c:v>
                </c:pt>
                <c:pt idx="1315">
                  <c:v>45890</c:v>
                </c:pt>
                <c:pt idx="1316">
                  <c:v>45891</c:v>
                </c:pt>
                <c:pt idx="1317">
                  <c:v>45892</c:v>
                </c:pt>
                <c:pt idx="1318">
                  <c:v>45893</c:v>
                </c:pt>
                <c:pt idx="1319">
                  <c:v>45894</c:v>
                </c:pt>
                <c:pt idx="1320">
                  <c:v>45895</c:v>
                </c:pt>
                <c:pt idx="1321">
                  <c:v>45896</c:v>
                </c:pt>
                <c:pt idx="1322">
                  <c:v>45897</c:v>
                </c:pt>
                <c:pt idx="1323">
                  <c:v>45898</c:v>
                </c:pt>
                <c:pt idx="1324">
                  <c:v>45899</c:v>
                </c:pt>
                <c:pt idx="1325">
                  <c:v>45900</c:v>
                </c:pt>
                <c:pt idx="1326">
                  <c:v>45901</c:v>
                </c:pt>
                <c:pt idx="1327">
                  <c:v>45902</c:v>
                </c:pt>
                <c:pt idx="1328">
                  <c:v>45903</c:v>
                </c:pt>
                <c:pt idx="1329">
                  <c:v>45904</c:v>
                </c:pt>
                <c:pt idx="1330">
                  <c:v>45905</c:v>
                </c:pt>
                <c:pt idx="1331">
                  <c:v>45906</c:v>
                </c:pt>
                <c:pt idx="1332">
                  <c:v>45907</c:v>
                </c:pt>
                <c:pt idx="1333">
                  <c:v>45908</c:v>
                </c:pt>
                <c:pt idx="1334">
                  <c:v>45909</c:v>
                </c:pt>
                <c:pt idx="1335">
                  <c:v>45910</c:v>
                </c:pt>
                <c:pt idx="1336">
                  <c:v>45911</c:v>
                </c:pt>
                <c:pt idx="1337">
                  <c:v>45912</c:v>
                </c:pt>
                <c:pt idx="1338">
                  <c:v>45913</c:v>
                </c:pt>
                <c:pt idx="1339">
                  <c:v>45914</c:v>
                </c:pt>
                <c:pt idx="1340">
                  <c:v>45915</c:v>
                </c:pt>
                <c:pt idx="1341">
                  <c:v>45916</c:v>
                </c:pt>
                <c:pt idx="1342">
                  <c:v>45917</c:v>
                </c:pt>
                <c:pt idx="1343">
                  <c:v>45918</c:v>
                </c:pt>
                <c:pt idx="1344">
                  <c:v>45919</c:v>
                </c:pt>
                <c:pt idx="1345">
                  <c:v>45920</c:v>
                </c:pt>
                <c:pt idx="1346">
                  <c:v>45921</c:v>
                </c:pt>
                <c:pt idx="1347">
                  <c:v>45922</c:v>
                </c:pt>
                <c:pt idx="1348">
                  <c:v>45923</c:v>
                </c:pt>
                <c:pt idx="1349">
                  <c:v>45924</c:v>
                </c:pt>
                <c:pt idx="1350">
                  <c:v>45925</c:v>
                </c:pt>
                <c:pt idx="1351">
                  <c:v>45926</c:v>
                </c:pt>
                <c:pt idx="1352">
                  <c:v>45927</c:v>
                </c:pt>
                <c:pt idx="1353">
                  <c:v>45928</c:v>
                </c:pt>
                <c:pt idx="1354">
                  <c:v>45929</c:v>
                </c:pt>
                <c:pt idx="1355">
                  <c:v>45930</c:v>
                </c:pt>
                <c:pt idx="1356">
                  <c:v>45931</c:v>
                </c:pt>
                <c:pt idx="1357">
                  <c:v>45932</c:v>
                </c:pt>
                <c:pt idx="1358">
                  <c:v>45933</c:v>
                </c:pt>
                <c:pt idx="1359">
                  <c:v>45934</c:v>
                </c:pt>
                <c:pt idx="1360">
                  <c:v>45935</c:v>
                </c:pt>
                <c:pt idx="1361">
                  <c:v>45936</c:v>
                </c:pt>
                <c:pt idx="1362">
                  <c:v>45937</c:v>
                </c:pt>
                <c:pt idx="1363">
                  <c:v>45938</c:v>
                </c:pt>
                <c:pt idx="1364">
                  <c:v>45939</c:v>
                </c:pt>
                <c:pt idx="1365">
                  <c:v>45940</c:v>
                </c:pt>
                <c:pt idx="1366">
                  <c:v>45941</c:v>
                </c:pt>
                <c:pt idx="1367">
                  <c:v>45942</c:v>
                </c:pt>
                <c:pt idx="1368">
                  <c:v>45943</c:v>
                </c:pt>
                <c:pt idx="1369">
                  <c:v>45944</c:v>
                </c:pt>
                <c:pt idx="1370">
                  <c:v>45945</c:v>
                </c:pt>
                <c:pt idx="1371">
                  <c:v>45946</c:v>
                </c:pt>
                <c:pt idx="1372">
                  <c:v>45947</c:v>
                </c:pt>
                <c:pt idx="1373">
                  <c:v>45948</c:v>
                </c:pt>
                <c:pt idx="1374">
                  <c:v>45949</c:v>
                </c:pt>
                <c:pt idx="1375">
                  <c:v>45950</c:v>
                </c:pt>
                <c:pt idx="1376">
                  <c:v>45951</c:v>
                </c:pt>
                <c:pt idx="1377">
                  <c:v>45952</c:v>
                </c:pt>
                <c:pt idx="1378">
                  <c:v>45953</c:v>
                </c:pt>
                <c:pt idx="1379">
                  <c:v>45954</c:v>
                </c:pt>
                <c:pt idx="1380">
                  <c:v>45955</c:v>
                </c:pt>
                <c:pt idx="1381">
                  <c:v>45956</c:v>
                </c:pt>
                <c:pt idx="1382">
                  <c:v>45957</c:v>
                </c:pt>
                <c:pt idx="1383">
                  <c:v>45958</c:v>
                </c:pt>
                <c:pt idx="1384">
                  <c:v>45959</c:v>
                </c:pt>
                <c:pt idx="1385">
                  <c:v>45960</c:v>
                </c:pt>
                <c:pt idx="1386">
                  <c:v>45961</c:v>
                </c:pt>
                <c:pt idx="1387">
                  <c:v>45962</c:v>
                </c:pt>
                <c:pt idx="1388">
                  <c:v>45963</c:v>
                </c:pt>
                <c:pt idx="1389">
                  <c:v>45964</c:v>
                </c:pt>
                <c:pt idx="1390">
                  <c:v>45965</c:v>
                </c:pt>
                <c:pt idx="1391">
                  <c:v>45966</c:v>
                </c:pt>
                <c:pt idx="1392">
                  <c:v>45967</c:v>
                </c:pt>
                <c:pt idx="1393">
                  <c:v>45968</c:v>
                </c:pt>
                <c:pt idx="1394">
                  <c:v>45969</c:v>
                </c:pt>
                <c:pt idx="1395">
                  <c:v>45970</c:v>
                </c:pt>
                <c:pt idx="1396">
                  <c:v>45971</c:v>
                </c:pt>
                <c:pt idx="1397">
                  <c:v>45972</c:v>
                </c:pt>
                <c:pt idx="1398">
                  <c:v>45973</c:v>
                </c:pt>
                <c:pt idx="1399">
                  <c:v>45974</c:v>
                </c:pt>
                <c:pt idx="1400">
                  <c:v>45975</c:v>
                </c:pt>
                <c:pt idx="1401">
                  <c:v>45976</c:v>
                </c:pt>
                <c:pt idx="1402">
                  <c:v>45977</c:v>
                </c:pt>
                <c:pt idx="1403">
                  <c:v>45978</c:v>
                </c:pt>
                <c:pt idx="1404">
                  <c:v>45979</c:v>
                </c:pt>
                <c:pt idx="1405">
                  <c:v>45980</c:v>
                </c:pt>
                <c:pt idx="1406">
                  <c:v>45981</c:v>
                </c:pt>
                <c:pt idx="1407">
                  <c:v>45982</c:v>
                </c:pt>
                <c:pt idx="1408">
                  <c:v>45983</c:v>
                </c:pt>
                <c:pt idx="1409">
                  <c:v>45984</c:v>
                </c:pt>
                <c:pt idx="1410">
                  <c:v>45985</c:v>
                </c:pt>
                <c:pt idx="1411">
                  <c:v>45986</c:v>
                </c:pt>
                <c:pt idx="1412">
                  <c:v>45987</c:v>
                </c:pt>
                <c:pt idx="1413">
                  <c:v>45988</c:v>
                </c:pt>
                <c:pt idx="1414">
                  <c:v>45989</c:v>
                </c:pt>
                <c:pt idx="1415">
                  <c:v>45990</c:v>
                </c:pt>
                <c:pt idx="1416">
                  <c:v>45991</c:v>
                </c:pt>
                <c:pt idx="1417">
                  <c:v>45992</c:v>
                </c:pt>
                <c:pt idx="1418">
                  <c:v>45993</c:v>
                </c:pt>
                <c:pt idx="1419">
                  <c:v>45994</c:v>
                </c:pt>
                <c:pt idx="1420">
                  <c:v>45995</c:v>
                </c:pt>
                <c:pt idx="1421">
                  <c:v>45996</c:v>
                </c:pt>
                <c:pt idx="1422">
                  <c:v>45997</c:v>
                </c:pt>
                <c:pt idx="1423">
                  <c:v>45998</c:v>
                </c:pt>
                <c:pt idx="1424">
                  <c:v>45999</c:v>
                </c:pt>
                <c:pt idx="1425">
                  <c:v>46000</c:v>
                </c:pt>
                <c:pt idx="1426">
                  <c:v>46001</c:v>
                </c:pt>
                <c:pt idx="1427">
                  <c:v>46002</c:v>
                </c:pt>
                <c:pt idx="1428">
                  <c:v>46003</c:v>
                </c:pt>
                <c:pt idx="1429">
                  <c:v>46004</c:v>
                </c:pt>
                <c:pt idx="1430">
                  <c:v>46005</c:v>
                </c:pt>
                <c:pt idx="1431">
                  <c:v>46006</c:v>
                </c:pt>
                <c:pt idx="1432">
                  <c:v>46007</c:v>
                </c:pt>
                <c:pt idx="1433">
                  <c:v>46008</c:v>
                </c:pt>
                <c:pt idx="1434">
                  <c:v>46009</c:v>
                </c:pt>
                <c:pt idx="1435">
                  <c:v>46010</c:v>
                </c:pt>
                <c:pt idx="1436">
                  <c:v>46011</c:v>
                </c:pt>
                <c:pt idx="1437">
                  <c:v>46012</c:v>
                </c:pt>
                <c:pt idx="1438">
                  <c:v>46013</c:v>
                </c:pt>
                <c:pt idx="1439">
                  <c:v>46014</c:v>
                </c:pt>
                <c:pt idx="1440">
                  <c:v>46015</c:v>
                </c:pt>
                <c:pt idx="1441">
                  <c:v>46016</c:v>
                </c:pt>
                <c:pt idx="1442">
                  <c:v>46017</c:v>
                </c:pt>
                <c:pt idx="1443">
                  <c:v>46018</c:v>
                </c:pt>
                <c:pt idx="1444">
                  <c:v>46019</c:v>
                </c:pt>
                <c:pt idx="1445">
                  <c:v>46020</c:v>
                </c:pt>
                <c:pt idx="1446">
                  <c:v>46021</c:v>
                </c:pt>
                <c:pt idx="1447">
                  <c:v>46022</c:v>
                </c:pt>
                <c:pt idx="1448">
                  <c:v>46023</c:v>
                </c:pt>
                <c:pt idx="1449">
                  <c:v>46024</c:v>
                </c:pt>
                <c:pt idx="1450">
                  <c:v>46025</c:v>
                </c:pt>
                <c:pt idx="1451">
                  <c:v>46026</c:v>
                </c:pt>
                <c:pt idx="1452">
                  <c:v>46027</c:v>
                </c:pt>
                <c:pt idx="1453">
                  <c:v>46028</c:v>
                </c:pt>
                <c:pt idx="1454">
                  <c:v>46029</c:v>
                </c:pt>
                <c:pt idx="1455">
                  <c:v>46030</c:v>
                </c:pt>
                <c:pt idx="1456">
                  <c:v>46031</c:v>
                </c:pt>
                <c:pt idx="1457">
                  <c:v>46032</c:v>
                </c:pt>
                <c:pt idx="1458">
                  <c:v>46033</c:v>
                </c:pt>
                <c:pt idx="1459">
                  <c:v>46034</c:v>
                </c:pt>
                <c:pt idx="1460">
                  <c:v>46035</c:v>
                </c:pt>
                <c:pt idx="1461">
                  <c:v>46036</c:v>
                </c:pt>
                <c:pt idx="1462">
                  <c:v>46037</c:v>
                </c:pt>
                <c:pt idx="1463">
                  <c:v>46038</c:v>
                </c:pt>
                <c:pt idx="1464">
                  <c:v>46039</c:v>
                </c:pt>
                <c:pt idx="1465">
                  <c:v>46040</c:v>
                </c:pt>
                <c:pt idx="1466">
                  <c:v>46041</c:v>
                </c:pt>
                <c:pt idx="1467">
                  <c:v>46042</c:v>
                </c:pt>
                <c:pt idx="1468">
                  <c:v>46043</c:v>
                </c:pt>
                <c:pt idx="1469">
                  <c:v>46044</c:v>
                </c:pt>
                <c:pt idx="1470">
                  <c:v>46045</c:v>
                </c:pt>
                <c:pt idx="1471">
                  <c:v>46046</c:v>
                </c:pt>
                <c:pt idx="1472">
                  <c:v>46047</c:v>
                </c:pt>
                <c:pt idx="1473">
                  <c:v>46048</c:v>
                </c:pt>
                <c:pt idx="1474">
                  <c:v>46049</c:v>
                </c:pt>
                <c:pt idx="1475">
                  <c:v>46050</c:v>
                </c:pt>
                <c:pt idx="1476">
                  <c:v>46051</c:v>
                </c:pt>
                <c:pt idx="1477">
                  <c:v>46052</c:v>
                </c:pt>
                <c:pt idx="1478">
                  <c:v>46053</c:v>
                </c:pt>
                <c:pt idx="1479">
                  <c:v>46054</c:v>
                </c:pt>
                <c:pt idx="1480">
                  <c:v>46055</c:v>
                </c:pt>
                <c:pt idx="1481">
                  <c:v>46056</c:v>
                </c:pt>
              </c:numCache>
            </c:numRef>
          </c:cat>
          <c:val>
            <c:numRef>
              <c:f>'usdc '!$U$11:$U$1492</c:f>
              <c:numCache>
                <c:formatCode>General</c:formatCode>
                <c:ptCount val="1482"/>
                <c:pt idx="0">
                  <c:v>-1.3697916324046612E-3</c:v>
                </c:pt>
                <c:pt idx="1">
                  <c:v>-2.0536771586554762E-3</c:v>
                </c:pt>
                <c:pt idx="2">
                  <c:v>-1.4938131102554654E-3</c:v>
                </c:pt>
                <c:pt idx="3">
                  <c:v>-1.8782275852504979E-3</c:v>
                </c:pt>
                <c:pt idx="4">
                  <c:v>-9.9470534816733396E-4</c:v>
                </c:pt>
                <c:pt idx="5">
                  <c:v>-7.2832114184981616E-5</c:v>
                </c:pt>
                <c:pt idx="6">
                  <c:v>-1.0628121305069577E-3</c:v>
                </c:pt>
                <c:pt idx="7">
                  <c:v>-2.9503045762738554E-3</c:v>
                </c:pt>
                <c:pt idx="8">
                  <c:v>-3.4345510673993141E-3</c:v>
                </c:pt>
                <c:pt idx="9">
                  <c:v>-2.1617390126281314E-3</c:v>
                </c:pt>
                <c:pt idx="10">
                  <c:v>-2.3903409271905525E-3</c:v>
                </c:pt>
                <c:pt idx="11">
                  <c:v>-1.0165871738525747E-3</c:v>
                </c:pt>
                <c:pt idx="12">
                  <c:v>-1.3777648743255107E-3</c:v>
                </c:pt>
                <c:pt idx="13">
                  <c:v>-3.5872205277205395E-5</c:v>
                </c:pt>
                <c:pt idx="14">
                  <c:v>-1.4374554417921211E-3</c:v>
                </c:pt>
                <c:pt idx="15">
                  <c:v>-2.9373345315923407E-3</c:v>
                </c:pt>
                <c:pt idx="16">
                  <c:v>4.4379148916798214E-5</c:v>
                </c:pt>
                <c:pt idx="17">
                  <c:v>2.2773870462542835E-4</c:v>
                </c:pt>
                <c:pt idx="18">
                  <c:v>-1.2267671388791488E-3</c:v>
                </c:pt>
                <c:pt idx="19">
                  <c:v>-1.6124272263252834E-3</c:v>
                </c:pt>
                <c:pt idx="20">
                  <c:v>-1.5675762259202584E-3</c:v>
                </c:pt>
                <c:pt idx="21">
                  <c:v>-1.1830329801596261E-3</c:v>
                </c:pt>
                <c:pt idx="22">
                  <c:v>7.7422871608425658E-5</c:v>
                </c:pt>
                <c:pt idx="23">
                  <c:v>-5.7826913105908379E-4</c:v>
                </c:pt>
                <c:pt idx="24">
                  <c:v>-7.495758842345913E-4</c:v>
                </c:pt>
                <c:pt idx="25">
                  <c:v>-1.4805668590985902E-3</c:v>
                </c:pt>
                <c:pt idx="26">
                  <c:v>-7.2586793502589682E-4</c:v>
                </c:pt>
                <c:pt idx="27">
                  <c:v>1.7298157660236663E-4</c:v>
                </c:pt>
                <c:pt idx="28">
                  <c:v>-6.0312147810200306E-4</c:v>
                </c:pt>
                <c:pt idx="29">
                  <c:v>-1.0680637447090724E-3</c:v>
                </c:pt>
                <c:pt idx="30">
                  <c:v>-1.217745174558181E-3</c:v>
                </c:pt>
                <c:pt idx="31">
                  <c:v>-2.4594947688602793E-4</c:v>
                </c:pt>
                <c:pt idx="32">
                  <c:v>-1.1272221794328514E-3</c:v>
                </c:pt>
                <c:pt idx="33">
                  <c:v>-6.78632730786463E-4</c:v>
                </c:pt>
                <c:pt idx="34">
                  <c:v>-6.4854900847123023E-4</c:v>
                </c:pt>
                <c:pt idx="35">
                  <c:v>-6.1558777322436975E-4</c:v>
                </c:pt>
                <c:pt idx="36">
                  <c:v>-4.3373651962333795E-4</c:v>
                </c:pt>
                <c:pt idx="37">
                  <c:v>-2.0149667276478998E-3</c:v>
                </c:pt>
                <c:pt idx="38">
                  <c:v>-7.9979754486733451E-4</c:v>
                </c:pt>
                <c:pt idx="39">
                  <c:v>-4.4994735436167761E-4</c:v>
                </c:pt>
                <c:pt idx="40">
                  <c:v>-2.693858512809301E-4</c:v>
                </c:pt>
                <c:pt idx="41">
                  <c:v>1.6852471304282784E-3</c:v>
                </c:pt>
                <c:pt idx="42">
                  <c:v>-3.5306481655283966E-4</c:v>
                </c:pt>
                <c:pt idx="43">
                  <c:v>-1.397621693192669E-3</c:v>
                </c:pt>
                <c:pt idx="44">
                  <c:v>-1.518120431793492E-3</c:v>
                </c:pt>
                <c:pt idx="45">
                  <c:v>4.2317676743539728E-4</c:v>
                </c:pt>
                <c:pt idx="46">
                  <c:v>-9.3418125695592276E-4</c:v>
                </c:pt>
                <c:pt idx="47">
                  <c:v>5.2706098182292991E-4</c:v>
                </c:pt>
                <c:pt idx="48">
                  <c:v>-1.028696159790178E-3</c:v>
                </c:pt>
                <c:pt idx="49">
                  <c:v>-1.5326584273047774E-3</c:v>
                </c:pt>
                <c:pt idx="50">
                  <c:v>-1.2769092820334807E-3</c:v>
                </c:pt>
                <c:pt idx="51">
                  <c:v>3.9796495293518725E-4</c:v>
                </c:pt>
                <c:pt idx="52">
                  <c:v>-6.1182874033050645E-4</c:v>
                </c:pt>
                <c:pt idx="53">
                  <c:v>-6.1652695794030396E-4</c:v>
                </c:pt>
                <c:pt idx="54">
                  <c:v>-8.061222975412122E-4</c:v>
                </c:pt>
                <c:pt idx="55">
                  <c:v>-2.0731210848247356E-3</c:v>
                </c:pt>
                <c:pt idx="56">
                  <c:v>-2.1401571220864548E-3</c:v>
                </c:pt>
                <c:pt idx="57">
                  <c:v>-4.8752748477825392E-3</c:v>
                </c:pt>
                <c:pt idx="58">
                  <c:v>-3.7679433715299276E-3</c:v>
                </c:pt>
                <c:pt idx="59">
                  <c:v>-9.0541092635184435E-4</c:v>
                </c:pt>
                <c:pt idx="60">
                  <c:v>-7.5679863582433322E-4</c:v>
                </c:pt>
                <c:pt idx="61">
                  <c:v>-6.9745940155057327E-4</c:v>
                </c:pt>
                <c:pt idx="62">
                  <c:v>-2.0121310397963345E-3</c:v>
                </c:pt>
                <c:pt idx="63">
                  <c:v>-2.0119685036949211E-3</c:v>
                </c:pt>
                <c:pt idx="64">
                  <c:v>-1.2643154864101099E-5</c:v>
                </c:pt>
                <c:pt idx="65">
                  <c:v>-1.1353101937177715E-3</c:v>
                </c:pt>
                <c:pt idx="66">
                  <c:v>8.0705167490511957E-4</c:v>
                </c:pt>
                <c:pt idx="67">
                  <c:v>-3.2082336715513206E-4</c:v>
                </c:pt>
                <c:pt idx="68">
                  <c:v>6.7355486950418158E-4</c:v>
                </c:pt>
                <c:pt idx="69">
                  <c:v>-3.7797840950605901E-4</c:v>
                </c:pt>
                <c:pt idx="70">
                  <c:v>4.0399349554857923E-5</c:v>
                </c:pt>
                <c:pt idx="71">
                  <c:v>-8.8506676435946255E-4</c:v>
                </c:pt>
                <c:pt idx="72">
                  <c:v>2.5792804132105643E-4</c:v>
                </c:pt>
                <c:pt idx="73">
                  <c:v>-5.5101408670816946E-4</c:v>
                </c:pt>
                <c:pt idx="74">
                  <c:v>-6.6067127488031062E-4</c:v>
                </c:pt>
                <c:pt idx="75">
                  <c:v>-1.6792544455947103E-3</c:v>
                </c:pt>
                <c:pt idx="76">
                  <c:v>-5.2542476845972514E-4</c:v>
                </c:pt>
                <c:pt idx="77">
                  <c:v>-1.5103325820812396E-3</c:v>
                </c:pt>
                <c:pt idx="78">
                  <c:v>-9.2295595448276934E-4</c:v>
                </c:pt>
                <c:pt idx="79">
                  <c:v>-3.6110807769280815E-4</c:v>
                </c:pt>
                <c:pt idx="80">
                  <c:v>-5.8004793006703227E-4</c:v>
                </c:pt>
                <c:pt idx="81">
                  <c:v>-7.5728487869427814E-4</c:v>
                </c:pt>
                <c:pt idx="82">
                  <c:v>-1.6671431269145701E-3</c:v>
                </c:pt>
                <c:pt idx="83">
                  <c:v>-7.0833967918553973E-4</c:v>
                </c:pt>
                <c:pt idx="84">
                  <c:v>-1.5885716219522703E-3</c:v>
                </c:pt>
                <c:pt idx="85">
                  <c:v>-1.9408069325612316E-3</c:v>
                </c:pt>
                <c:pt idx="86">
                  <c:v>-1.4211427829647675E-3</c:v>
                </c:pt>
                <c:pt idx="87">
                  <c:v>-1.4621246831502453E-3</c:v>
                </c:pt>
                <c:pt idx="88">
                  <c:v>-1.0977108430871435E-3</c:v>
                </c:pt>
                <c:pt idx="89">
                  <c:v>-8.1276861219794843E-4</c:v>
                </c:pt>
                <c:pt idx="90">
                  <c:v>-1.5835295922753232E-3</c:v>
                </c:pt>
                <c:pt idx="91">
                  <c:v>-2.916112257235193E-3</c:v>
                </c:pt>
                <c:pt idx="92">
                  <c:v>-1.059948895254064E-3</c:v>
                </c:pt>
                <c:pt idx="93">
                  <c:v>-3.5743149932655634E-3</c:v>
                </c:pt>
                <c:pt idx="94">
                  <c:v>-2.8729674687084563E-3</c:v>
                </c:pt>
                <c:pt idx="95">
                  <c:v>-1.554839027530233E-3</c:v>
                </c:pt>
                <c:pt idx="96">
                  <c:v>-7.798506397853496E-4</c:v>
                </c:pt>
                <c:pt idx="97">
                  <c:v>-2.62043959209099E-3</c:v>
                </c:pt>
                <c:pt idx="98">
                  <c:v>-1.9513943884741343E-3</c:v>
                </c:pt>
                <c:pt idx="99">
                  <c:v>-3.3798892366447022E-3</c:v>
                </c:pt>
                <c:pt idx="100">
                  <c:v>-3.2810188854325711E-4</c:v>
                </c:pt>
                <c:pt idx="101">
                  <c:v>-5.3508073734513466E-4</c:v>
                </c:pt>
                <c:pt idx="102">
                  <c:v>-1.3067635039174649E-3</c:v>
                </c:pt>
                <c:pt idx="103">
                  <c:v>-9.0819421173179006E-4</c:v>
                </c:pt>
                <c:pt idx="104">
                  <c:v>-1.9272520439907593E-4</c:v>
                </c:pt>
                <c:pt idx="105">
                  <c:v>-9.2141832175993219E-4</c:v>
                </c:pt>
                <c:pt idx="106">
                  <c:v>-2.7113229624743224E-3</c:v>
                </c:pt>
                <c:pt idx="107">
                  <c:v>2.4680256970403049E-4</c:v>
                </c:pt>
                <c:pt idx="108">
                  <c:v>-6.5419801608812306E-4</c:v>
                </c:pt>
                <c:pt idx="109">
                  <c:v>-2.3603165733158491E-3</c:v>
                </c:pt>
                <c:pt idx="110">
                  <c:v>1.1482733724212173E-3</c:v>
                </c:pt>
                <c:pt idx="111">
                  <c:v>-2.0028834515749541E-3</c:v>
                </c:pt>
                <c:pt idx="112">
                  <c:v>-3.8713439914001388E-3</c:v>
                </c:pt>
                <c:pt idx="113">
                  <c:v>-2.3970932968863526E-3</c:v>
                </c:pt>
                <c:pt idx="114">
                  <c:v>-1.7094170875122093E-3</c:v>
                </c:pt>
                <c:pt idx="115">
                  <c:v>2.258171677573334E-4</c:v>
                </c:pt>
                <c:pt idx="116">
                  <c:v>-1.6944254797604569E-3</c:v>
                </c:pt>
                <c:pt idx="117">
                  <c:v>-3.2386026438773288E-3</c:v>
                </c:pt>
                <c:pt idx="118">
                  <c:v>-8.9191858714722586E-3</c:v>
                </c:pt>
                <c:pt idx="119">
                  <c:v>-1.5765221493756094E-3</c:v>
                </c:pt>
                <c:pt idx="120">
                  <c:v>-5.2177108243321568E-3</c:v>
                </c:pt>
                <c:pt idx="121">
                  <c:v>-1.2090796964021675E-3</c:v>
                </c:pt>
                <c:pt idx="122">
                  <c:v>-5.4483388159299554E-4</c:v>
                </c:pt>
                <c:pt idx="123">
                  <c:v>-1.2299720757834678E-3</c:v>
                </c:pt>
                <c:pt idx="124">
                  <c:v>-1.0602445866358105E-2</c:v>
                </c:pt>
                <c:pt idx="125">
                  <c:v>-7.0661636886130818E-3</c:v>
                </c:pt>
                <c:pt idx="126">
                  <c:v>-1.6057177929466526E-3</c:v>
                </c:pt>
                <c:pt idx="127">
                  <c:v>-2.2727802477841416E-3</c:v>
                </c:pt>
                <c:pt idx="128">
                  <c:v>-1.2876557776980758E-3</c:v>
                </c:pt>
                <c:pt idx="129">
                  <c:v>-5.1033324691256831E-3</c:v>
                </c:pt>
                <c:pt idx="130">
                  <c:v>-2.6377628101019873E-3</c:v>
                </c:pt>
                <c:pt idx="131">
                  <c:v>-3.1627408912260216E-3</c:v>
                </c:pt>
                <c:pt idx="132">
                  <c:v>4.7713728399295571E-4</c:v>
                </c:pt>
                <c:pt idx="133">
                  <c:v>4.1904998760390014E-4</c:v>
                </c:pt>
                <c:pt idx="134">
                  <c:v>-2.9865880943720211E-3</c:v>
                </c:pt>
                <c:pt idx="135">
                  <c:v>-2.4621670537004797E-3</c:v>
                </c:pt>
                <c:pt idx="136">
                  <c:v>-1.0608411685749091E-3</c:v>
                </c:pt>
                <c:pt idx="137">
                  <c:v>-5.4093107780880537E-3</c:v>
                </c:pt>
                <c:pt idx="138">
                  <c:v>-3.7710962312479325E-3</c:v>
                </c:pt>
                <c:pt idx="139">
                  <c:v>4.4381083338095213E-4</c:v>
                </c:pt>
                <c:pt idx="140">
                  <c:v>-3.7293613375302364E-3</c:v>
                </c:pt>
                <c:pt idx="141">
                  <c:v>-4.6818185982433541E-3</c:v>
                </c:pt>
                <c:pt idx="142">
                  <c:v>-3.1665264768621581E-3</c:v>
                </c:pt>
                <c:pt idx="143">
                  <c:v>-4.1723213937149093E-3</c:v>
                </c:pt>
                <c:pt idx="144">
                  <c:v>-1.5836218366144304E-3</c:v>
                </c:pt>
                <c:pt idx="145">
                  <c:v>-7.2357199817692827E-4</c:v>
                </c:pt>
                <c:pt idx="146">
                  <c:v>-2.136858861896988E-3</c:v>
                </c:pt>
                <c:pt idx="147">
                  <c:v>-2.1487103211788499E-3</c:v>
                </c:pt>
                <c:pt idx="148">
                  <c:v>-3.0136660369877205E-3</c:v>
                </c:pt>
                <c:pt idx="149">
                  <c:v>-2.7466446952026484E-3</c:v>
                </c:pt>
                <c:pt idx="150">
                  <c:v>-1.8770585667107693E-3</c:v>
                </c:pt>
                <c:pt idx="151">
                  <c:v>-1.6893575652266162E-3</c:v>
                </c:pt>
                <c:pt idx="152">
                  <c:v>-1.2474384778505718E-3</c:v>
                </c:pt>
                <c:pt idx="153">
                  <c:v>-3.6030267210354701E-3</c:v>
                </c:pt>
                <c:pt idx="154">
                  <c:v>-2.6770532832570571E-3</c:v>
                </c:pt>
                <c:pt idx="155">
                  <c:v>-6.1842561545608849E-3</c:v>
                </c:pt>
                <c:pt idx="156">
                  <c:v>-3.1067602412452309E-3</c:v>
                </c:pt>
                <c:pt idx="157">
                  <c:v>-1.2573649508106574E-3</c:v>
                </c:pt>
                <c:pt idx="158">
                  <c:v>-2.4054654004722689E-3</c:v>
                </c:pt>
                <c:pt idx="159">
                  <c:v>-3.8243278255378796E-3</c:v>
                </c:pt>
                <c:pt idx="160">
                  <c:v>-1.761956292973789E-3</c:v>
                </c:pt>
                <c:pt idx="161">
                  <c:v>-1.4207898679057901E-4</c:v>
                </c:pt>
                <c:pt idx="162">
                  <c:v>-2.8163149435845043E-3</c:v>
                </c:pt>
                <c:pt idx="163">
                  <c:v>-1.873535600286099E-3</c:v>
                </c:pt>
                <c:pt idx="164">
                  <c:v>-7.4160219505958313E-4</c:v>
                </c:pt>
                <c:pt idx="165">
                  <c:v>-1.2051588433545659E-3</c:v>
                </c:pt>
                <c:pt idx="166">
                  <c:v>1.579474164455757E-5</c:v>
                </c:pt>
                <c:pt idx="167">
                  <c:v>-2.5829020714887799E-3</c:v>
                </c:pt>
                <c:pt idx="168">
                  <c:v>-1.7088145445056323E-3</c:v>
                </c:pt>
                <c:pt idx="169">
                  <c:v>-2.3340727146959079E-3</c:v>
                </c:pt>
                <c:pt idx="170">
                  <c:v>-1.5124244616371053E-3</c:v>
                </c:pt>
                <c:pt idx="171">
                  <c:v>-1.6978003930783723E-3</c:v>
                </c:pt>
                <c:pt idx="172">
                  <c:v>-7.5593656084760612E-4</c:v>
                </c:pt>
                <c:pt idx="173">
                  <c:v>1.7248130073361273E-5</c:v>
                </c:pt>
                <c:pt idx="174">
                  <c:v>2.3422707909421235E-4</c:v>
                </c:pt>
                <c:pt idx="175">
                  <c:v>4.9753613210816276E-4</c:v>
                </c:pt>
                <c:pt idx="176">
                  <c:v>-1.327777467938481E-3</c:v>
                </c:pt>
                <c:pt idx="177">
                  <c:v>-9.6726938934273181E-5</c:v>
                </c:pt>
                <c:pt idx="178">
                  <c:v>-1.3195470923184379E-4</c:v>
                </c:pt>
                <c:pt idx="179">
                  <c:v>-8.8086977573502922E-4</c:v>
                </c:pt>
                <c:pt idx="180">
                  <c:v>2.3812946944928677E-4</c:v>
                </c:pt>
                <c:pt idx="181">
                  <c:v>8.5695338589996859E-4</c:v>
                </c:pt>
                <c:pt idx="182">
                  <c:v>-1.3639914190906022E-3</c:v>
                </c:pt>
                <c:pt idx="183">
                  <c:v>2.7989339645171903E-4</c:v>
                </c:pt>
                <c:pt idx="184">
                  <c:v>-4.9189113059963663E-4</c:v>
                </c:pt>
                <c:pt idx="185">
                  <c:v>3.8586235041361143E-4</c:v>
                </c:pt>
                <c:pt idx="186">
                  <c:v>5.8673760115043883E-4</c:v>
                </c:pt>
                <c:pt idx="187">
                  <c:v>-3.2434299156785412E-4</c:v>
                </c:pt>
                <c:pt idx="188">
                  <c:v>7.4313831985741471E-4</c:v>
                </c:pt>
                <c:pt idx="189">
                  <c:v>-2.3007142500203908E-3</c:v>
                </c:pt>
                <c:pt idx="190">
                  <c:v>-1.4674240889016961E-3</c:v>
                </c:pt>
                <c:pt idx="191">
                  <c:v>-1.2463229453392121E-3</c:v>
                </c:pt>
                <c:pt idx="192">
                  <c:v>-2.3791304810448469E-3</c:v>
                </c:pt>
                <c:pt idx="193">
                  <c:v>-1.6875073192813401E-3</c:v>
                </c:pt>
                <c:pt idx="194">
                  <c:v>-1.5683599532826487E-4</c:v>
                </c:pt>
                <c:pt idx="195">
                  <c:v>1.2377061034335717E-3</c:v>
                </c:pt>
                <c:pt idx="196">
                  <c:v>-8.7280034378851916E-5</c:v>
                </c:pt>
                <c:pt idx="197">
                  <c:v>-2.735786098099931E-3</c:v>
                </c:pt>
                <c:pt idx="198">
                  <c:v>-8.5903488240289983E-4</c:v>
                </c:pt>
                <c:pt idx="199">
                  <c:v>-1.2519318441521034E-3</c:v>
                </c:pt>
                <c:pt idx="200">
                  <c:v>-1.0202640631934658E-3</c:v>
                </c:pt>
                <c:pt idx="201">
                  <c:v>-6.1176678348462974E-4</c:v>
                </c:pt>
                <c:pt idx="202">
                  <c:v>-2.5665454508500842E-3</c:v>
                </c:pt>
                <c:pt idx="203">
                  <c:v>-8.4075571887338811E-4</c:v>
                </c:pt>
                <c:pt idx="204">
                  <c:v>6.8983168362554757E-4</c:v>
                </c:pt>
                <c:pt idx="205">
                  <c:v>-9.9805553598285301E-4</c:v>
                </c:pt>
                <c:pt idx="206">
                  <c:v>-2.3238990017008239E-3</c:v>
                </c:pt>
                <c:pt idx="207">
                  <c:v>-2.0102723818496561E-3</c:v>
                </c:pt>
                <c:pt idx="208">
                  <c:v>-1.3536423107439357E-3</c:v>
                </c:pt>
                <c:pt idx="209">
                  <c:v>-1.9792633721402242E-3</c:v>
                </c:pt>
                <c:pt idx="210">
                  <c:v>1.1487838605262687E-3</c:v>
                </c:pt>
                <c:pt idx="211">
                  <c:v>-5.8034959334291687E-4</c:v>
                </c:pt>
                <c:pt idx="212">
                  <c:v>-1.0485098765221112E-3</c:v>
                </c:pt>
                <c:pt idx="213">
                  <c:v>-7.5576339717501901E-4</c:v>
                </c:pt>
                <c:pt idx="214">
                  <c:v>2.9029546156946514E-4</c:v>
                </c:pt>
                <c:pt idx="215">
                  <c:v>-1.0800712092235488E-3</c:v>
                </c:pt>
                <c:pt idx="216">
                  <c:v>-4.2844015533607352E-4</c:v>
                </c:pt>
                <c:pt idx="217">
                  <c:v>-2.5797263838950047E-4</c:v>
                </c:pt>
                <c:pt idx="218">
                  <c:v>-2.1339905811162334E-3</c:v>
                </c:pt>
                <c:pt idx="219">
                  <c:v>-3.3313869095629839E-3</c:v>
                </c:pt>
                <c:pt idx="220">
                  <c:v>6.6169446678720004E-4</c:v>
                </c:pt>
                <c:pt idx="221">
                  <c:v>-4.5265632859767989E-4</c:v>
                </c:pt>
                <c:pt idx="222">
                  <c:v>-1.3520152750309169E-3</c:v>
                </c:pt>
                <c:pt idx="223">
                  <c:v>-4.7485852043844027E-4</c:v>
                </c:pt>
                <c:pt idx="224">
                  <c:v>-3.3605619236123981E-3</c:v>
                </c:pt>
                <c:pt idx="225">
                  <c:v>-2.2966778330537939E-3</c:v>
                </c:pt>
                <c:pt idx="226">
                  <c:v>-1.8140920146693317E-3</c:v>
                </c:pt>
                <c:pt idx="227">
                  <c:v>-2.0970243345372532E-3</c:v>
                </c:pt>
                <c:pt idx="228">
                  <c:v>-1.2611941948234575E-3</c:v>
                </c:pt>
                <c:pt idx="229">
                  <c:v>-1.6528245251351058E-3</c:v>
                </c:pt>
                <c:pt idx="230">
                  <c:v>1.1505918344984533E-4</c:v>
                </c:pt>
                <c:pt idx="231">
                  <c:v>-1.9537381562733714E-3</c:v>
                </c:pt>
                <c:pt idx="232">
                  <c:v>-1.2742738392246828E-3</c:v>
                </c:pt>
                <c:pt idx="233">
                  <c:v>4.3683560589542606E-4</c:v>
                </c:pt>
                <c:pt idx="234">
                  <c:v>-1.3910612418364075E-3</c:v>
                </c:pt>
                <c:pt idx="235">
                  <c:v>-1.3847945623129021E-3</c:v>
                </c:pt>
                <c:pt idx="236">
                  <c:v>-1.612893575956797E-3</c:v>
                </c:pt>
                <c:pt idx="237">
                  <c:v>-4.0622166548012035E-4</c:v>
                </c:pt>
                <c:pt idx="238">
                  <c:v>2.6311537129022795E-3</c:v>
                </c:pt>
                <c:pt idx="239">
                  <c:v>2.1542777892985315E-3</c:v>
                </c:pt>
                <c:pt idx="240">
                  <c:v>2.1178794605960857E-5</c:v>
                </c:pt>
                <c:pt idx="241">
                  <c:v>-1.370840480838438E-3</c:v>
                </c:pt>
                <c:pt idx="242">
                  <c:v>-2.0235164520364373E-3</c:v>
                </c:pt>
                <c:pt idx="243">
                  <c:v>7.7665207470562495E-5</c:v>
                </c:pt>
                <c:pt idx="244">
                  <c:v>-1.1676344044969039E-3</c:v>
                </c:pt>
                <c:pt idx="245">
                  <c:v>-4.7861978700012279E-4</c:v>
                </c:pt>
                <c:pt idx="246">
                  <c:v>-7.8369249593044916E-4</c:v>
                </c:pt>
                <c:pt idx="247">
                  <c:v>-6.2459272203014779E-4</c:v>
                </c:pt>
                <c:pt idx="248">
                  <c:v>-1.1916365457616419E-3</c:v>
                </c:pt>
                <c:pt idx="249">
                  <c:v>-7.3679984760344284E-4</c:v>
                </c:pt>
                <c:pt idx="250">
                  <c:v>-1.9184147206280579E-3</c:v>
                </c:pt>
                <c:pt idx="251">
                  <c:v>4.8149690775037567E-4</c:v>
                </c:pt>
                <c:pt idx="252">
                  <c:v>8.9035657234233642E-4</c:v>
                </c:pt>
                <c:pt idx="253">
                  <c:v>5.8801360520801169E-5</c:v>
                </c:pt>
                <c:pt idx="254">
                  <c:v>-2.6291632257270458E-4</c:v>
                </c:pt>
                <c:pt idx="255">
                  <c:v>-8.7428164057452471E-4</c:v>
                </c:pt>
                <c:pt idx="256">
                  <c:v>-3.5219461632085189E-4</c:v>
                </c:pt>
                <c:pt idx="257">
                  <c:v>-6.1591669805644987E-4</c:v>
                </c:pt>
                <c:pt idx="258">
                  <c:v>-6.901415783311845E-4</c:v>
                </c:pt>
                <c:pt idx="259">
                  <c:v>-1.130639034409833E-3</c:v>
                </c:pt>
                <c:pt idx="260">
                  <c:v>-2.0565629310683657E-3</c:v>
                </c:pt>
                <c:pt idx="261">
                  <c:v>-1.383657688658745E-3</c:v>
                </c:pt>
                <c:pt idx="262">
                  <c:v>-8.8707594874690209E-4</c:v>
                </c:pt>
                <c:pt idx="263">
                  <c:v>-1.1919042046793144E-3</c:v>
                </c:pt>
                <c:pt idx="264">
                  <c:v>-1.0428604181453695E-4</c:v>
                </c:pt>
                <c:pt idx="265">
                  <c:v>3.8436164460482845E-4</c:v>
                </c:pt>
                <c:pt idx="266">
                  <c:v>-7.1956102651060964E-4</c:v>
                </c:pt>
                <c:pt idx="267">
                  <c:v>-1.6258217709816079E-3</c:v>
                </c:pt>
                <c:pt idx="268">
                  <c:v>-1.8424114001247969E-4</c:v>
                </c:pt>
                <c:pt idx="269">
                  <c:v>-4.508048659303937E-4</c:v>
                </c:pt>
                <c:pt idx="270">
                  <c:v>-1.1238416898085167E-3</c:v>
                </c:pt>
                <c:pt idx="271">
                  <c:v>-2.2115480877975336E-4</c:v>
                </c:pt>
                <c:pt idx="272">
                  <c:v>-1.5181213734399551E-3</c:v>
                </c:pt>
                <c:pt idx="273">
                  <c:v>-6.0946383056080121E-4</c:v>
                </c:pt>
                <c:pt idx="274">
                  <c:v>-1.0401102824585898E-3</c:v>
                </c:pt>
                <c:pt idx="275">
                  <c:v>-3.69102062484903E-4</c:v>
                </c:pt>
                <c:pt idx="276">
                  <c:v>-8.4929292486084066E-4</c:v>
                </c:pt>
                <c:pt idx="277">
                  <c:v>-1.1544219238177388E-3</c:v>
                </c:pt>
                <c:pt idx="278">
                  <c:v>-1.9297549259247599E-4</c:v>
                </c:pt>
                <c:pt idx="279">
                  <c:v>-8.1080113993441095E-4</c:v>
                </c:pt>
                <c:pt idx="280">
                  <c:v>-1.1593730793739644E-3</c:v>
                </c:pt>
                <c:pt idx="281">
                  <c:v>-6.933917550374731E-4</c:v>
                </c:pt>
                <c:pt idx="282">
                  <c:v>-1.011616011905927E-4</c:v>
                </c:pt>
                <c:pt idx="283">
                  <c:v>-7.5737557774039816E-6</c:v>
                </c:pt>
                <c:pt idx="284">
                  <c:v>-3.2585274693821116E-5</c:v>
                </c:pt>
                <c:pt idx="285">
                  <c:v>5.5972875580069927E-4</c:v>
                </c:pt>
                <c:pt idx="286">
                  <c:v>5.5364673155348649E-5</c:v>
                </c:pt>
                <c:pt idx="287">
                  <c:v>-8.4077044067363031E-4</c:v>
                </c:pt>
                <c:pt idx="288">
                  <c:v>-1.3221568588491381E-4</c:v>
                </c:pt>
                <c:pt idx="289">
                  <c:v>-1.2885474546919771E-3</c:v>
                </c:pt>
                <c:pt idx="290">
                  <c:v>-3.8281958567428078E-4</c:v>
                </c:pt>
                <c:pt idx="291">
                  <c:v>-1.4067763861074895E-3</c:v>
                </c:pt>
                <c:pt idx="292">
                  <c:v>-4.2961005904357892E-4</c:v>
                </c:pt>
                <c:pt idx="293">
                  <c:v>-8.3706046242849614E-4</c:v>
                </c:pt>
                <c:pt idx="294">
                  <c:v>-1.8194225128703076E-3</c:v>
                </c:pt>
                <c:pt idx="295">
                  <c:v>-2.4426441305294574E-3</c:v>
                </c:pt>
                <c:pt idx="296">
                  <c:v>-2.074109755751256E-3</c:v>
                </c:pt>
                <c:pt idx="297">
                  <c:v>-8.6847354864470164E-4</c:v>
                </c:pt>
                <c:pt idx="298">
                  <c:v>-5.5145565043374558E-3</c:v>
                </c:pt>
                <c:pt idx="299">
                  <c:v>-1.0474042884944091E-2</c:v>
                </c:pt>
                <c:pt idx="300">
                  <c:v>-8.2136303285121979E-3</c:v>
                </c:pt>
                <c:pt idx="301">
                  <c:v>-1.1001742066512726E-2</c:v>
                </c:pt>
                <c:pt idx="302">
                  <c:v>-9.8439107590208592E-3</c:v>
                </c:pt>
                <c:pt idx="303">
                  <c:v>-3.6142829622893796E-3</c:v>
                </c:pt>
                <c:pt idx="304">
                  <c:v>-2.2832773828138546E-3</c:v>
                </c:pt>
                <c:pt idx="305">
                  <c:v>-1.803948288688824E-3</c:v>
                </c:pt>
                <c:pt idx="306">
                  <c:v>-1.1061965461168586E-3</c:v>
                </c:pt>
                <c:pt idx="307">
                  <c:v>-9.2437608951043712E-4</c:v>
                </c:pt>
                <c:pt idx="308">
                  <c:v>8.6531591583597766E-4</c:v>
                </c:pt>
                <c:pt idx="309">
                  <c:v>8.1623120026741566E-4</c:v>
                </c:pt>
                <c:pt idx="310">
                  <c:v>-1.1345832015713616E-3</c:v>
                </c:pt>
                <c:pt idx="311">
                  <c:v>-8.5414565515290572E-4</c:v>
                </c:pt>
                <c:pt idx="312">
                  <c:v>-1.2983742376843704E-3</c:v>
                </c:pt>
                <c:pt idx="313">
                  <c:v>-4.0759861086614212E-3</c:v>
                </c:pt>
                <c:pt idx="314">
                  <c:v>-2.1553725038263882E-3</c:v>
                </c:pt>
                <c:pt idx="315">
                  <c:v>-1.7151083817826975E-4</c:v>
                </c:pt>
                <c:pt idx="316">
                  <c:v>-1.3271072619417112E-4</c:v>
                </c:pt>
                <c:pt idx="317">
                  <c:v>-3.4158227728442426E-4</c:v>
                </c:pt>
                <c:pt idx="318">
                  <c:v>-1.0775489898479183E-3</c:v>
                </c:pt>
                <c:pt idx="319">
                  <c:v>-1.1114091443719691E-3</c:v>
                </c:pt>
                <c:pt idx="320">
                  <c:v>-7.9461899041754125E-4</c:v>
                </c:pt>
                <c:pt idx="321">
                  <c:v>-1.6375764115299555E-3</c:v>
                </c:pt>
                <c:pt idx="322">
                  <c:v>-7.0064159162592057E-4</c:v>
                </c:pt>
                <c:pt idx="323">
                  <c:v>-1.2936863653515648E-3</c:v>
                </c:pt>
                <c:pt idx="324">
                  <c:v>-2.8033639928983244E-3</c:v>
                </c:pt>
                <c:pt idx="325">
                  <c:v>-1.415017624155273E-3</c:v>
                </c:pt>
                <c:pt idx="326">
                  <c:v>-1.6169501004657536E-3</c:v>
                </c:pt>
                <c:pt idx="327">
                  <c:v>-1.2103319920549658E-3</c:v>
                </c:pt>
                <c:pt idx="328">
                  <c:v>-7.4364694246782008E-4</c:v>
                </c:pt>
                <c:pt idx="329">
                  <c:v>-4.8803738956844464E-4</c:v>
                </c:pt>
                <c:pt idx="330">
                  <c:v>-8.3195886696873589E-4</c:v>
                </c:pt>
                <c:pt idx="331">
                  <c:v>-1.1760471497330939E-3</c:v>
                </c:pt>
                <c:pt idx="332">
                  <c:v>-8.5002653926956957E-4</c:v>
                </c:pt>
                <c:pt idx="333">
                  <c:v>6.8212178542577834E-5</c:v>
                </c:pt>
                <c:pt idx="334">
                  <c:v>2.8147801129006994E-4</c:v>
                </c:pt>
                <c:pt idx="335">
                  <c:v>1.0497819915927266E-4</c:v>
                </c:pt>
                <c:pt idx="336">
                  <c:v>1.0916342599936875E-4</c:v>
                </c:pt>
                <c:pt idx="337">
                  <c:v>-1.4348866959335749E-3</c:v>
                </c:pt>
                <c:pt idx="338">
                  <c:v>3.0013018626916244E-4</c:v>
                </c:pt>
                <c:pt idx="339">
                  <c:v>-4.6691679476084627E-4</c:v>
                </c:pt>
                <c:pt idx="340">
                  <c:v>1.5329275332040708E-4</c:v>
                </c:pt>
                <c:pt idx="341">
                  <c:v>3.5031031399324492E-4</c:v>
                </c:pt>
                <c:pt idx="342">
                  <c:v>6.2909179564538586E-4</c:v>
                </c:pt>
                <c:pt idx="343">
                  <c:v>3.0987906376039794E-5</c:v>
                </c:pt>
                <c:pt idx="344">
                  <c:v>9.9974843173776594E-4</c:v>
                </c:pt>
                <c:pt idx="345">
                  <c:v>-2.0877873116858668E-4</c:v>
                </c:pt>
                <c:pt idx="346">
                  <c:v>2.6024582053087151E-3</c:v>
                </c:pt>
                <c:pt idx="347">
                  <c:v>-8.3101746502165831E-4</c:v>
                </c:pt>
                <c:pt idx="348">
                  <c:v>5.7876542286871364E-4</c:v>
                </c:pt>
                <c:pt idx="349">
                  <c:v>-9.1267800372970935E-4</c:v>
                </c:pt>
                <c:pt idx="350">
                  <c:v>7.1334107163530894E-4</c:v>
                </c:pt>
                <c:pt idx="351">
                  <c:v>1.2784938761120721E-3</c:v>
                </c:pt>
                <c:pt idx="352">
                  <c:v>3.2459117506706391E-3</c:v>
                </c:pt>
                <c:pt idx="353">
                  <c:v>1.3329258204005075E-3</c:v>
                </c:pt>
                <c:pt idx="354">
                  <c:v>4.7661722909218254E-4</c:v>
                </c:pt>
                <c:pt idx="355">
                  <c:v>-7.4822432548763069E-4</c:v>
                </c:pt>
                <c:pt idx="356">
                  <c:v>-5.14008091642686E-4</c:v>
                </c:pt>
                <c:pt idx="357">
                  <c:v>-1.0088767570071541E-3</c:v>
                </c:pt>
                <c:pt idx="358">
                  <c:v>4.2764553457646555E-4</c:v>
                </c:pt>
                <c:pt idx="359">
                  <c:v>-4.7905515425789513E-4</c:v>
                </c:pt>
                <c:pt idx="360">
                  <c:v>-5.627126631993014E-4</c:v>
                </c:pt>
                <c:pt idx="361">
                  <c:v>-1.3108018777281251E-3</c:v>
                </c:pt>
                <c:pt idx="362">
                  <c:v>-8.6859720750286236E-4</c:v>
                </c:pt>
                <c:pt idx="363">
                  <c:v>4.9875828541434361E-4</c:v>
                </c:pt>
                <c:pt idx="364">
                  <c:v>-1.6915333513214835E-3</c:v>
                </c:pt>
                <c:pt idx="365">
                  <c:v>6.2939927190895889E-4</c:v>
                </c:pt>
                <c:pt idx="366">
                  <c:v>1.1507977399704086E-3</c:v>
                </c:pt>
                <c:pt idx="367">
                  <c:v>-1.9595226351053056E-3</c:v>
                </c:pt>
                <c:pt idx="368">
                  <c:v>-1.2007935146817431E-3</c:v>
                </c:pt>
                <c:pt idx="369">
                  <c:v>-2.2961548232728151E-4</c:v>
                </c:pt>
                <c:pt idx="370">
                  <c:v>3.1887956353791802E-3</c:v>
                </c:pt>
                <c:pt idx="371">
                  <c:v>5.0125840803758654E-5</c:v>
                </c:pt>
                <c:pt idx="372">
                  <c:v>-9.4115446955726192E-4</c:v>
                </c:pt>
                <c:pt idx="373">
                  <c:v>6.5448272245158257E-4</c:v>
                </c:pt>
                <c:pt idx="374">
                  <c:v>-1.9495914985071674E-4</c:v>
                </c:pt>
                <c:pt idx="375">
                  <c:v>1.8985111280215886E-4</c:v>
                </c:pt>
                <c:pt idx="376">
                  <c:v>-2.4217188425725757E-4</c:v>
                </c:pt>
                <c:pt idx="377">
                  <c:v>2.7782997354379565E-4</c:v>
                </c:pt>
                <c:pt idx="378">
                  <c:v>7.5325601727349242E-4</c:v>
                </c:pt>
                <c:pt idx="379">
                  <c:v>4.0633977816697793E-4</c:v>
                </c:pt>
                <c:pt idx="380">
                  <c:v>1.1913952942309808E-3</c:v>
                </c:pt>
                <c:pt idx="381">
                  <c:v>1.622033635856467E-4</c:v>
                </c:pt>
                <c:pt idx="382">
                  <c:v>-3.336578912120446E-4</c:v>
                </c:pt>
                <c:pt idx="383">
                  <c:v>-5.8132820312015003E-4</c:v>
                </c:pt>
                <c:pt idx="384">
                  <c:v>1.2153463808926201E-3</c:v>
                </c:pt>
                <c:pt idx="385">
                  <c:v>9.2116847945600201E-4</c:v>
                </c:pt>
                <c:pt idx="386">
                  <c:v>1.2497730523845115E-3</c:v>
                </c:pt>
                <c:pt idx="387">
                  <c:v>3.5429228858185647E-4</c:v>
                </c:pt>
                <c:pt idx="388">
                  <c:v>2.8455099228268777E-4</c:v>
                </c:pt>
                <c:pt idx="389">
                  <c:v>-1.9126638278536988E-4</c:v>
                </c:pt>
                <c:pt idx="390">
                  <c:v>-6.0016440473077625E-5</c:v>
                </c:pt>
                <c:pt idx="391">
                  <c:v>-4.8412619175156236E-7</c:v>
                </c:pt>
                <c:pt idx="392">
                  <c:v>1.0257642010672663E-3</c:v>
                </c:pt>
                <c:pt idx="393">
                  <c:v>7.8689625931920135E-4</c:v>
                </c:pt>
                <c:pt idx="394">
                  <c:v>-2.152181135426592E-4</c:v>
                </c:pt>
                <c:pt idx="395">
                  <c:v>-9.9557958032660027E-4</c:v>
                </c:pt>
                <c:pt idx="396">
                  <c:v>-5.9058076443137156E-4</c:v>
                </c:pt>
                <c:pt idx="397">
                  <c:v>3.8274663409143815E-4</c:v>
                </c:pt>
                <c:pt idx="398">
                  <c:v>7.3595402916142526E-4</c:v>
                </c:pt>
                <c:pt idx="399">
                  <c:v>-1.2357041149971143E-4</c:v>
                </c:pt>
                <c:pt idx="400">
                  <c:v>1.7448584386417611E-3</c:v>
                </c:pt>
                <c:pt idx="401">
                  <c:v>4.1087034623392237E-4</c:v>
                </c:pt>
                <c:pt idx="402">
                  <c:v>8.9520311069847004E-4</c:v>
                </c:pt>
                <c:pt idx="403">
                  <c:v>-1.4549201831523498E-4</c:v>
                </c:pt>
                <c:pt idx="404">
                  <c:v>-4.6384311198551346E-5</c:v>
                </c:pt>
                <c:pt idx="405">
                  <c:v>-6.5532110489244135E-4</c:v>
                </c:pt>
                <c:pt idx="406">
                  <c:v>-1.8378995186298828E-3</c:v>
                </c:pt>
                <c:pt idx="407">
                  <c:v>-2.9641483985043387E-3</c:v>
                </c:pt>
                <c:pt idx="408">
                  <c:v>-1.2112766871986108E-3</c:v>
                </c:pt>
                <c:pt idx="409">
                  <c:v>-7.3154041996109894E-3</c:v>
                </c:pt>
                <c:pt idx="410">
                  <c:v>-1.1807623225411094E-2</c:v>
                </c:pt>
                <c:pt idx="411">
                  <c:v>-6.2529241960945755E-3</c:v>
                </c:pt>
                <c:pt idx="412">
                  <c:v>-4.2255826855660357E-3</c:v>
                </c:pt>
                <c:pt idx="413">
                  <c:v>-9.7405465979179141E-3</c:v>
                </c:pt>
                <c:pt idx="414">
                  <c:v>-9.9512174027480849E-3</c:v>
                </c:pt>
                <c:pt idx="415">
                  <c:v>-6.2056854493333187E-3</c:v>
                </c:pt>
                <c:pt idx="416">
                  <c:v>-4.1341814625661041E-3</c:v>
                </c:pt>
                <c:pt idx="417">
                  <c:v>-2.8609354131920294E-3</c:v>
                </c:pt>
                <c:pt idx="418">
                  <c:v>-2.8112120968349029E-3</c:v>
                </c:pt>
                <c:pt idx="419">
                  <c:v>-6.7891444354530898E-3</c:v>
                </c:pt>
                <c:pt idx="420">
                  <c:v>-3.2893648070642227E-3</c:v>
                </c:pt>
                <c:pt idx="421">
                  <c:v>-1.6748825897784869E-2</c:v>
                </c:pt>
                <c:pt idx="422">
                  <c:v>-6.7405684984646157E-3</c:v>
                </c:pt>
                <c:pt idx="423">
                  <c:v>1.9852551473009189E-3</c:v>
                </c:pt>
                <c:pt idx="424">
                  <c:v>2.3627727172488419E-3</c:v>
                </c:pt>
                <c:pt idx="425">
                  <c:v>-6.5087267726156382E-4</c:v>
                </c:pt>
                <c:pt idx="426">
                  <c:v>-3.790426795700296E-3</c:v>
                </c:pt>
                <c:pt idx="427">
                  <c:v>-3.3232089288635237E-3</c:v>
                </c:pt>
                <c:pt idx="428">
                  <c:v>-3.7295022735531389E-3</c:v>
                </c:pt>
                <c:pt idx="429">
                  <c:v>-9.7418314808535109E-3</c:v>
                </c:pt>
                <c:pt idx="430">
                  <c:v>-5.9760055334859676E-3</c:v>
                </c:pt>
                <c:pt idx="431">
                  <c:v>-7.4636578555176466E-3</c:v>
                </c:pt>
                <c:pt idx="432">
                  <c:v>-9.2909139835784995E-3</c:v>
                </c:pt>
                <c:pt idx="433">
                  <c:v>-4.9297066471039224E-3</c:v>
                </c:pt>
                <c:pt idx="434">
                  <c:v>-8.0946428740744699E-3</c:v>
                </c:pt>
                <c:pt idx="435">
                  <c:v>-7.5579444396047767E-3</c:v>
                </c:pt>
                <c:pt idx="436">
                  <c:v>-4.0376502888616267E-3</c:v>
                </c:pt>
                <c:pt idx="437">
                  <c:v>-6.6149817738908635E-3</c:v>
                </c:pt>
                <c:pt idx="438">
                  <c:v>-2.1210418550545642E-3</c:v>
                </c:pt>
                <c:pt idx="439">
                  <c:v>-2.5953579579907119E-3</c:v>
                </c:pt>
                <c:pt idx="440">
                  <c:v>-4.0339558790425485E-3</c:v>
                </c:pt>
                <c:pt idx="441">
                  <c:v>-2.5683053024987833E-3</c:v>
                </c:pt>
                <c:pt idx="442">
                  <c:v>-1.8591497771259194E-3</c:v>
                </c:pt>
                <c:pt idx="443">
                  <c:v>-3.979307776634391E-3</c:v>
                </c:pt>
                <c:pt idx="444">
                  <c:v>-6.599622975883639E-3</c:v>
                </c:pt>
                <c:pt idx="445">
                  <c:v>-3.7941454678795498E-3</c:v>
                </c:pt>
                <c:pt idx="446">
                  <c:v>-3.0078392952939056E-3</c:v>
                </c:pt>
                <c:pt idx="447">
                  <c:v>-3.3484542444484249E-3</c:v>
                </c:pt>
                <c:pt idx="448">
                  <c:v>-3.051262870357807E-3</c:v>
                </c:pt>
                <c:pt idx="449">
                  <c:v>-2.5902850880940641E-3</c:v>
                </c:pt>
                <c:pt idx="450">
                  <c:v>-2.8138173665091149E-3</c:v>
                </c:pt>
                <c:pt idx="451">
                  <c:v>2.1557828113761662E-4</c:v>
                </c:pt>
                <c:pt idx="452">
                  <c:v>-4.2191430649584933E-3</c:v>
                </c:pt>
                <c:pt idx="453">
                  <c:v>-4.7423930078990427E-3</c:v>
                </c:pt>
                <c:pt idx="454">
                  <c:v>-4.2098035993457187E-3</c:v>
                </c:pt>
                <c:pt idx="455">
                  <c:v>-2.4716559204885288E-3</c:v>
                </c:pt>
                <c:pt idx="456">
                  <c:v>-3.3617926737226481E-3</c:v>
                </c:pt>
                <c:pt idx="457">
                  <c:v>-4.2557375224440584E-3</c:v>
                </c:pt>
                <c:pt idx="458">
                  <c:v>-1.8676272942253062E-3</c:v>
                </c:pt>
                <c:pt idx="459">
                  <c:v>-3.5632734990811627E-3</c:v>
                </c:pt>
                <c:pt idx="460">
                  <c:v>-3.5330669562148925E-3</c:v>
                </c:pt>
                <c:pt idx="461">
                  <c:v>-3.6176199675592921E-3</c:v>
                </c:pt>
                <c:pt idx="462">
                  <c:v>-4.1991578622863623E-3</c:v>
                </c:pt>
                <c:pt idx="463">
                  <c:v>-3.4723185631943604E-3</c:v>
                </c:pt>
                <c:pt idx="464">
                  <c:v>-3.8287674979794852E-3</c:v>
                </c:pt>
                <c:pt idx="465">
                  <c:v>-4.5108173092881119E-3</c:v>
                </c:pt>
                <c:pt idx="466">
                  <c:v>-3.398852760931425E-3</c:v>
                </c:pt>
                <c:pt idx="467">
                  <c:v>-2.0317365929372385E-3</c:v>
                </c:pt>
                <c:pt idx="468">
                  <c:v>-2.0135414837287187E-3</c:v>
                </c:pt>
                <c:pt idx="469">
                  <c:v>-9.3610072013493816E-4</c:v>
                </c:pt>
                <c:pt idx="470">
                  <c:v>1.2805635927313212E-3</c:v>
                </c:pt>
                <c:pt idx="471">
                  <c:v>-2.2463838837548447E-3</c:v>
                </c:pt>
                <c:pt idx="472">
                  <c:v>-3.7190878464917407E-3</c:v>
                </c:pt>
                <c:pt idx="473">
                  <c:v>-3.2956531287184282E-3</c:v>
                </c:pt>
                <c:pt idx="474">
                  <c:v>-2.5365107508238702E-3</c:v>
                </c:pt>
                <c:pt idx="475">
                  <c:v>-3.7888980727536045E-3</c:v>
                </c:pt>
                <c:pt idx="476">
                  <c:v>1.0284310435880256E-3</c:v>
                </c:pt>
                <c:pt idx="477">
                  <c:v>3.6826740865615599E-3</c:v>
                </c:pt>
                <c:pt idx="478">
                  <c:v>-2.9008306906580443E-3</c:v>
                </c:pt>
                <c:pt idx="479">
                  <c:v>-3.1379708377732266E-3</c:v>
                </c:pt>
                <c:pt idx="480">
                  <c:v>-3.5572760901792992E-3</c:v>
                </c:pt>
                <c:pt idx="481">
                  <c:v>-3.5878512116834286E-3</c:v>
                </c:pt>
                <c:pt idx="482">
                  <c:v>-2.6084002374677858E-3</c:v>
                </c:pt>
                <c:pt idx="483">
                  <c:v>-1.3844798605176789E-3</c:v>
                </c:pt>
                <c:pt idx="484">
                  <c:v>-4.6643293296221066E-3</c:v>
                </c:pt>
                <c:pt idx="485">
                  <c:v>-4.0772671689510917E-3</c:v>
                </c:pt>
                <c:pt idx="486">
                  <c:v>-3.5757081676108908E-3</c:v>
                </c:pt>
                <c:pt idx="487">
                  <c:v>-2.3624558760342545E-3</c:v>
                </c:pt>
                <c:pt idx="488">
                  <c:v>-2.8627121945934077E-3</c:v>
                </c:pt>
                <c:pt idx="489">
                  <c:v>-2.6689140052257266E-3</c:v>
                </c:pt>
                <c:pt idx="490">
                  <c:v>-3.3860625193169532E-3</c:v>
                </c:pt>
                <c:pt idx="491">
                  <c:v>-1.2262077644834292E-3</c:v>
                </c:pt>
                <c:pt idx="492">
                  <c:v>-3.259111390870342E-3</c:v>
                </c:pt>
                <c:pt idx="493">
                  <c:v>-2.3063235322478932E-3</c:v>
                </c:pt>
                <c:pt idx="494">
                  <c:v>-3.5396744828555154E-4</c:v>
                </c:pt>
                <c:pt idx="495">
                  <c:v>-2.6550558307929292E-3</c:v>
                </c:pt>
                <c:pt idx="496">
                  <c:v>-1.6189498781929747E-3</c:v>
                </c:pt>
                <c:pt idx="497">
                  <c:v>-3.0939423415659306E-3</c:v>
                </c:pt>
                <c:pt idx="498">
                  <c:v>-2.6890702807371757E-3</c:v>
                </c:pt>
                <c:pt idx="499">
                  <c:v>-8.124892092664939E-4</c:v>
                </c:pt>
                <c:pt idx="500">
                  <c:v>-8.9950447399714728E-4</c:v>
                </c:pt>
                <c:pt idx="501">
                  <c:v>-3.0553933232654899E-3</c:v>
                </c:pt>
                <c:pt idx="502">
                  <c:v>-2.9996234387813891E-3</c:v>
                </c:pt>
                <c:pt idx="503">
                  <c:v>-2.9549633432385983E-3</c:v>
                </c:pt>
                <c:pt idx="504">
                  <c:v>-1.9511742695138253E-3</c:v>
                </c:pt>
                <c:pt idx="505">
                  <c:v>-1.7823449484306278E-3</c:v>
                </c:pt>
                <c:pt idx="506">
                  <c:v>-3.227080277196571E-3</c:v>
                </c:pt>
                <c:pt idx="507">
                  <c:v>-5.7700432953457816E-3</c:v>
                </c:pt>
                <c:pt idx="508">
                  <c:v>-3.6743084471793489E-3</c:v>
                </c:pt>
                <c:pt idx="509">
                  <c:v>-3.1168160415474344E-3</c:v>
                </c:pt>
                <c:pt idx="510">
                  <c:v>-3.3065342310272024E-3</c:v>
                </c:pt>
                <c:pt idx="511">
                  <c:v>-3.1889981601183836E-3</c:v>
                </c:pt>
                <c:pt idx="512">
                  <c:v>-1.4110346435170722E-2</c:v>
                </c:pt>
                <c:pt idx="513">
                  <c:v>-8.749433730089913E-3</c:v>
                </c:pt>
                <c:pt idx="514">
                  <c:v>-4.3473441147533322E-3</c:v>
                </c:pt>
                <c:pt idx="515">
                  <c:v>-5.2622610802365534E-3</c:v>
                </c:pt>
                <c:pt idx="516">
                  <c:v>-8.4964030602564331E-3</c:v>
                </c:pt>
                <c:pt idx="517">
                  <c:v>-3.9650199127983111E-3</c:v>
                </c:pt>
                <c:pt idx="518">
                  <c:v>-4.3742402738745027E-3</c:v>
                </c:pt>
                <c:pt idx="519">
                  <c:v>-3.7438755985907549E-3</c:v>
                </c:pt>
                <c:pt idx="520">
                  <c:v>-4.3987176228950124E-3</c:v>
                </c:pt>
                <c:pt idx="521">
                  <c:v>-4.0970266150525559E-3</c:v>
                </c:pt>
                <c:pt idx="522">
                  <c:v>-2.6918872356484309E-3</c:v>
                </c:pt>
                <c:pt idx="523">
                  <c:v>-2.4357427296455522E-3</c:v>
                </c:pt>
                <c:pt idx="524">
                  <c:v>-1.408834028066274E-3</c:v>
                </c:pt>
                <c:pt idx="525">
                  <c:v>-2.2885059037332308E-3</c:v>
                </c:pt>
                <c:pt idx="526">
                  <c:v>-1.9953468062515961E-3</c:v>
                </c:pt>
                <c:pt idx="527">
                  <c:v>-2.0159690371573946E-3</c:v>
                </c:pt>
                <c:pt idx="528">
                  <c:v>-1.789421318971705E-3</c:v>
                </c:pt>
                <c:pt idx="529">
                  <c:v>-3.0581103401039543E-3</c:v>
                </c:pt>
                <c:pt idx="530">
                  <c:v>-3.2491982313832806E-3</c:v>
                </c:pt>
                <c:pt idx="531">
                  <c:v>-3.1148453872602995E-3</c:v>
                </c:pt>
                <c:pt idx="532">
                  <c:v>4.9482702796711363E-4</c:v>
                </c:pt>
                <c:pt idx="533">
                  <c:v>-1.5010779077643411E-3</c:v>
                </c:pt>
                <c:pt idx="534">
                  <c:v>-3.6457362117496605E-4</c:v>
                </c:pt>
                <c:pt idx="535">
                  <c:v>-2.5822230582045178E-3</c:v>
                </c:pt>
                <c:pt idx="536">
                  <c:v>-3.6821701175250043E-3</c:v>
                </c:pt>
                <c:pt idx="537">
                  <c:v>-1.6869870921450614E-3</c:v>
                </c:pt>
                <c:pt idx="538">
                  <c:v>-2.782112272750996E-3</c:v>
                </c:pt>
                <c:pt idx="539">
                  <c:v>-3.4446663503904149E-3</c:v>
                </c:pt>
                <c:pt idx="540">
                  <c:v>-4.0024829104998898E-3</c:v>
                </c:pt>
                <c:pt idx="541">
                  <c:v>-4.2137920266716103E-3</c:v>
                </c:pt>
                <c:pt idx="542">
                  <c:v>-1.7636506381686922E-3</c:v>
                </c:pt>
                <c:pt idx="543">
                  <c:v>-3.2702361925808269E-3</c:v>
                </c:pt>
                <c:pt idx="544">
                  <c:v>-2.9739732851397677E-3</c:v>
                </c:pt>
                <c:pt idx="545">
                  <c:v>-1.9915862935894527E-3</c:v>
                </c:pt>
                <c:pt idx="546">
                  <c:v>-2.8135064480419095E-3</c:v>
                </c:pt>
                <c:pt idx="547">
                  <c:v>-5.5181804885689901E-3</c:v>
                </c:pt>
                <c:pt idx="548">
                  <c:v>-4.9351971496103698E-3</c:v>
                </c:pt>
                <c:pt idx="549">
                  <c:v>-3.9487783752977183E-3</c:v>
                </c:pt>
                <c:pt idx="550">
                  <c:v>-3.3294405650415851E-3</c:v>
                </c:pt>
                <c:pt idx="551">
                  <c:v>-3.7806178553524599E-3</c:v>
                </c:pt>
                <c:pt idx="552">
                  <c:v>-3.4571654759853851E-3</c:v>
                </c:pt>
                <c:pt idx="553">
                  <c:v>-4.0219129921972227E-3</c:v>
                </c:pt>
                <c:pt idx="554">
                  <c:v>-3.8639091145438601E-3</c:v>
                </c:pt>
                <c:pt idx="555">
                  <c:v>-3.6732478810036872E-3</c:v>
                </c:pt>
                <c:pt idx="556">
                  <c:v>-4.4985870275626059E-3</c:v>
                </c:pt>
                <c:pt idx="557">
                  <c:v>-3.6902698695716E-3</c:v>
                </c:pt>
                <c:pt idx="558">
                  <c:v>-4.194944466248492E-3</c:v>
                </c:pt>
                <c:pt idx="559">
                  <c:v>-4.1350151698620382E-3</c:v>
                </c:pt>
                <c:pt idx="560">
                  <c:v>-4.4746273352247795E-3</c:v>
                </c:pt>
                <c:pt idx="561">
                  <c:v>-5.0367135784366709E-3</c:v>
                </c:pt>
                <c:pt idx="562">
                  <c:v>-4.8447307370825757E-3</c:v>
                </c:pt>
                <c:pt idx="563">
                  <c:v>-4.0252705913112266E-3</c:v>
                </c:pt>
                <c:pt idx="564">
                  <c:v>-3.1607846622433442E-3</c:v>
                </c:pt>
                <c:pt idx="565">
                  <c:v>-3.3584660087213566E-3</c:v>
                </c:pt>
                <c:pt idx="566">
                  <c:v>-5.1998207386878149E-3</c:v>
                </c:pt>
                <c:pt idx="567">
                  <c:v>-1.6191214036241408E-2</c:v>
                </c:pt>
                <c:pt idx="568">
                  <c:v>-1.553344037308411E-2</c:v>
                </c:pt>
                <c:pt idx="569">
                  <c:v>-1.5213591884137755E-2</c:v>
                </c:pt>
                <c:pt idx="570">
                  <c:v>-1.9218002507473086E-2</c:v>
                </c:pt>
                <c:pt idx="571">
                  <c:v>-1.9653551077787747E-2</c:v>
                </c:pt>
                <c:pt idx="572">
                  <c:v>-2.113488193976551E-2</c:v>
                </c:pt>
                <c:pt idx="573">
                  <c:v>-1.6870339014487288E-2</c:v>
                </c:pt>
                <c:pt idx="574">
                  <c:v>-1.5940183797366891E-2</c:v>
                </c:pt>
                <c:pt idx="575">
                  <c:v>-8.1625046550790736E-3</c:v>
                </c:pt>
                <c:pt idx="576">
                  <c:v>-9.9594662984693397E-3</c:v>
                </c:pt>
                <c:pt idx="577">
                  <c:v>-1.5101754257220414E-2</c:v>
                </c:pt>
                <c:pt idx="578">
                  <c:v>-7.7025388632995353E-3</c:v>
                </c:pt>
                <c:pt idx="579">
                  <c:v>-7.6871542726698553E-3</c:v>
                </c:pt>
                <c:pt idx="580">
                  <c:v>-1.0589517537746521E-2</c:v>
                </c:pt>
                <c:pt idx="581">
                  <c:v>-2.2791608290690619E-2</c:v>
                </c:pt>
                <c:pt idx="582">
                  <c:v>-1.8134479657359648E-2</c:v>
                </c:pt>
                <c:pt idx="583">
                  <c:v>-1.2067390341493478E-2</c:v>
                </c:pt>
                <c:pt idx="584">
                  <c:v>-4.9560355600652712E-3</c:v>
                </c:pt>
                <c:pt idx="585">
                  <c:v>-4.7193789990637551E-3</c:v>
                </c:pt>
                <c:pt idx="586">
                  <c:v>-3.1847149045945381E-3</c:v>
                </c:pt>
                <c:pt idx="587">
                  <c:v>-1.8688620694453082E-3</c:v>
                </c:pt>
                <c:pt idx="588">
                  <c:v>-3.7027966998547418E-3</c:v>
                </c:pt>
                <c:pt idx="589">
                  <c:v>-3.2030834606716348E-3</c:v>
                </c:pt>
                <c:pt idx="590">
                  <c:v>-3.0800564500748028E-3</c:v>
                </c:pt>
                <c:pt idx="591">
                  <c:v>-1.327483407451603E-3</c:v>
                </c:pt>
                <c:pt idx="592">
                  <c:v>-2.0636015045886955E-3</c:v>
                </c:pt>
                <c:pt idx="593">
                  <c:v>-3.2336017018779035E-3</c:v>
                </c:pt>
                <c:pt idx="594">
                  <c:v>-4.0893655084828116E-3</c:v>
                </c:pt>
                <c:pt idx="595">
                  <c:v>-3.6401762538774657E-3</c:v>
                </c:pt>
                <c:pt idx="596">
                  <c:v>-3.330183709635949E-3</c:v>
                </c:pt>
                <c:pt idx="597">
                  <c:v>-3.640323700984464E-3</c:v>
                </c:pt>
                <c:pt idx="598">
                  <c:v>-1.9018390312695458E-3</c:v>
                </c:pt>
                <c:pt idx="599">
                  <c:v>-3.0402771900909843E-3</c:v>
                </c:pt>
                <c:pt idx="600">
                  <c:v>-2.2625629000623303E-3</c:v>
                </c:pt>
                <c:pt idx="601">
                  <c:v>-1.5859689493213066E-3</c:v>
                </c:pt>
                <c:pt idx="602">
                  <c:v>-2.5106139697981928E-3</c:v>
                </c:pt>
                <c:pt idx="603">
                  <c:v>-2.306535014016944E-3</c:v>
                </c:pt>
                <c:pt idx="604">
                  <c:v>-2.4890312246330982E-3</c:v>
                </c:pt>
                <c:pt idx="605">
                  <c:v>-2.8189629536051813E-3</c:v>
                </c:pt>
                <c:pt idx="606">
                  <c:v>-2.0267797997771315E-3</c:v>
                </c:pt>
                <c:pt idx="607">
                  <c:v>-2.0853159313337808E-3</c:v>
                </c:pt>
                <c:pt idx="608">
                  <c:v>-1.450054880846451E-3</c:v>
                </c:pt>
                <c:pt idx="609">
                  <c:v>-1.8935150625009535E-3</c:v>
                </c:pt>
                <c:pt idx="610">
                  <c:v>-4.2848822256530503E-4</c:v>
                </c:pt>
                <c:pt idx="611">
                  <c:v>-5.2513594706712083E-4</c:v>
                </c:pt>
                <c:pt idx="612">
                  <c:v>-1.7163780139155546E-3</c:v>
                </c:pt>
                <c:pt idx="613">
                  <c:v>-1.6930297672314919E-3</c:v>
                </c:pt>
                <c:pt idx="614">
                  <c:v>-1.6057659515380115E-3</c:v>
                </c:pt>
                <c:pt idx="615">
                  <c:v>-1.5738175670742469E-3</c:v>
                </c:pt>
                <c:pt idx="616">
                  <c:v>-1.97876174649799E-3</c:v>
                </c:pt>
                <c:pt idx="617">
                  <c:v>-2.1141291186076746E-3</c:v>
                </c:pt>
                <c:pt idx="618">
                  <c:v>-1.0097108181442887E-3</c:v>
                </c:pt>
                <c:pt idx="619">
                  <c:v>-1.0881202298601968E-3</c:v>
                </c:pt>
                <c:pt idx="620">
                  <c:v>-1.0708497333337128E-3</c:v>
                </c:pt>
                <c:pt idx="621">
                  <c:v>-9.9191205298209155E-4</c:v>
                </c:pt>
                <c:pt idx="622">
                  <c:v>-1.3653798820225614E-3</c:v>
                </c:pt>
                <c:pt idx="623">
                  <c:v>-1.1617178525718532E-3</c:v>
                </c:pt>
                <c:pt idx="624">
                  <c:v>-1.2555683429089537E-3</c:v>
                </c:pt>
                <c:pt idx="625">
                  <c:v>-1.6629848663958951E-3</c:v>
                </c:pt>
                <c:pt idx="626">
                  <c:v>-7.7316457440754455E-4</c:v>
                </c:pt>
                <c:pt idx="627">
                  <c:v>-9.6310499054582104E-4</c:v>
                </c:pt>
                <c:pt idx="628">
                  <c:v>-1.3530064772490225E-3</c:v>
                </c:pt>
                <c:pt idx="629">
                  <c:v>-5.8302565706396295E-4</c:v>
                </c:pt>
                <c:pt idx="630">
                  <c:v>-1.4449940565637392E-3</c:v>
                </c:pt>
                <c:pt idx="631">
                  <c:v>-2.2548360386076523E-3</c:v>
                </c:pt>
                <c:pt idx="632">
                  <c:v>-1.6583587600043782E-3</c:v>
                </c:pt>
                <c:pt idx="633">
                  <c:v>-1.2652815537454471E-3</c:v>
                </c:pt>
                <c:pt idx="634">
                  <c:v>-1.5230042586657794E-3</c:v>
                </c:pt>
                <c:pt idx="635">
                  <c:v>-1.464543791926478E-3</c:v>
                </c:pt>
                <c:pt idx="636">
                  <c:v>-1.4292206691355882E-3</c:v>
                </c:pt>
                <c:pt idx="637">
                  <c:v>-1.8696312298195751E-3</c:v>
                </c:pt>
                <c:pt idx="638">
                  <c:v>-1.6717390562385785E-3</c:v>
                </c:pt>
                <c:pt idx="639">
                  <c:v>-1.8342647622568813E-3</c:v>
                </c:pt>
                <c:pt idx="640">
                  <c:v>-2.2114817342544285E-3</c:v>
                </c:pt>
                <c:pt idx="641">
                  <c:v>-1.3272163439937285E-3</c:v>
                </c:pt>
                <c:pt idx="642">
                  <c:v>-1.4828563231140271E-3</c:v>
                </c:pt>
                <c:pt idx="643">
                  <c:v>-1.7311203969094721E-3</c:v>
                </c:pt>
                <c:pt idx="644">
                  <c:v>-1.1429119777300431E-3</c:v>
                </c:pt>
                <c:pt idx="645">
                  <c:v>-2.0542612133286416E-3</c:v>
                </c:pt>
                <c:pt idx="646">
                  <c:v>-1.0816470570407528E-3</c:v>
                </c:pt>
                <c:pt idx="647">
                  <c:v>5.303027289718812E-4</c:v>
                </c:pt>
                <c:pt idx="648">
                  <c:v>-4.017533274797339E-4</c:v>
                </c:pt>
                <c:pt idx="649">
                  <c:v>-1.4149338468391675E-3</c:v>
                </c:pt>
                <c:pt idx="650">
                  <c:v>-9.1062741289716839E-4</c:v>
                </c:pt>
                <c:pt idx="651">
                  <c:v>8.6893170511280308E-4</c:v>
                </c:pt>
                <c:pt idx="652">
                  <c:v>-3.5648111156752601E-4</c:v>
                </c:pt>
                <c:pt idx="653">
                  <c:v>-1.3978648788289883E-3</c:v>
                </c:pt>
                <c:pt idx="654">
                  <c:v>-1.1437976780075369E-4</c:v>
                </c:pt>
                <c:pt idx="655">
                  <c:v>-2.6508516642010185E-4</c:v>
                </c:pt>
                <c:pt idx="656">
                  <c:v>-7.5198641913737526E-4</c:v>
                </c:pt>
                <c:pt idx="657">
                  <c:v>-1.1074412224208337E-3</c:v>
                </c:pt>
                <c:pt idx="658">
                  <c:v>-1.3839019382709519E-3</c:v>
                </c:pt>
                <c:pt idx="659">
                  <c:v>-2.1748203142263911E-3</c:v>
                </c:pt>
                <c:pt idx="660">
                  <c:v>3.6244236358418667E-4</c:v>
                </c:pt>
                <c:pt idx="661">
                  <c:v>-1.9936457808102979E-4</c:v>
                </c:pt>
                <c:pt idx="662">
                  <c:v>-2.0400445001501381E-4</c:v>
                </c:pt>
                <c:pt idx="663">
                  <c:v>-1.1326865316370705E-3</c:v>
                </c:pt>
                <c:pt idx="664">
                  <c:v>-5.759898583069283E-4</c:v>
                </c:pt>
                <c:pt idx="665">
                  <c:v>-1.1191421215728068E-3</c:v>
                </c:pt>
                <c:pt idx="666">
                  <c:v>-1.3376583633204937E-3</c:v>
                </c:pt>
                <c:pt idx="667">
                  <c:v>-6.4778795777517312E-4</c:v>
                </c:pt>
                <c:pt idx="668">
                  <c:v>-4.5527372205921419E-4</c:v>
                </c:pt>
                <c:pt idx="669">
                  <c:v>-1.6490266113730421E-3</c:v>
                </c:pt>
                <c:pt idx="670">
                  <c:v>-6.4618416378793607E-4</c:v>
                </c:pt>
                <c:pt idx="671">
                  <c:v>-1.2766179875291889E-3</c:v>
                </c:pt>
                <c:pt idx="672">
                  <c:v>-2.100053126990025E-3</c:v>
                </c:pt>
                <c:pt idx="673">
                  <c:v>-3.3077273526602924E-3</c:v>
                </c:pt>
                <c:pt idx="674">
                  <c:v>-5.38448823249733E-4</c:v>
                </c:pt>
                <c:pt idx="675">
                  <c:v>-6.2355264536825188E-4</c:v>
                </c:pt>
                <c:pt idx="676">
                  <c:v>-1.3358259630670923E-3</c:v>
                </c:pt>
                <c:pt idx="677">
                  <c:v>1.0175959188061065E-3</c:v>
                </c:pt>
                <c:pt idx="678">
                  <c:v>-7.0938109141913943E-4</c:v>
                </c:pt>
                <c:pt idx="679">
                  <c:v>5.4415291237284395E-4</c:v>
                </c:pt>
                <c:pt idx="680">
                  <c:v>3.3986299828119046E-3</c:v>
                </c:pt>
                <c:pt idx="681">
                  <c:v>1.2512565637670804E-3</c:v>
                </c:pt>
                <c:pt idx="682">
                  <c:v>-1.9796157142886275E-4</c:v>
                </c:pt>
                <c:pt idx="683">
                  <c:v>-4.8890408076394747E-4</c:v>
                </c:pt>
                <c:pt idx="684">
                  <c:v>-7.3574018223310331E-4</c:v>
                </c:pt>
                <c:pt idx="685">
                  <c:v>-1.0558692605814517E-3</c:v>
                </c:pt>
                <c:pt idx="686">
                  <c:v>-1.1163743669269175E-3</c:v>
                </c:pt>
                <c:pt idx="687">
                  <c:v>-1.0475090553459625E-3</c:v>
                </c:pt>
                <c:pt idx="688">
                  <c:v>3.660618927359752E-4</c:v>
                </c:pt>
                <c:pt idx="689">
                  <c:v>-7.2425772411701913E-4</c:v>
                </c:pt>
                <c:pt idx="690">
                  <c:v>-6.1108390342479743E-4</c:v>
                </c:pt>
                <c:pt idx="691">
                  <c:v>-6.2746073775988794E-4</c:v>
                </c:pt>
                <c:pt idx="692">
                  <c:v>5.9782789983679978E-5</c:v>
                </c:pt>
                <c:pt idx="693">
                  <c:v>-1.0202876766124188E-3</c:v>
                </c:pt>
                <c:pt idx="694">
                  <c:v>-5.6649122766581526E-4</c:v>
                </c:pt>
                <c:pt idx="695">
                  <c:v>-1.4164869160260767E-4</c:v>
                </c:pt>
                <c:pt idx="696">
                  <c:v>-4.2394181730779653E-4</c:v>
                </c:pt>
                <c:pt idx="697">
                  <c:v>-7.8564388327116697E-4</c:v>
                </c:pt>
                <c:pt idx="698">
                  <c:v>-1.813747643919682E-3</c:v>
                </c:pt>
                <c:pt idx="699">
                  <c:v>1.1268893790478105E-4</c:v>
                </c:pt>
                <c:pt idx="700">
                  <c:v>3.5266311332236584E-4</c:v>
                </c:pt>
                <c:pt idx="701">
                  <c:v>1.297407025574289E-3</c:v>
                </c:pt>
                <c:pt idx="702">
                  <c:v>-4.0772578204382324E-5</c:v>
                </c:pt>
                <c:pt idx="703">
                  <c:v>4.3295765230116136E-4</c:v>
                </c:pt>
                <c:pt idx="704">
                  <c:v>1.3193754027974734E-4</c:v>
                </c:pt>
                <c:pt idx="705">
                  <c:v>1.9781470083457886E-4</c:v>
                </c:pt>
                <c:pt idx="706">
                  <c:v>4.9335044842157855E-4</c:v>
                </c:pt>
                <c:pt idx="707">
                  <c:v>-8.8535350485848582E-4</c:v>
                </c:pt>
                <c:pt idx="708">
                  <c:v>-5.2456143901795094E-3</c:v>
                </c:pt>
                <c:pt idx="709">
                  <c:v>-8.3351452097363728E-3</c:v>
                </c:pt>
                <c:pt idx="710">
                  <c:v>-2.8066085406207976E-3</c:v>
                </c:pt>
                <c:pt idx="711">
                  <c:v>-6.8691357222149029E-4</c:v>
                </c:pt>
                <c:pt idx="712">
                  <c:v>-1.0014889449599697E-4</c:v>
                </c:pt>
                <c:pt idx="713">
                  <c:v>-6.6765379956877082E-4</c:v>
                </c:pt>
                <c:pt idx="714">
                  <c:v>-2.182638040653486E-3</c:v>
                </c:pt>
                <c:pt idx="715">
                  <c:v>-3.1188688792710808E-3</c:v>
                </c:pt>
                <c:pt idx="716">
                  <c:v>-3.3192095793623953E-3</c:v>
                </c:pt>
                <c:pt idx="717">
                  <c:v>-5.7182842994788819E-4</c:v>
                </c:pt>
                <c:pt idx="718">
                  <c:v>-3.8815272450578225E-4</c:v>
                </c:pt>
                <c:pt idx="719">
                  <c:v>-3.4562230081805626E-3</c:v>
                </c:pt>
                <c:pt idx="720">
                  <c:v>-1.7467053585058987E-3</c:v>
                </c:pt>
                <c:pt idx="721">
                  <c:v>-1.9142605165475993E-3</c:v>
                </c:pt>
                <c:pt idx="722">
                  <c:v>-2.9803046731411292E-3</c:v>
                </c:pt>
                <c:pt idx="723">
                  <c:v>-2.4651748638872401E-3</c:v>
                </c:pt>
                <c:pt idx="724">
                  <c:v>-8.5278705663785676E-4</c:v>
                </c:pt>
                <c:pt idx="725">
                  <c:v>-1.1234971068792745E-3</c:v>
                </c:pt>
                <c:pt idx="726">
                  <c:v>-8.4582622326938924E-4</c:v>
                </c:pt>
                <c:pt idx="727">
                  <c:v>-1.6772554657429955E-3</c:v>
                </c:pt>
                <c:pt idx="728">
                  <c:v>-2.7389035178918796E-3</c:v>
                </c:pt>
                <c:pt idx="729">
                  <c:v>-3.2674143266105691E-3</c:v>
                </c:pt>
                <c:pt idx="730">
                  <c:v>-1.8635522015018498E-3</c:v>
                </c:pt>
                <c:pt idx="731">
                  <c:v>-4.3477586457106322E-4</c:v>
                </c:pt>
                <c:pt idx="732">
                  <c:v>-1.3593182210350071E-3</c:v>
                </c:pt>
                <c:pt idx="733">
                  <c:v>-8.2800135920363936E-4</c:v>
                </c:pt>
                <c:pt idx="734">
                  <c:v>-8.3665647544435746E-4</c:v>
                </c:pt>
                <c:pt idx="735">
                  <c:v>-1.1893597522632444E-3</c:v>
                </c:pt>
                <c:pt idx="736">
                  <c:v>-1.227456341383664E-3</c:v>
                </c:pt>
                <c:pt idx="737">
                  <c:v>-1.381214544839455E-3</c:v>
                </c:pt>
                <c:pt idx="738">
                  <c:v>-7.1222827572093336E-4</c:v>
                </c:pt>
                <c:pt idx="739">
                  <c:v>-1.4376471241517345E-3</c:v>
                </c:pt>
                <c:pt idx="740">
                  <c:v>-3.8602296626803154E-4</c:v>
                </c:pt>
                <c:pt idx="741">
                  <c:v>-6.6678431238902222E-4</c:v>
                </c:pt>
                <c:pt idx="742">
                  <c:v>-1.8565067045776297E-3</c:v>
                </c:pt>
                <c:pt idx="743">
                  <c:v>-3.2678287223177915E-3</c:v>
                </c:pt>
                <c:pt idx="744">
                  <c:v>-1.7332313272610444E-3</c:v>
                </c:pt>
                <c:pt idx="745">
                  <c:v>-1.0792792970361204E-3</c:v>
                </c:pt>
                <c:pt idx="746">
                  <c:v>-1.4631312479852681E-3</c:v>
                </c:pt>
                <c:pt idx="747">
                  <c:v>-6.421854880725047E-4</c:v>
                </c:pt>
                <c:pt idx="748">
                  <c:v>-1.6013269494678042E-3</c:v>
                </c:pt>
                <c:pt idx="749">
                  <c:v>-4.384571625876995E-4</c:v>
                </c:pt>
                <c:pt idx="750">
                  <c:v>-9.0684274028089218E-4</c:v>
                </c:pt>
                <c:pt idx="751">
                  <c:v>-1.6901026211043311E-3</c:v>
                </c:pt>
                <c:pt idx="752">
                  <c:v>-1.1193022089183935E-4</c:v>
                </c:pt>
                <c:pt idx="753">
                  <c:v>-2.7058502523936962E-4</c:v>
                </c:pt>
                <c:pt idx="754">
                  <c:v>-6.1385854915629173E-4</c:v>
                </c:pt>
                <c:pt idx="755">
                  <c:v>-1.4129637230454373E-3</c:v>
                </c:pt>
                <c:pt idx="756">
                  <c:v>5.6041977610513539E-4</c:v>
                </c:pt>
                <c:pt idx="757">
                  <c:v>1.5392778751336805E-3</c:v>
                </c:pt>
                <c:pt idx="758">
                  <c:v>2.8528695499629637E-3</c:v>
                </c:pt>
                <c:pt idx="759">
                  <c:v>2.2771833581308612E-3</c:v>
                </c:pt>
                <c:pt idx="760">
                  <c:v>3.1482857558752791E-4</c:v>
                </c:pt>
                <c:pt idx="761">
                  <c:v>-1.2439775675062552E-3</c:v>
                </c:pt>
                <c:pt idx="762">
                  <c:v>-1.9443657288203655E-4</c:v>
                </c:pt>
                <c:pt idx="763">
                  <c:v>1.54832993380426E-4</c:v>
                </c:pt>
                <c:pt idx="764">
                  <c:v>3.7506533556140387E-5</c:v>
                </c:pt>
                <c:pt idx="765">
                  <c:v>-2.7697738306937931E-4</c:v>
                </c:pt>
                <c:pt idx="766">
                  <c:v>1.4612916548001128E-4</c:v>
                </c:pt>
                <c:pt idx="767">
                  <c:v>6.5523353139969331E-4</c:v>
                </c:pt>
                <c:pt idx="768">
                  <c:v>-1.5895390955352783E-4</c:v>
                </c:pt>
                <c:pt idx="769">
                  <c:v>3.8703400565819762E-4</c:v>
                </c:pt>
                <c:pt idx="770">
                  <c:v>-6.7233285946771102E-5</c:v>
                </c:pt>
                <c:pt idx="771">
                  <c:v>1.024091472236921E-3</c:v>
                </c:pt>
                <c:pt idx="772">
                  <c:v>7.8332282908613593E-4</c:v>
                </c:pt>
                <c:pt idx="773">
                  <c:v>2.1241483356844362E-3</c:v>
                </c:pt>
                <c:pt idx="774">
                  <c:v>9.7109348859611671E-4</c:v>
                </c:pt>
                <c:pt idx="775">
                  <c:v>2.19337292330774E-3</c:v>
                </c:pt>
                <c:pt idx="776">
                  <c:v>6.7624006885727631E-3</c:v>
                </c:pt>
                <c:pt idx="777">
                  <c:v>5.9190974422688352E-4</c:v>
                </c:pt>
                <c:pt idx="778">
                  <c:v>6.9620540504358242E-4</c:v>
                </c:pt>
                <c:pt idx="779">
                  <c:v>1.5356941049745572E-3</c:v>
                </c:pt>
                <c:pt idx="780">
                  <c:v>3.2552572411804499E-3</c:v>
                </c:pt>
                <c:pt idx="781">
                  <c:v>8.4192018819652717E-4</c:v>
                </c:pt>
                <c:pt idx="782">
                  <c:v>-4.0480022875728929E-4</c:v>
                </c:pt>
                <c:pt idx="783">
                  <c:v>-5.6003720220211388E-4</c:v>
                </c:pt>
                <c:pt idx="784">
                  <c:v>-6.1184693571416119E-4</c:v>
                </c:pt>
                <c:pt idx="785">
                  <c:v>5.5408846787796022E-4</c:v>
                </c:pt>
                <c:pt idx="786">
                  <c:v>3.2402469647033709E-4</c:v>
                </c:pt>
                <c:pt idx="787">
                  <c:v>1.0946721654299748E-2</c:v>
                </c:pt>
                <c:pt idx="788">
                  <c:v>7.6712733326876007E-4</c:v>
                </c:pt>
                <c:pt idx="789">
                  <c:v>1.706714845063986E-4</c:v>
                </c:pt>
                <c:pt idx="790">
                  <c:v>1.2990128920106181E-4</c:v>
                </c:pt>
                <c:pt idx="791">
                  <c:v>-1.0572052329469619E-3</c:v>
                </c:pt>
                <c:pt idx="792">
                  <c:v>-1.8941058014090744E-3</c:v>
                </c:pt>
                <c:pt idx="793">
                  <c:v>-1.5943331149116194E-3</c:v>
                </c:pt>
                <c:pt idx="794">
                  <c:v>-5.1562035503620611E-4</c:v>
                </c:pt>
                <c:pt idx="795">
                  <c:v>1.0210215383236525E-4</c:v>
                </c:pt>
                <c:pt idx="796">
                  <c:v>-1.2176856794033858E-3</c:v>
                </c:pt>
                <c:pt idx="797">
                  <c:v>-5.3923105495236074E-4</c:v>
                </c:pt>
                <c:pt idx="798">
                  <c:v>-1.6833626265136766E-4</c:v>
                </c:pt>
                <c:pt idx="799">
                  <c:v>-9.2455009825624266E-4</c:v>
                </c:pt>
                <c:pt idx="800">
                  <c:v>-1.8194608420905094E-4</c:v>
                </c:pt>
                <c:pt idx="801">
                  <c:v>2.7337706564230665E-3</c:v>
                </c:pt>
                <c:pt idx="802">
                  <c:v>-2.763468736762241E-4</c:v>
                </c:pt>
                <c:pt idx="803">
                  <c:v>-7.6030249868668984E-4</c:v>
                </c:pt>
                <c:pt idx="804">
                  <c:v>9.0308570956777279E-4</c:v>
                </c:pt>
                <c:pt idx="805">
                  <c:v>-1.1615687461034654E-3</c:v>
                </c:pt>
                <c:pt idx="806">
                  <c:v>-7.1399310279474614E-4</c:v>
                </c:pt>
                <c:pt idx="807">
                  <c:v>1.4577989084817703E-4</c:v>
                </c:pt>
                <c:pt idx="808">
                  <c:v>8.4378306378222567E-5</c:v>
                </c:pt>
                <c:pt idx="809">
                  <c:v>-1.7664891600728109E-3</c:v>
                </c:pt>
                <c:pt idx="810">
                  <c:v>-8.5160601433172198E-4</c:v>
                </c:pt>
                <c:pt idx="811">
                  <c:v>-1.1492161032090244E-3</c:v>
                </c:pt>
                <c:pt idx="812">
                  <c:v>-2.2738928554620675E-3</c:v>
                </c:pt>
                <c:pt idx="813">
                  <c:v>-1.1684167665135619E-3</c:v>
                </c:pt>
                <c:pt idx="814">
                  <c:v>-7.6188437698933146E-4</c:v>
                </c:pt>
                <c:pt idx="815">
                  <c:v>5.0183318592607589E-3</c:v>
                </c:pt>
                <c:pt idx="816">
                  <c:v>-5.4585416483763478E-4</c:v>
                </c:pt>
                <c:pt idx="817">
                  <c:v>4.7613444819607324E-3</c:v>
                </c:pt>
                <c:pt idx="818">
                  <c:v>3.6030613946566782E-4</c:v>
                </c:pt>
                <c:pt idx="819">
                  <c:v>-4.0061896631926547E-3</c:v>
                </c:pt>
                <c:pt idx="820">
                  <c:v>-1.4468778187819097E-2</c:v>
                </c:pt>
                <c:pt idx="821">
                  <c:v>-5.2871461108167867E-3</c:v>
                </c:pt>
                <c:pt idx="822">
                  <c:v>-6.9344815698776073E-4</c:v>
                </c:pt>
                <c:pt idx="823">
                  <c:v>-1.2526594590359656E-3</c:v>
                </c:pt>
                <c:pt idx="824">
                  <c:v>-1.7481683285532784E-3</c:v>
                </c:pt>
                <c:pt idx="825">
                  <c:v>-1.8464202610754706E-3</c:v>
                </c:pt>
                <c:pt idx="826">
                  <c:v>-2.1656698248433341E-3</c:v>
                </c:pt>
                <c:pt idx="827">
                  <c:v>-3.5912560589806109E-3</c:v>
                </c:pt>
                <c:pt idx="828">
                  <c:v>-2.6726625512285165E-3</c:v>
                </c:pt>
                <c:pt idx="829">
                  <c:v>-1.358557991102273E-3</c:v>
                </c:pt>
                <c:pt idx="830">
                  <c:v>-1.5415970064121937E-3</c:v>
                </c:pt>
                <c:pt idx="831">
                  <c:v>-7.3722411957869414E-4</c:v>
                </c:pt>
                <c:pt idx="832">
                  <c:v>-1.5892649506240152E-3</c:v>
                </c:pt>
                <c:pt idx="833">
                  <c:v>-9.3760935204015327E-4</c:v>
                </c:pt>
                <c:pt idx="834">
                  <c:v>-2.1686764218689504E-3</c:v>
                </c:pt>
                <c:pt idx="835">
                  <c:v>-1.6354641796089704E-3</c:v>
                </c:pt>
                <c:pt idx="836">
                  <c:v>-1.0917707113083622E-3</c:v>
                </c:pt>
                <c:pt idx="837">
                  <c:v>-8.8933856317611169E-4</c:v>
                </c:pt>
                <c:pt idx="838">
                  <c:v>-3.6872957372555272E-3</c:v>
                </c:pt>
                <c:pt idx="839">
                  <c:v>-2.1196840379080592E-3</c:v>
                </c:pt>
                <c:pt idx="840">
                  <c:v>-1.5423393942494822E-3</c:v>
                </c:pt>
                <c:pt idx="841">
                  <c:v>-1.0955869293645109E-3</c:v>
                </c:pt>
                <c:pt idx="842">
                  <c:v>-3.5881349398133992E-4</c:v>
                </c:pt>
                <c:pt idx="843">
                  <c:v>-8.1302387607074368E-4</c:v>
                </c:pt>
                <c:pt idx="844">
                  <c:v>-7.5693941419596939E-4</c:v>
                </c:pt>
                <c:pt idx="845">
                  <c:v>1.7135443629338347E-4</c:v>
                </c:pt>
                <c:pt idx="846">
                  <c:v>-1.0547795422221496E-3</c:v>
                </c:pt>
                <c:pt idx="847">
                  <c:v>-2.0233357033838063E-3</c:v>
                </c:pt>
                <c:pt idx="848">
                  <c:v>-1.8061056740444074E-3</c:v>
                </c:pt>
                <c:pt idx="849">
                  <c:v>-1.036368105248039E-3</c:v>
                </c:pt>
                <c:pt idx="850">
                  <c:v>-5.8364008155801681E-4</c:v>
                </c:pt>
                <c:pt idx="851">
                  <c:v>-1.186024393003558E-3</c:v>
                </c:pt>
                <c:pt idx="852">
                  <c:v>8.30782603707127E-4</c:v>
                </c:pt>
                <c:pt idx="853">
                  <c:v>-3.0436857067841491E-4</c:v>
                </c:pt>
                <c:pt idx="854">
                  <c:v>3.7026601321809248E-5</c:v>
                </c:pt>
                <c:pt idx="855">
                  <c:v>5.1920739460897771E-5</c:v>
                </c:pt>
                <c:pt idx="856">
                  <c:v>-2.6496815441635414E-4</c:v>
                </c:pt>
                <c:pt idx="857">
                  <c:v>1.7340839048362089E-2</c:v>
                </c:pt>
                <c:pt idx="858">
                  <c:v>7.5982231275422913E-3</c:v>
                </c:pt>
                <c:pt idx="859">
                  <c:v>2.0625492413702453E-3</c:v>
                </c:pt>
                <c:pt idx="860">
                  <c:v>3.8050006141523757E-4</c:v>
                </c:pt>
                <c:pt idx="861">
                  <c:v>-5.7735630207482848E-4</c:v>
                </c:pt>
                <c:pt idx="862">
                  <c:v>-6.5899904662139355E-4</c:v>
                </c:pt>
                <c:pt idx="863">
                  <c:v>8.3281586360940728E-4</c:v>
                </c:pt>
                <c:pt idx="864">
                  <c:v>9.8863681012986812E-4</c:v>
                </c:pt>
                <c:pt idx="865">
                  <c:v>-5.5624125208866117E-5</c:v>
                </c:pt>
                <c:pt idx="866">
                  <c:v>-4.8281085882286289E-4</c:v>
                </c:pt>
                <c:pt idx="867">
                  <c:v>-2.4176434458836506E-4</c:v>
                </c:pt>
                <c:pt idx="868">
                  <c:v>-1.6922716954511448E-4</c:v>
                </c:pt>
                <c:pt idx="869">
                  <c:v>1.8745895399063675E-4</c:v>
                </c:pt>
                <c:pt idx="870">
                  <c:v>-5.3365262490925793E-4</c:v>
                </c:pt>
                <c:pt idx="871">
                  <c:v>-2.9577942160357034E-4</c:v>
                </c:pt>
                <c:pt idx="872">
                  <c:v>1.4576582421524902E-3</c:v>
                </c:pt>
                <c:pt idx="873">
                  <c:v>1.7945565920819558E-3</c:v>
                </c:pt>
                <c:pt idx="874">
                  <c:v>-8.1967483156276336E-4</c:v>
                </c:pt>
                <c:pt idx="875">
                  <c:v>-1.1338202353968695E-3</c:v>
                </c:pt>
                <c:pt idx="876">
                  <c:v>-1.1924817073336617E-3</c:v>
                </c:pt>
                <c:pt idx="877">
                  <c:v>-6.2944556201372166E-4</c:v>
                </c:pt>
                <c:pt idx="878">
                  <c:v>-1.0878411110612852E-3</c:v>
                </c:pt>
                <c:pt idx="879">
                  <c:v>-1.4729828564045652E-3</c:v>
                </c:pt>
                <c:pt idx="880">
                  <c:v>-1.4867400979230463E-3</c:v>
                </c:pt>
                <c:pt idx="881">
                  <c:v>-1.0389151142359901E-3</c:v>
                </c:pt>
                <c:pt idx="882">
                  <c:v>-2.1755729103059879E-3</c:v>
                </c:pt>
                <c:pt idx="883">
                  <c:v>-1.5064753176375629E-3</c:v>
                </c:pt>
                <c:pt idx="884">
                  <c:v>-2.0928615032964778E-4</c:v>
                </c:pt>
                <c:pt idx="885">
                  <c:v>-1.7841450140523266E-3</c:v>
                </c:pt>
                <c:pt idx="886">
                  <c:v>-1.3142995308044237E-3</c:v>
                </c:pt>
                <c:pt idx="887">
                  <c:v>-1.5379354945920434E-3</c:v>
                </c:pt>
                <c:pt idx="888">
                  <c:v>-8.7530184586605438E-4</c:v>
                </c:pt>
                <c:pt idx="889">
                  <c:v>-1.8281151463791592E-3</c:v>
                </c:pt>
                <c:pt idx="890">
                  <c:v>-5.0582003314077217E-4</c:v>
                </c:pt>
                <c:pt idx="891">
                  <c:v>-8.7071357029316985E-4</c:v>
                </c:pt>
                <c:pt idx="892">
                  <c:v>-1.5520009591331798E-3</c:v>
                </c:pt>
                <c:pt idx="893">
                  <c:v>-1.4378927022195695E-3</c:v>
                </c:pt>
                <c:pt idx="894">
                  <c:v>-1.102078333046944E-3</c:v>
                </c:pt>
                <c:pt idx="895">
                  <c:v>-1.6123415113744848E-3</c:v>
                </c:pt>
                <c:pt idx="896">
                  <c:v>-1.3376002222261461E-3</c:v>
                </c:pt>
                <c:pt idx="897">
                  <c:v>-2.2459821462426214E-3</c:v>
                </c:pt>
                <c:pt idx="898">
                  <c:v>-1.1001604011925928E-3</c:v>
                </c:pt>
                <c:pt idx="899">
                  <c:v>-1.2021659389330492E-3</c:v>
                </c:pt>
                <c:pt idx="900">
                  <c:v>-1.4530762994404982E-3</c:v>
                </c:pt>
                <c:pt idx="901">
                  <c:v>-1.3595043776473406E-3</c:v>
                </c:pt>
                <c:pt idx="902">
                  <c:v>-2.4251320676053419E-3</c:v>
                </c:pt>
                <c:pt idx="903">
                  <c:v>-2.381219974402795E-3</c:v>
                </c:pt>
                <c:pt idx="904">
                  <c:v>-1.8087199559367114E-3</c:v>
                </c:pt>
                <c:pt idx="905">
                  <c:v>-1.5982860565717219E-3</c:v>
                </c:pt>
                <c:pt idx="906">
                  <c:v>-1.1365555616590574E-3</c:v>
                </c:pt>
                <c:pt idx="907">
                  <c:v>-1.5543622514435005E-3</c:v>
                </c:pt>
                <c:pt idx="908">
                  <c:v>-1.3005969597837351E-3</c:v>
                </c:pt>
                <c:pt idx="909">
                  <c:v>-1.4659680712111676E-3</c:v>
                </c:pt>
                <c:pt idx="910">
                  <c:v>-1.71839300906514E-3</c:v>
                </c:pt>
                <c:pt idx="911">
                  <c:v>4.2049131590488958E-3</c:v>
                </c:pt>
                <c:pt idx="912">
                  <c:v>-2.8613108983147626E-4</c:v>
                </c:pt>
                <c:pt idx="913">
                  <c:v>-1.4045659792678833E-4</c:v>
                </c:pt>
                <c:pt idx="914">
                  <c:v>-1.3845707035632132E-3</c:v>
                </c:pt>
                <c:pt idx="915">
                  <c:v>-1.6059569452271773E-3</c:v>
                </c:pt>
                <c:pt idx="916">
                  <c:v>-1.2502423972880934E-3</c:v>
                </c:pt>
                <c:pt idx="917">
                  <c:v>2.3932305107646307E-4</c:v>
                </c:pt>
                <c:pt idx="918">
                  <c:v>8.1159734835356339E-4</c:v>
                </c:pt>
                <c:pt idx="919">
                  <c:v>7.3679084911429209E-3</c:v>
                </c:pt>
                <c:pt idx="920">
                  <c:v>-7.4912234693509324E-4</c:v>
                </c:pt>
                <c:pt idx="921">
                  <c:v>-1.4726584100613609E-4</c:v>
                </c:pt>
                <c:pt idx="922">
                  <c:v>-7.062707099215952E-4</c:v>
                </c:pt>
                <c:pt idx="923">
                  <c:v>-1.2652354270492633E-3</c:v>
                </c:pt>
                <c:pt idx="924">
                  <c:v>-3.8757603493027291E-4</c:v>
                </c:pt>
                <c:pt idx="925">
                  <c:v>9.3789546249265236E-4</c:v>
                </c:pt>
                <c:pt idx="926">
                  <c:v>-3.943527738039674E-4</c:v>
                </c:pt>
                <c:pt idx="927">
                  <c:v>-4.3514317840509281E-4</c:v>
                </c:pt>
                <c:pt idx="928">
                  <c:v>-1.5669825651423623E-3</c:v>
                </c:pt>
                <c:pt idx="929">
                  <c:v>-1.7866295382911706E-3</c:v>
                </c:pt>
                <c:pt idx="930">
                  <c:v>-1.8253448151084247E-4</c:v>
                </c:pt>
                <c:pt idx="931">
                  <c:v>-6.5339625133755599E-3</c:v>
                </c:pt>
                <c:pt idx="932">
                  <c:v>-5.9179067177842692E-3</c:v>
                </c:pt>
                <c:pt idx="933">
                  <c:v>-3.3673659015293501E-3</c:v>
                </c:pt>
                <c:pt idx="934">
                  <c:v>-5.2110474588957833E-3</c:v>
                </c:pt>
                <c:pt idx="935">
                  <c:v>-3.0806227608940894E-3</c:v>
                </c:pt>
                <c:pt idx="936">
                  <c:v>-2.7656783185530912E-3</c:v>
                </c:pt>
                <c:pt idx="937">
                  <c:v>-1.5817488056541571E-3</c:v>
                </c:pt>
                <c:pt idx="938">
                  <c:v>-1.8080147981115815E-3</c:v>
                </c:pt>
                <c:pt idx="939">
                  <c:v>-2.6785580256749658E-3</c:v>
                </c:pt>
                <c:pt idx="940">
                  <c:v>-1.6004221249604766E-3</c:v>
                </c:pt>
                <c:pt idx="941">
                  <c:v>-1.5409189331958241E-3</c:v>
                </c:pt>
                <c:pt idx="942">
                  <c:v>-1.34541933208506E-3</c:v>
                </c:pt>
                <c:pt idx="943">
                  <c:v>-1.6899745398611724E-3</c:v>
                </c:pt>
                <c:pt idx="944">
                  <c:v>-1.0980500095544247E-3</c:v>
                </c:pt>
                <c:pt idx="945">
                  <c:v>-9.9277583099835823E-4</c:v>
                </c:pt>
                <c:pt idx="946">
                  <c:v>-2.4991930097622655E-3</c:v>
                </c:pt>
                <c:pt idx="947">
                  <c:v>-1.853906596650661E-3</c:v>
                </c:pt>
                <c:pt idx="948">
                  <c:v>-8.8922632766594181E-4</c:v>
                </c:pt>
                <c:pt idx="949">
                  <c:v>-1.317333597813674E-3</c:v>
                </c:pt>
                <c:pt idx="950">
                  <c:v>-2.452007794864533E-4</c:v>
                </c:pt>
                <c:pt idx="951">
                  <c:v>-1.5265512981577779E-3</c:v>
                </c:pt>
                <c:pt idx="952">
                  <c:v>9.2067706803528572E-5</c:v>
                </c:pt>
                <c:pt idx="953">
                  <c:v>4.8092728054708488E-4</c:v>
                </c:pt>
                <c:pt idx="954">
                  <c:v>1.9965294301102551E-3</c:v>
                </c:pt>
                <c:pt idx="955">
                  <c:v>-1.23242346206544E-3</c:v>
                </c:pt>
                <c:pt idx="956">
                  <c:v>-2.2655699150348511E-3</c:v>
                </c:pt>
                <c:pt idx="957">
                  <c:v>-1.7977948730808155E-3</c:v>
                </c:pt>
                <c:pt idx="958">
                  <c:v>-1.7361509471967673E-3</c:v>
                </c:pt>
                <c:pt idx="959">
                  <c:v>-1.5843038779564391E-3</c:v>
                </c:pt>
                <c:pt idx="960">
                  <c:v>-1.8003909813836834E-4</c:v>
                </c:pt>
                <c:pt idx="961">
                  <c:v>-2.4947881771164508E-3</c:v>
                </c:pt>
                <c:pt idx="962">
                  <c:v>-1.3115242192819488E-3</c:v>
                </c:pt>
                <c:pt idx="963">
                  <c:v>-1.6894070112154517E-3</c:v>
                </c:pt>
                <c:pt idx="964">
                  <c:v>-1.5853769797548032E-3</c:v>
                </c:pt>
                <c:pt idx="965">
                  <c:v>-1.3677879790721938E-3</c:v>
                </c:pt>
                <c:pt idx="966">
                  <c:v>-5.1125369708973824E-3</c:v>
                </c:pt>
                <c:pt idx="967">
                  <c:v>-3.4163255625411543E-3</c:v>
                </c:pt>
                <c:pt idx="968">
                  <c:v>-2.529576328112976E-3</c:v>
                </c:pt>
                <c:pt idx="969">
                  <c:v>-1.3229326567810854E-3</c:v>
                </c:pt>
                <c:pt idx="970">
                  <c:v>-8.3957100658040398E-4</c:v>
                </c:pt>
                <c:pt idx="971">
                  <c:v>-1.2000846305994252E-3</c:v>
                </c:pt>
                <c:pt idx="972">
                  <c:v>-1.2662027637391155E-3</c:v>
                </c:pt>
                <c:pt idx="973">
                  <c:v>3.3831844292955837E-4</c:v>
                </c:pt>
                <c:pt idx="974">
                  <c:v>1.25824904675677E-4</c:v>
                </c:pt>
                <c:pt idx="975">
                  <c:v>-1.303722695224498E-3</c:v>
                </c:pt>
                <c:pt idx="976">
                  <c:v>1.4984069867044541E-4</c:v>
                </c:pt>
                <c:pt idx="977">
                  <c:v>-5.5227357577393552E-4</c:v>
                </c:pt>
                <c:pt idx="978">
                  <c:v>-8.504263688817068E-4</c:v>
                </c:pt>
                <c:pt idx="979">
                  <c:v>1.2013854009924192E-5</c:v>
                </c:pt>
                <c:pt idx="980">
                  <c:v>-9.697300628508309E-4</c:v>
                </c:pt>
                <c:pt idx="981">
                  <c:v>-6.6874583054441069E-4</c:v>
                </c:pt>
                <c:pt idx="982">
                  <c:v>6.4861722865233024E-4</c:v>
                </c:pt>
                <c:pt idx="983">
                  <c:v>-9.0609642101596494E-4</c:v>
                </c:pt>
                <c:pt idx="984">
                  <c:v>-8.8772429228904355E-4</c:v>
                </c:pt>
                <c:pt idx="985">
                  <c:v>-9.8736860938315675E-4</c:v>
                </c:pt>
                <c:pt idx="986">
                  <c:v>-7.1161822205545596E-4</c:v>
                </c:pt>
                <c:pt idx="987">
                  <c:v>-9.9897206015071372E-4</c:v>
                </c:pt>
                <c:pt idx="988">
                  <c:v>-8.5264521699382955E-4</c:v>
                </c:pt>
                <c:pt idx="989">
                  <c:v>-8.8373452406232734E-4</c:v>
                </c:pt>
                <c:pt idx="990">
                  <c:v>-1.0933647253462677E-3</c:v>
                </c:pt>
                <c:pt idx="991">
                  <c:v>-1.6188721470602175E-3</c:v>
                </c:pt>
                <c:pt idx="992">
                  <c:v>-1.0523917452884401E-3</c:v>
                </c:pt>
                <c:pt idx="993">
                  <c:v>-1.215671159934141E-3</c:v>
                </c:pt>
                <c:pt idx="994">
                  <c:v>-1.6439280209528933E-3</c:v>
                </c:pt>
                <c:pt idx="995">
                  <c:v>-2.4851004786592912E-4</c:v>
                </c:pt>
                <c:pt idx="996">
                  <c:v>-4.216451769192109E-4</c:v>
                </c:pt>
                <c:pt idx="997">
                  <c:v>-1.2205639174449837E-3</c:v>
                </c:pt>
                <c:pt idx="998">
                  <c:v>-1.1948315250252667E-3</c:v>
                </c:pt>
                <c:pt idx="999">
                  <c:v>-1.2415142455404963E-3</c:v>
                </c:pt>
                <c:pt idx="1000">
                  <c:v>-1.2512984746406615E-3</c:v>
                </c:pt>
                <c:pt idx="1001">
                  <c:v>4.1453547169716755E-4</c:v>
                </c:pt>
                <c:pt idx="1002">
                  <c:v>1.738980893987192E-3</c:v>
                </c:pt>
                <c:pt idx="1003">
                  <c:v>2.9351228360003983E-3</c:v>
                </c:pt>
                <c:pt idx="1004">
                  <c:v>8.4655938461156697E-4</c:v>
                </c:pt>
                <c:pt idx="1005">
                  <c:v>4.6775564654660167E-4</c:v>
                </c:pt>
                <c:pt idx="1006">
                  <c:v>8.561515455433892E-4</c:v>
                </c:pt>
                <c:pt idx="1007">
                  <c:v>8.8730281499854421E-4</c:v>
                </c:pt>
                <c:pt idx="1008">
                  <c:v>-1.231340148416704E-4</c:v>
                </c:pt>
                <c:pt idx="1009">
                  <c:v>7.447433103025641E-4</c:v>
                </c:pt>
                <c:pt idx="1010">
                  <c:v>3.3662331638776568E-3</c:v>
                </c:pt>
                <c:pt idx="1011">
                  <c:v>7.9246455337514919E-4</c:v>
                </c:pt>
                <c:pt idx="1012">
                  <c:v>-1.3856306351161015E-5</c:v>
                </c:pt>
                <c:pt idx="1013">
                  <c:v>-6.8986723835680103E-4</c:v>
                </c:pt>
                <c:pt idx="1014">
                  <c:v>-7.0638293734303183E-4</c:v>
                </c:pt>
                <c:pt idx="1015">
                  <c:v>-3.9047090496116808E-3</c:v>
                </c:pt>
                <c:pt idx="1016">
                  <c:v>-2.7265028326007705E-3</c:v>
                </c:pt>
                <c:pt idx="1017">
                  <c:v>-1.088078152754073E-3</c:v>
                </c:pt>
                <c:pt idx="1018">
                  <c:v>1.8640786875191698E-3</c:v>
                </c:pt>
                <c:pt idx="1019">
                  <c:v>1.0751070257575318E-3</c:v>
                </c:pt>
                <c:pt idx="1020">
                  <c:v>-5.131547797759897E-4</c:v>
                </c:pt>
                <c:pt idx="1021">
                  <c:v>-1.3705909246786024E-3</c:v>
                </c:pt>
                <c:pt idx="1022">
                  <c:v>-1.9306268622790365E-3</c:v>
                </c:pt>
                <c:pt idx="1023">
                  <c:v>-4.1761963691433627E-3</c:v>
                </c:pt>
                <c:pt idx="1024">
                  <c:v>-3.0414175397438267E-3</c:v>
                </c:pt>
                <c:pt idx="1025">
                  <c:v>-1.3354816123769602E-3</c:v>
                </c:pt>
                <c:pt idx="1026">
                  <c:v>-2.7384296733404369E-3</c:v>
                </c:pt>
                <c:pt idx="1027">
                  <c:v>5.9655580506606199E-3</c:v>
                </c:pt>
                <c:pt idx="1028">
                  <c:v>9.4650825852731673E-4</c:v>
                </c:pt>
                <c:pt idx="1029">
                  <c:v>7.7084486238912845E-4</c:v>
                </c:pt>
                <c:pt idx="1030">
                  <c:v>1.0818915160654269E-3</c:v>
                </c:pt>
                <c:pt idx="1031">
                  <c:v>3.7747938679484746E-3</c:v>
                </c:pt>
                <c:pt idx="1032">
                  <c:v>1.3004613882254464E-2</c:v>
                </c:pt>
                <c:pt idx="1033">
                  <c:v>9.5446972212502659E-3</c:v>
                </c:pt>
                <c:pt idx="1034">
                  <c:v>3.9137100544427133E-3</c:v>
                </c:pt>
                <c:pt idx="1035">
                  <c:v>1.9702231419265295E-4</c:v>
                </c:pt>
                <c:pt idx="1036">
                  <c:v>4.4243658468130047E-3</c:v>
                </c:pt>
                <c:pt idx="1037">
                  <c:v>6.1314233207820038E-3</c:v>
                </c:pt>
                <c:pt idx="1038">
                  <c:v>5.0922295891176446E-3</c:v>
                </c:pt>
                <c:pt idx="1039">
                  <c:v>1.0277098044462903E-3</c:v>
                </c:pt>
                <c:pt idx="1040">
                  <c:v>-8.5399451781431452E-5</c:v>
                </c:pt>
                <c:pt idx="1041">
                  <c:v>1.8421673755757212E-3</c:v>
                </c:pt>
                <c:pt idx="1042">
                  <c:v>7.2362958679102101E-3</c:v>
                </c:pt>
                <c:pt idx="1043">
                  <c:v>7.1306101187578533E-3</c:v>
                </c:pt>
                <c:pt idx="1044">
                  <c:v>7.3982395495364355E-3</c:v>
                </c:pt>
                <c:pt idx="1045">
                  <c:v>2.3151728294854043E-3</c:v>
                </c:pt>
                <c:pt idx="1046">
                  <c:v>2.3451176867595614E-3</c:v>
                </c:pt>
                <c:pt idx="1047">
                  <c:v>1.0464086233689213E-3</c:v>
                </c:pt>
                <c:pt idx="1048">
                  <c:v>1.3918696550195724E-3</c:v>
                </c:pt>
                <c:pt idx="1049">
                  <c:v>3.646831408577645E-4</c:v>
                </c:pt>
                <c:pt idx="1050">
                  <c:v>2.5882912332681443E-3</c:v>
                </c:pt>
                <c:pt idx="1051">
                  <c:v>2.9559708954558298E-3</c:v>
                </c:pt>
                <c:pt idx="1052">
                  <c:v>3.5917460640993186E-3</c:v>
                </c:pt>
                <c:pt idx="1053">
                  <c:v>1.2733997498789466E-3</c:v>
                </c:pt>
                <c:pt idx="1054">
                  <c:v>2.5987878890176871E-3</c:v>
                </c:pt>
                <c:pt idx="1055">
                  <c:v>2.4025487996925492E-3</c:v>
                </c:pt>
                <c:pt idx="1056">
                  <c:v>1.5428697705256043E-5</c:v>
                </c:pt>
                <c:pt idx="1057">
                  <c:v>2.6241041441682229E-3</c:v>
                </c:pt>
                <c:pt idx="1058">
                  <c:v>2.9525681441533655E-3</c:v>
                </c:pt>
                <c:pt idx="1059">
                  <c:v>2.4589308980672957E-3</c:v>
                </c:pt>
                <c:pt idx="1060">
                  <c:v>-3.8297994800641402E-4</c:v>
                </c:pt>
                <c:pt idx="1061">
                  <c:v>-2.6157142106072555E-3</c:v>
                </c:pt>
                <c:pt idx="1062">
                  <c:v>3.0776784808101932E-3</c:v>
                </c:pt>
                <c:pt idx="1063">
                  <c:v>1.2333855678209084E-3</c:v>
                </c:pt>
                <c:pt idx="1064">
                  <c:v>5.1908082386226226E-4</c:v>
                </c:pt>
                <c:pt idx="1065">
                  <c:v>1.8139159732131426E-3</c:v>
                </c:pt>
                <c:pt idx="1066">
                  <c:v>3.0779539624408814E-3</c:v>
                </c:pt>
                <c:pt idx="1067">
                  <c:v>3.5209769693464316E-3</c:v>
                </c:pt>
                <c:pt idx="1068">
                  <c:v>5.8063340245689181E-4</c:v>
                </c:pt>
                <c:pt idx="1069">
                  <c:v>-2.2857861631794607E-4</c:v>
                </c:pt>
                <c:pt idx="1070">
                  <c:v>-3.1991478462140774E-3</c:v>
                </c:pt>
                <c:pt idx="1071">
                  <c:v>-3.6816267037662982E-3</c:v>
                </c:pt>
                <c:pt idx="1072">
                  <c:v>-3.4928821287825628E-3</c:v>
                </c:pt>
                <c:pt idx="1073">
                  <c:v>-2.4603624485337165E-3</c:v>
                </c:pt>
                <c:pt idx="1074">
                  <c:v>-5.7561002985675991E-4</c:v>
                </c:pt>
                <c:pt idx="1075">
                  <c:v>-9.6233107131905881E-4</c:v>
                </c:pt>
                <c:pt idx="1076">
                  <c:v>-4.3053576810895194E-4</c:v>
                </c:pt>
                <c:pt idx="1077">
                  <c:v>2.2671426714880377E-4</c:v>
                </c:pt>
                <c:pt idx="1078">
                  <c:v>-1.333648062047287E-3</c:v>
                </c:pt>
                <c:pt idx="1079">
                  <c:v>9.511717052079103E-4</c:v>
                </c:pt>
                <c:pt idx="1080">
                  <c:v>9.8210959350718665E-4</c:v>
                </c:pt>
                <c:pt idx="1081">
                  <c:v>3.1739867615566812E-4</c:v>
                </c:pt>
                <c:pt idx="1082">
                  <c:v>3.4332489887813627E-5</c:v>
                </c:pt>
                <c:pt idx="1083">
                  <c:v>1.8011362618411763E-4</c:v>
                </c:pt>
                <c:pt idx="1084">
                  <c:v>7.1538376776186655E-4</c:v>
                </c:pt>
                <c:pt idx="1085">
                  <c:v>2.1718706544165555E-3</c:v>
                </c:pt>
                <c:pt idx="1086">
                  <c:v>1.2252703344077256E-3</c:v>
                </c:pt>
                <c:pt idx="1087">
                  <c:v>1.8963573465562554E-5</c:v>
                </c:pt>
                <c:pt idx="1088">
                  <c:v>-2.124432457332242E-4</c:v>
                </c:pt>
                <c:pt idx="1089">
                  <c:v>-1.240419640924326E-3</c:v>
                </c:pt>
                <c:pt idx="1090">
                  <c:v>-1.0703085110455842E-3</c:v>
                </c:pt>
                <c:pt idx="1091">
                  <c:v>-2.2392296993401371E-3</c:v>
                </c:pt>
                <c:pt idx="1092">
                  <c:v>-1.4836582973315829E-3</c:v>
                </c:pt>
                <c:pt idx="1093">
                  <c:v>-2.7907505487289545E-4</c:v>
                </c:pt>
                <c:pt idx="1094">
                  <c:v>-1.440524415836236E-3</c:v>
                </c:pt>
                <c:pt idx="1095">
                  <c:v>-4.5295443772884277E-5</c:v>
                </c:pt>
                <c:pt idx="1096">
                  <c:v>-9.8224735171626516E-4</c:v>
                </c:pt>
                <c:pt idx="1097">
                  <c:v>4.1507884859170729E-3</c:v>
                </c:pt>
                <c:pt idx="1098">
                  <c:v>1.8338220190623538E-3</c:v>
                </c:pt>
                <c:pt idx="1099">
                  <c:v>3.4743168801710826E-3</c:v>
                </c:pt>
                <c:pt idx="1100">
                  <c:v>8.7000596123019934E-3</c:v>
                </c:pt>
                <c:pt idx="1101">
                  <c:v>-1.8455493495554993E-3</c:v>
                </c:pt>
                <c:pt idx="1102">
                  <c:v>-2.3699964974060023E-3</c:v>
                </c:pt>
                <c:pt idx="1103">
                  <c:v>6.9680464972693066E-4</c:v>
                </c:pt>
                <c:pt idx="1104">
                  <c:v>-9.1908756746142731E-4</c:v>
                </c:pt>
                <c:pt idx="1105">
                  <c:v>-1.1361729898182371E-3</c:v>
                </c:pt>
                <c:pt idx="1106">
                  <c:v>-4.5383651540188398E-4</c:v>
                </c:pt>
                <c:pt idx="1107">
                  <c:v>-1.4101538714226085E-3</c:v>
                </c:pt>
                <c:pt idx="1108">
                  <c:v>-8.7374247828389995E-4</c:v>
                </c:pt>
                <c:pt idx="1109">
                  <c:v>-5.2523234695463562E-5</c:v>
                </c:pt>
                <c:pt idx="1110">
                  <c:v>-9.3243265804521941E-4</c:v>
                </c:pt>
                <c:pt idx="1111">
                  <c:v>4.0972980522299755E-4</c:v>
                </c:pt>
                <c:pt idx="1112">
                  <c:v>9.9886074270651918E-4</c:v>
                </c:pt>
                <c:pt idx="1113">
                  <c:v>-2.8122906343281233E-3</c:v>
                </c:pt>
                <c:pt idx="1114">
                  <c:v>-4.5471657963821197E-3</c:v>
                </c:pt>
                <c:pt idx="1115">
                  <c:v>-2.6024165141612025E-3</c:v>
                </c:pt>
                <c:pt idx="1116">
                  <c:v>-1.9096456455893831E-3</c:v>
                </c:pt>
                <c:pt idx="1117">
                  <c:v>-2.470702741810351E-3</c:v>
                </c:pt>
                <c:pt idx="1118">
                  <c:v>-1.0824029824344609E-3</c:v>
                </c:pt>
                <c:pt idx="1119">
                  <c:v>-1.2857790875706186E-3</c:v>
                </c:pt>
                <c:pt idx="1120">
                  <c:v>-1.8121658678187833E-3</c:v>
                </c:pt>
                <c:pt idx="1121">
                  <c:v>-2.5714708633496155E-3</c:v>
                </c:pt>
                <c:pt idx="1122">
                  <c:v>-1.0450267291867142E-3</c:v>
                </c:pt>
                <c:pt idx="1123">
                  <c:v>-8.5814449157284019E-4</c:v>
                </c:pt>
                <c:pt idx="1124">
                  <c:v>-1.0178385794836963E-3</c:v>
                </c:pt>
                <c:pt idx="1125">
                  <c:v>-4.5187459746871665E-4</c:v>
                </c:pt>
                <c:pt idx="1126">
                  <c:v>-1.0057785343740981E-3</c:v>
                </c:pt>
                <c:pt idx="1127">
                  <c:v>-1.1154347369308137E-3</c:v>
                </c:pt>
                <c:pt idx="1128">
                  <c:v>-1.9344263876100623E-3</c:v>
                </c:pt>
                <c:pt idx="1129">
                  <c:v>-8.6435366912129439E-4</c:v>
                </c:pt>
                <c:pt idx="1130">
                  <c:v>-4.5462050243947537E-4</c:v>
                </c:pt>
                <c:pt idx="1131">
                  <c:v>-9.5376209903078361E-4</c:v>
                </c:pt>
                <c:pt idx="1132">
                  <c:v>2.0286348280426653E-3</c:v>
                </c:pt>
                <c:pt idx="1133">
                  <c:v>9.2288396092052554E-4</c:v>
                </c:pt>
                <c:pt idx="1134">
                  <c:v>7.8095823308610757E-5</c:v>
                </c:pt>
                <c:pt idx="1135">
                  <c:v>2.7658312273017114E-4</c:v>
                </c:pt>
                <c:pt idx="1136">
                  <c:v>1.6072533519115805E-3</c:v>
                </c:pt>
                <c:pt idx="1137">
                  <c:v>-1.027376117269921E-3</c:v>
                </c:pt>
                <c:pt idx="1138">
                  <c:v>-5.5422154562681297E-4</c:v>
                </c:pt>
                <c:pt idx="1139">
                  <c:v>-4.2265632678146217E-4</c:v>
                </c:pt>
                <c:pt idx="1140">
                  <c:v>-3.3848494082688597E-4</c:v>
                </c:pt>
                <c:pt idx="1141">
                  <c:v>-1.3763607665721676E-3</c:v>
                </c:pt>
                <c:pt idx="1142">
                  <c:v>-2.2790345955104301E-3</c:v>
                </c:pt>
                <c:pt idx="1143">
                  <c:v>-1.1079372929824671E-3</c:v>
                </c:pt>
                <c:pt idx="1144">
                  <c:v>-1.2904042999940361E-3</c:v>
                </c:pt>
                <c:pt idx="1145">
                  <c:v>-1.3661976730507096E-3</c:v>
                </c:pt>
                <c:pt idx="1146">
                  <c:v>-1.0965885483858236E-3</c:v>
                </c:pt>
                <c:pt idx="1147">
                  <c:v>-9.4017275317015881E-4</c:v>
                </c:pt>
                <c:pt idx="1148">
                  <c:v>-1.1255275445100955E-3</c:v>
                </c:pt>
                <c:pt idx="1149">
                  <c:v>-1.4275088743174404E-3</c:v>
                </c:pt>
                <c:pt idx="1150">
                  <c:v>-1.2321147498215105E-3</c:v>
                </c:pt>
                <c:pt idx="1151">
                  <c:v>-1.5934326605272094E-3</c:v>
                </c:pt>
                <c:pt idx="1152">
                  <c:v>-1.0489805553355323E-3</c:v>
                </c:pt>
                <c:pt idx="1153">
                  <c:v>-1.1446336844471803E-3</c:v>
                </c:pt>
                <c:pt idx="1154">
                  <c:v>-1.4520984797543738E-3</c:v>
                </c:pt>
                <c:pt idx="1155">
                  <c:v>-9.9698927893816878E-4</c:v>
                </c:pt>
                <c:pt idx="1156">
                  <c:v>-1.5580792291394556E-3</c:v>
                </c:pt>
                <c:pt idx="1157">
                  <c:v>-1.1246299586046326E-3</c:v>
                </c:pt>
                <c:pt idx="1158">
                  <c:v>-8.2394525082175722E-4</c:v>
                </c:pt>
                <c:pt idx="1159">
                  <c:v>-7.6410276025245096E-4</c:v>
                </c:pt>
                <c:pt idx="1160">
                  <c:v>-8.7123287469472127E-4</c:v>
                </c:pt>
                <c:pt idx="1161">
                  <c:v>-1.2196138641119825E-3</c:v>
                </c:pt>
                <c:pt idx="1162">
                  <c:v>-4.4019042179037902E-4</c:v>
                </c:pt>
                <c:pt idx="1163">
                  <c:v>-3.3760101413346538E-4</c:v>
                </c:pt>
                <c:pt idx="1164">
                  <c:v>-1.3430319130018902E-3</c:v>
                </c:pt>
                <c:pt idx="1165">
                  <c:v>-9.124511029867219E-4</c:v>
                </c:pt>
                <c:pt idx="1166">
                  <c:v>-1.4506735909699823E-4</c:v>
                </c:pt>
                <c:pt idx="1167">
                  <c:v>-9.5714562025011436E-4</c:v>
                </c:pt>
                <c:pt idx="1168">
                  <c:v>-6.7766249485048491E-4</c:v>
                </c:pt>
                <c:pt idx="1169">
                  <c:v>-1.2088968690060673E-3</c:v>
                </c:pt>
                <c:pt idx="1170">
                  <c:v>-1.6372050593478726E-3</c:v>
                </c:pt>
                <c:pt idx="1171">
                  <c:v>-1.1428050063364526E-3</c:v>
                </c:pt>
                <c:pt idx="1172">
                  <c:v>-4.7662962271335452E-4</c:v>
                </c:pt>
                <c:pt idx="1173">
                  <c:v>-3.9936337311567352E-4</c:v>
                </c:pt>
                <c:pt idx="1174">
                  <c:v>-7.7463470130759876E-4</c:v>
                </c:pt>
                <c:pt idx="1175">
                  <c:v>-1.2066297177962756E-3</c:v>
                </c:pt>
                <c:pt idx="1176">
                  <c:v>-3.9732089314969358E-4</c:v>
                </c:pt>
                <c:pt idx="1177">
                  <c:v>5.4113017334530579E-4</c:v>
                </c:pt>
                <c:pt idx="1178">
                  <c:v>4.5553146509707072E-5</c:v>
                </c:pt>
                <c:pt idx="1179">
                  <c:v>-1.1748680763127278E-3</c:v>
                </c:pt>
                <c:pt idx="1180">
                  <c:v>-1.0568043430446759E-3</c:v>
                </c:pt>
                <c:pt idx="1181">
                  <c:v>-5.7845199037183099E-4</c:v>
                </c:pt>
                <c:pt idx="1182">
                  <c:v>-1.081781373313172E-3</c:v>
                </c:pt>
                <c:pt idx="1183">
                  <c:v>-4.0578097537117273E-4</c:v>
                </c:pt>
                <c:pt idx="1184">
                  <c:v>-1.8686042551613621E-3</c:v>
                </c:pt>
                <c:pt idx="1185">
                  <c:v>-1.31982016858367E-3</c:v>
                </c:pt>
                <c:pt idx="1186">
                  <c:v>-1.4035017808515231E-3</c:v>
                </c:pt>
                <c:pt idx="1187">
                  <c:v>-1.1061323187596659E-3</c:v>
                </c:pt>
                <c:pt idx="1188">
                  <c:v>-6.0600467838950716E-4</c:v>
                </c:pt>
                <c:pt idx="1189">
                  <c:v>-1.0772126578353345E-3</c:v>
                </c:pt>
                <c:pt idx="1190">
                  <c:v>-1.1682325894344177E-3</c:v>
                </c:pt>
                <c:pt idx="1191">
                  <c:v>-8.4345566513628373E-5</c:v>
                </c:pt>
                <c:pt idx="1192">
                  <c:v>-9.0639069402392381E-4</c:v>
                </c:pt>
                <c:pt idx="1193">
                  <c:v>-5.2189888424662668E-4</c:v>
                </c:pt>
                <c:pt idx="1194">
                  <c:v>4.192001613126954E-4</c:v>
                </c:pt>
                <c:pt idx="1195">
                  <c:v>-8.6608811023780813E-4</c:v>
                </c:pt>
                <c:pt idx="1196">
                  <c:v>-5.2771895497618682E-4</c:v>
                </c:pt>
                <c:pt idx="1197">
                  <c:v>-1.1086583923432263E-3</c:v>
                </c:pt>
                <c:pt idx="1198">
                  <c:v>-1.5181752683207041E-3</c:v>
                </c:pt>
                <c:pt idx="1199">
                  <c:v>-9.8216656462856463E-4</c:v>
                </c:pt>
                <c:pt idx="1200">
                  <c:v>-3.8436251576221393E-4</c:v>
                </c:pt>
                <c:pt idx="1201">
                  <c:v>-1.4192152933250077E-3</c:v>
                </c:pt>
                <c:pt idx="1202">
                  <c:v>-1.9453503179204241E-4</c:v>
                </c:pt>
                <c:pt idx="1203">
                  <c:v>1.0461857372945916E-4</c:v>
                </c:pt>
                <c:pt idx="1204">
                  <c:v>-6.9751178082153422E-4</c:v>
                </c:pt>
                <c:pt idx="1205">
                  <c:v>-1.5041665393978659E-3</c:v>
                </c:pt>
                <c:pt idx="1206">
                  <c:v>-1.4970846712637604E-3</c:v>
                </c:pt>
                <c:pt idx="1207">
                  <c:v>-9.3145709816812511E-4</c:v>
                </c:pt>
                <c:pt idx="1208">
                  <c:v>-9.0331991573578351E-4</c:v>
                </c:pt>
                <c:pt idx="1209">
                  <c:v>-1.0721579814571835E-4</c:v>
                </c:pt>
                <c:pt idx="1210">
                  <c:v>1.2071969508778218E-3</c:v>
                </c:pt>
                <c:pt idx="1211">
                  <c:v>8.3616814573422892E-4</c:v>
                </c:pt>
                <c:pt idx="1212">
                  <c:v>1.6486783552042274E-3</c:v>
                </c:pt>
                <c:pt idx="1213">
                  <c:v>2.8181679718944966E-3</c:v>
                </c:pt>
                <c:pt idx="1214">
                  <c:v>2.0848776118074285E-4</c:v>
                </c:pt>
                <c:pt idx="1215">
                  <c:v>-7.9442588227092363E-5</c:v>
                </c:pt>
                <c:pt idx="1216">
                  <c:v>-1.038816314404374E-3</c:v>
                </c:pt>
                <c:pt idx="1217">
                  <c:v>-1.0967094324555145E-3</c:v>
                </c:pt>
                <c:pt idx="1218">
                  <c:v>-1.2952556894421572E-3</c:v>
                </c:pt>
                <c:pt idx="1219">
                  <c:v>-1.5155890218022021E-3</c:v>
                </c:pt>
                <c:pt idx="1220">
                  <c:v>1.5871190081421873E-5</c:v>
                </c:pt>
                <c:pt idx="1221">
                  <c:v>-2.6525443375578404E-4</c:v>
                </c:pt>
                <c:pt idx="1222">
                  <c:v>-1.0767625204285195E-3</c:v>
                </c:pt>
                <c:pt idx="1223">
                  <c:v>3.1078432011308782E-4</c:v>
                </c:pt>
                <c:pt idx="1224">
                  <c:v>7.9749900203519191E-4</c:v>
                </c:pt>
                <c:pt idx="1225">
                  <c:v>-7.1328981934486591E-4</c:v>
                </c:pt>
                <c:pt idx="1226">
                  <c:v>-1.3076065953607637E-3</c:v>
                </c:pt>
                <c:pt idx="1227">
                  <c:v>-9.9780759154732899E-4</c:v>
                </c:pt>
                <c:pt idx="1228">
                  <c:v>-5.8935209557538752E-5</c:v>
                </c:pt>
                <c:pt idx="1229">
                  <c:v>-2.4566724463914884E-6</c:v>
                </c:pt>
                <c:pt idx="1230">
                  <c:v>-7.7226871881261306E-4</c:v>
                </c:pt>
                <c:pt idx="1231">
                  <c:v>-1.4175171405286409E-3</c:v>
                </c:pt>
                <c:pt idx="1232">
                  <c:v>-8.7260237573005513E-4</c:v>
                </c:pt>
                <c:pt idx="1233">
                  <c:v>-1.8950191366194327E-3</c:v>
                </c:pt>
                <c:pt idx="1234">
                  <c:v>-1.4390966447021031E-3</c:v>
                </c:pt>
                <c:pt idx="1235">
                  <c:v>-3.5090190953004891E-4</c:v>
                </c:pt>
                <c:pt idx="1236">
                  <c:v>-3.8943065655722408E-4</c:v>
                </c:pt>
                <c:pt idx="1237">
                  <c:v>-6.1787513492160388E-4</c:v>
                </c:pt>
                <c:pt idx="1238">
                  <c:v>-1.0471128809801404E-3</c:v>
                </c:pt>
                <c:pt idx="1239">
                  <c:v>-6.3065497081139495E-4</c:v>
                </c:pt>
                <c:pt idx="1240">
                  <c:v>-9.768608833290402E-5</c:v>
                </c:pt>
                <c:pt idx="1241">
                  <c:v>-7.7173505161198678E-4</c:v>
                </c:pt>
                <c:pt idx="1242">
                  <c:v>6.9689371984412582E-5</c:v>
                </c:pt>
                <c:pt idx="1243">
                  <c:v>-2.8266535703219003E-4</c:v>
                </c:pt>
                <c:pt idx="1244">
                  <c:v>-5.2287174402450287E-4</c:v>
                </c:pt>
                <c:pt idx="1245">
                  <c:v>-1.4589335409093017E-3</c:v>
                </c:pt>
                <c:pt idx="1246">
                  <c:v>-2.2210049930700479E-4</c:v>
                </c:pt>
                <c:pt idx="1247">
                  <c:v>-5.1854331428386228E-4</c:v>
                </c:pt>
                <c:pt idx="1248">
                  <c:v>1.096786895785219E-4</c:v>
                </c:pt>
                <c:pt idx="1249">
                  <c:v>-4.0585628506397266E-4</c:v>
                </c:pt>
                <c:pt idx="1250">
                  <c:v>1.622624392138032E-4</c:v>
                </c:pt>
                <c:pt idx="1251">
                  <c:v>-9.0568394823331566E-4</c:v>
                </c:pt>
                <c:pt idx="1252">
                  <c:v>-1.39809267263491E-6</c:v>
                </c:pt>
                <c:pt idx="1253">
                  <c:v>-1.2183775872851898E-3</c:v>
                </c:pt>
                <c:pt idx="1254">
                  <c:v>-7.8766225259338269E-4</c:v>
                </c:pt>
                <c:pt idx="1255">
                  <c:v>-1.1084896605933808E-4</c:v>
                </c:pt>
                <c:pt idx="1256">
                  <c:v>-4.5132034749502669E-4</c:v>
                </c:pt>
                <c:pt idx="1257">
                  <c:v>-4.8980945361056666E-4</c:v>
                </c:pt>
                <c:pt idx="1258">
                  <c:v>-5.182119042502608E-4</c:v>
                </c:pt>
                <c:pt idx="1259">
                  <c:v>-4.550416303994664E-4</c:v>
                </c:pt>
                <c:pt idx="1260">
                  <c:v>-1.0544243097070324E-3</c:v>
                </c:pt>
                <c:pt idx="1261">
                  <c:v>-3.1885203104105661E-4</c:v>
                </c:pt>
                <c:pt idx="1262">
                  <c:v>2.0792548935152095E-5</c:v>
                </c:pt>
                <c:pt idx="1263">
                  <c:v>-3.470550302989537E-4</c:v>
                </c:pt>
                <c:pt idx="1264">
                  <c:v>-7.2534221720454636E-4</c:v>
                </c:pt>
                <c:pt idx="1265">
                  <c:v>-1.7984605695323325E-4</c:v>
                </c:pt>
                <c:pt idx="1266">
                  <c:v>-5.2847789354014733E-4</c:v>
                </c:pt>
                <c:pt idx="1267">
                  <c:v>-1.2107570005319593E-3</c:v>
                </c:pt>
                <c:pt idx="1268">
                  <c:v>-1.2269009093789278E-3</c:v>
                </c:pt>
                <c:pt idx="1269">
                  <c:v>2.2559392458460474E-4</c:v>
                </c:pt>
                <c:pt idx="1270">
                  <c:v>-3.4002984294986583E-4</c:v>
                </c:pt>
                <c:pt idx="1271">
                  <c:v>-2.8110618682054839E-4</c:v>
                </c:pt>
                <c:pt idx="1272">
                  <c:v>5.0806931790886372E-4</c:v>
                </c:pt>
                <c:pt idx="1273">
                  <c:v>6.9144982701921107E-3</c:v>
                </c:pt>
                <c:pt idx="1274">
                  <c:v>5.5371604682306107E-3</c:v>
                </c:pt>
                <c:pt idx="1275">
                  <c:v>6.5939781251365751E-3</c:v>
                </c:pt>
                <c:pt idx="1276">
                  <c:v>3.7945741607958751E-3</c:v>
                </c:pt>
                <c:pt idx="1277">
                  <c:v>1.3276366297708254E-3</c:v>
                </c:pt>
                <c:pt idx="1278">
                  <c:v>1.0903882059298353E-3</c:v>
                </c:pt>
                <c:pt idx="1279">
                  <c:v>5.1573321546768318E-4</c:v>
                </c:pt>
                <c:pt idx="1280">
                  <c:v>1.2546690187455803E-3</c:v>
                </c:pt>
                <c:pt idx="1281">
                  <c:v>8.4908026968640168E-4</c:v>
                </c:pt>
                <c:pt idx="1282">
                  <c:v>7.6874951175845971E-4</c:v>
                </c:pt>
                <c:pt idx="1283">
                  <c:v>9.439742951801699E-4</c:v>
                </c:pt>
                <c:pt idx="1284">
                  <c:v>3.6000332587300042E-4</c:v>
                </c:pt>
                <c:pt idx="1285">
                  <c:v>7.8152570613063371E-4</c:v>
                </c:pt>
                <c:pt idx="1286">
                  <c:v>-1.6852637258632118E-5</c:v>
                </c:pt>
                <c:pt idx="1287">
                  <c:v>-3.4549917009840184E-5</c:v>
                </c:pt>
                <c:pt idx="1288">
                  <c:v>9.30476016480517E-4</c:v>
                </c:pt>
                <c:pt idx="1289">
                  <c:v>6.6918400355243718E-4</c:v>
                </c:pt>
                <c:pt idx="1290">
                  <c:v>3.8625052644757643E-4</c:v>
                </c:pt>
                <c:pt idx="1291">
                  <c:v>-8.043303428189693E-4</c:v>
                </c:pt>
                <c:pt idx="1292">
                  <c:v>3.6994053572235839E-5</c:v>
                </c:pt>
                <c:pt idx="1293">
                  <c:v>3.7645844684322696E-6</c:v>
                </c:pt>
                <c:pt idx="1294">
                  <c:v>-7.6130702621174254E-4</c:v>
                </c:pt>
                <c:pt idx="1295">
                  <c:v>-1.4844003289882785E-3</c:v>
                </c:pt>
                <c:pt idx="1296">
                  <c:v>-1.1880172711421981E-3</c:v>
                </c:pt>
                <c:pt idx="1297">
                  <c:v>-1.2696898223393258E-3</c:v>
                </c:pt>
                <c:pt idx="1298">
                  <c:v>-8.6419016942726598E-4</c:v>
                </c:pt>
                <c:pt idx="1299">
                  <c:v>-4.4295858631813599E-4</c:v>
                </c:pt>
                <c:pt idx="1300">
                  <c:v>-6.1496962710188999E-4</c:v>
                </c:pt>
                <c:pt idx="1301">
                  <c:v>-3.7815402522428101E-4</c:v>
                </c:pt>
                <c:pt idx="1302">
                  <c:v>1.0270241912181863E-3</c:v>
                </c:pt>
                <c:pt idx="1303">
                  <c:v>4.3083861369040818E-3</c:v>
                </c:pt>
                <c:pt idx="1304">
                  <c:v>2.0574153122501528E-3</c:v>
                </c:pt>
                <c:pt idx="1305">
                  <c:v>-1.0714167033308698E-4</c:v>
                </c:pt>
                <c:pt idx="1306">
                  <c:v>8.0502360973288601E-4</c:v>
                </c:pt>
                <c:pt idx="1307">
                  <c:v>5.2021490841508422E-3</c:v>
                </c:pt>
                <c:pt idx="1308">
                  <c:v>-7.1999582231747764E-4</c:v>
                </c:pt>
                <c:pt idx="1309">
                  <c:v>-1.3972599261965256E-3</c:v>
                </c:pt>
                <c:pt idx="1310">
                  <c:v>-2.11804697040484E-3</c:v>
                </c:pt>
                <c:pt idx="1311">
                  <c:v>-7.3011166961146846E-4</c:v>
                </c:pt>
                <c:pt idx="1312">
                  <c:v>-8.0558108023975428E-4</c:v>
                </c:pt>
                <c:pt idx="1313">
                  <c:v>-4.1507531961516061E-4</c:v>
                </c:pt>
                <c:pt idx="1314">
                  <c:v>-6.392157531130751E-4</c:v>
                </c:pt>
                <c:pt idx="1315">
                  <c:v>-2.9244228673609067E-4</c:v>
                </c:pt>
                <c:pt idx="1316">
                  <c:v>5.9977774893850214E-3</c:v>
                </c:pt>
                <c:pt idx="1317">
                  <c:v>5.945438946969939E-3</c:v>
                </c:pt>
                <c:pt idx="1318">
                  <c:v>1.2618887801634018E-3</c:v>
                </c:pt>
                <c:pt idx="1319">
                  <c:v>-7.6412315470786264E-4</c:v>
                </c:pt>
                <c:pt idx="1320">
                  <c:v>-6.7861566368480582E-4</c:v>
                </c:pt>
                <c:pt idx="1321">
                  <c:v>-5.0673679182968421E-4</c:v>
                </c:pt>
                <c:pt idx="1322">
                  <c:v>-2.7353315616142208E-4</c:v>
                </c:pt>
                <c:pt idx="1323">
                  <c:v>-9.7241106194572986E-4</c:v>
                </c:pt>
                <c:pt idx="1324">
                  <c:v>-1.2292430125859812E-3</c:v>
                </c:pt>
                <c:pt idx="1325">
                  <c:v>-7.6416696142144987E-4</c:v>
                </c:pt>
                <c:pt idx="1326">
                  <c:v>-6.5139995332209421E-4</c:v>
                </c:pt>
                <c:pt idx="1327">
                  <c:v>-5.2122756905678047E-5</c:v>
                </c:pt>
                <c:pt idx="1328">
                  <c:v>-8.4046444123878766E-4</c:v>
                </c:pt>
                <c:pt idx="1329">
                  <c:v>-5.9080389033025254E-4</c:v>
                </c:pt>
                <c:pt idx="1330">
                  <c:v>-7.5153746272893843E-4</c:v>
                </c:pt>
                <c:pt idx="1331">
                  <c:v>-7.9714295716108859E-4</c:v>
                </c:pt>
                <c:pt idx="1332">
                  <c:v>-5.4886970824872714E-4</c:v>
                </c:pt>
                <c:pt idx="1333">
                  <c:v>-5.7467850983728308E-4</c:v>
                </c:pt>
                <c:pt idx="1334">
                  <c:v>-6.5267989400963626E-4</c:v>
                </c:pt>
                <c:pt idx="1335">
                  <c:v>-1.8995195728641105E-4</c:v>
                </c:pt>
                <c:pt idx="1336">
                  <c:v>-5.2715837312443728E-4</c:v>
                </c:pt>
                <c:pt idx="1337">
                  <c:v>5.1726334358398994E-4</c:v>
                </c:pt>
                <c:pt idx="1338">
                  <c:v>2.7727136749353563E-3</c:v>
                </c:pt>
                <c:pt idx="1339">
                  <c:v>-1.8195298610756887E-4</c:v>
                </c:pt>
                <c:pt idx="1340">
                  <c:v>2.329627137512542E-5</c:v>
                </c:pt>
                <c:pt idx="1341">
                  <c:v>-8.1490377332833948E-4</c:v>
                </c:pt>
                <c:pt idx="1342">
                  <c:v>-2.433833602029445E-4</c:v>
                </c:pt>
                <c:pt idx="1343">
                  <c:v>-3.1711442941689225E-4</c:v>
                </c:pt>
                <c:pt idx="1344">
                  <c:v>-1.2511423016786241E-3</c:v>
                </c:pt>
                <c:pt idx="1345">
                  <c:v>-1.5483372641426445E-3</c:v>
                </c:pt>
                <c:pt idx="1346">
                  <c:v>-7.0765352354395508E-4</c:v>
                </c:pt>
                <c:pt idx="1347">
                  <c:v>-8.6743978795357935E-4</c:v>
                </c:pt>
                <c:pt idx="1348">
                  <c:v>-9.4755103775942518E-4</c:v>
                </c:pt>
                <c:pt idx="1349">
                  <c:v>-7.5901526611024965E-4</c:v>
                </c:pt>
                <c:pt idx="1350">
                  <c:v>-6.1685835019286794E-4</c:v>
                </c:pt>
                <c:pt idx="1351">
                  <c:v>-1.3948568828253108E-3</c:v>
                </c:pt>
                <c:pt idx="1352">
                  <c:v>-1.3404259089077018E-3</c:v>
                </c:pt>
                <c:pt idx="1353">
                  <c:v>-8.9209234560433794E-4</c:v>
                </c:pt>
                <c:pt idx="1354">
                  <c:v>-4.2236324340197927E-4</c:v>
                </c:pt>
                <c:pt idx="1355">
                  <c:v>-3.9275527647781883E-4</c:v>
                </c:pt>
                <c:pt idx="1356">
                  <c:v>-4.8969722042856282E-5</c:v>
                </c:pt>
                <c:pt idx="1357">
                  <c:v>2.9849275833211951E-4</c:v>
                </c:pt>
                <c:pt idx="1358">
                  <c:v>1.2569050361420154E-3</c:v>
                </c:pt>
                <c:pt idx="1359">
                  <c:v>2.75533544597576E-3</c:v>
                </c:pt>
                <c:pt idx="1360">
                  <c:v>3.8347074454228064E-3</c:v>
                </c:pt>
                <c:pt idx="1361">
                  <c:v>2.1324353689604744E-3</c:v>
                </c:pt>
                <c:pt idx="1362">
                  <c:v>7.3623307666662132E-6</c:v>
                </c:pt>
                <c:pt idx="1363">
                  <c:v>-3.3478611858833577E-4</c:v>
                </c:pt>
                <c:pt idx="1364">
                  <c:v>2.648176381870042E-4</c:v>
                </c:pt>
                <c:pt idx="1365">
                  <c:v>-1.4102479603622807E-2</c:v>
                </c:pt>
                <c:pt idx="1366">
                  <c:v>-1.568801215375544E-2</c:v>
                </c:pt>
                <c:pt idx="1367">
                  <c:v>-2.0884751981870052E-3</c:v>
                </c:pt>
                <c:pt idx="1368">
                  <c:v>-1.0297421036838E-3</c:v>
                </c:pt>
                <c:pt idx="1369">
                  <c:v>-6.4830907130655345E-4</c:v>
                </c:pt>
                <c:pt idx="1370">
                  <c:v>-9.2825928333568539E-4</c:v>
                </c:pt>
                <c:pt idx="1371">
                  <c:v>-7.3821542772708223E-4</c:v>
                </c:pt>
                <c:pt idx="1372">
                  <c:v>-1.3238276118463263E-3</c:v>
                </c:pt>
                <c:pt idx="1373">
                  <c:v>-1.263876517543547E-3</c:v>
                </c:pt>
                <c:pt idx="1374">
                  <c:v>-9.7536393381912037E-4</c:v>
                </c:pt>
                <c:pt idx="1375">
                  <c:v>-5.514306614855354E-4</c:v>
                </c:pt>
                <c:pt idx="1376">
                  <c:v>-6.0325636460232266E-4</c:v>
                </c:pt>
                <c:pt idx="1377">
                  <c:v>-1.9996160247268865E-4</c:v>
                </c:pt>
                <c:pt idx="1378">
                  <c:v>-3.4909129255630248E-4</c:v>
                </c:pt>
                <c:pt idx="1379">
                  <c:v>-3.3810596825179016E-4</c:v>
                </c:pt>
                <c:pt idx="1380">
                  <c:v>-9.7932474748261167E-5</c:v>
                </c:pt>
                <c:pt idx="1381">
                  <c:v>8.4056352190088992E-5</c:v>
                </c:pt>
                <c:pt idx="1382">
                  <c:v>-2.9793848118512547E-4</c:v>
                </c:pt>
                <c:pt idx="1383">
                  <c:v>-1.0673967506366028E-3</c:v>
                </c:pt>
                <c:pt idx="1384">
                  <c:v>-7.3057507581515278E-4</c:v>
                </c:pt>
                <c:pt idx="1385">
                  <c:v>-9.1599238971780449E-4</c:v>
                </c:pt>
                <c:pt idx="1386">
                  <c:v>1.9469693279094977E-4</c:v>
                </c:pt>
                <c:pt idx="1387">
                  <c:v>8.8102629936179092E-4</c:v>
                </c:pt>
                <c:pt idx="1388">
                  <c:v>5.0301819784005601E-4</c:v>
                </c:pt>
                <c:pt idx="1389">
                  <c:v>-2.8198424142456924E-4</c:v>
                </c:pt>
                <c:pt idx="1390">
                  <c:v>-9.6377345734609341E-4</c:v>
                </c:pt>
                <c:pt idx="1391">
                  <c:v>-5.6874409914359138E-4</c:v>
                </c:pt>
                <c:pt idx="1392">
                  <c:v>-4.4939742496941516E-4</c:v>
                </c:pt>
                <c:pt idx="1393">
                  <c:v>-2.8458050751340293E-4</c:v>
                </c:pt>
                <c:pt idx="1394">
                  <c:v>-7.8864094953762432E-5</c:v>
                </c:pt>
                <c:pt idx="1395">
                  <c:v>7.9790809443022273E-5</c:v>
                </c:pt>
                <c:pt idx="1396">
                  <c:v>-2.9075069364672225E-4</c:v>
                </c:pt>
                <c:pt idx="1397">
                  <c:v>-6.7206878805895019E-4</c:v>
                </c:pt>
                <c:pt idx="1398">
                  <c:v>-8.0824786060273242E-4</c:v>
                </c:pt>
                <c:pt idx="1399">
                  <c:v>-7.5229450746597964E-4</c:v>
                </c:pt>
                <c:pt idx="1400">
                  <c:v>-6.1599323386149095E-4</c:v>
                </c:pt>
                <c:pt idx="1401">
                  <c:v>-8.4677406547960384E-4</c:v>
                </c:pt>
                <c:pt idx="1402">
                  <c:v>3.5013562392186345E-4</c:v>
                </c:pt>
                <c:pt idx="1403">
                  <c:v>7.8906457851770544E-4</c:v>
                </c:pt>
                <c:pt idx="1404">
                  <c:v>-3.0701317018741556E-4</c:v>
                </c:pt>
                <c:pt idx="1405">
                  <c:v>-5.2739657594877713E-4</c:v>
                </c:pt>
                <c:pt idx="1406">
                  <c:v>-3.781036865354836E-4</c:v>
                </c:pt>
                <c:pt idx="1407">
                  <c:v>-8.8430052795141303E-4</c:v>
                </c:pt>
                <c:pt idx="1408">
                  <c:v>-1.5639159445286948E-3</c:v>
                </c:pt>
                <c:pt idx="1409">
                  <c:v>-1.0124589169892173E-3</c:v>
                </c:pt>
                <c:pt idx="1410">
                  <c:v>-5.0422221360566009E-4</c:v>
                </c:pt>
                <c:pt idx="1411">
                  <c:v>-8.2863303928475162E-4</c:v>
                </c:pt>
                <c:pt idx="1412">
                  <c:v>-9.6208553429698209E-4</c:v>
                </c:pt>
                <c:pt idx="1413">
                  <c:v>-9.7997435749429848E-4</c:v>
                </c:pt>
                <c:pt idx="1414">
                  <c:v>-1.038216271740432E-3</c:v>
                </c:pt>
                <c:pt idx="1415">
                  <c:v>-1.369820101152821E-3</c:v>
                </c:pt>
                <c:pt idx="1416">
                  <c:v>-9.8078178960653512E-4</c:v>
                </c:pt>
                <c:pt idx="1417">
                  <c:v>-3.9602851517540422E-4</c:v>
                </c:pt>
                <c:pt idx="1418">
                  <c:v>-3.4381581325116913E-4</c:v>
                </c:pt>
                <c:pt idx="1419">
                  <c:v>-3.0520939965707498E-4</c:v>
                </c:pt>
                <c:pt idx="1420">
                  <c:v>-3.7540072560085509E-3</c:v>
                </c:pt>
                <c:pt idx="1421">
                  <c:v>-1.6453818906277736E-4</c:v>
                </c:pt>
                <c:pt idx="1422">
                  <c:v>-8.7318052776581227E-4</c:v>
                </c:pt>
                <c:pt idx="1423">
                  <c:v>1.5337929379512154E-4</c:v>
                </c:pt>
                <c:pt idx="1424">
                  <c:v>-1.1598708711568562E-3</c:v>
                </c:pt>
                <c:pt idx="1425">
                  <c:v>-6.0677758525005141E-4</c:v>
                </c:pt>
                <c:pt idx="1426">
                  <c:v>-5.7628789117127131E-4</c:v>
                </c:pt>
                <c:pt idx="1427">
                  <c:v>-7.6912950699264211E-4</c:v>
                </c:pt>
                <c:pt idx="1428">
                  <c:v>-1.4586028762726578E-3</c:v>
                </c:pt>
                <c:pt idx="1429">
                  <c:v>-4.5431846531925014E-4</c:v>
                </c:pt>
                <c:pt idx="1430">
                  <c:v>-9.1792375608401307E-4</c:v>
                </c:pt>
                <c:pt idx="1431">
                  <c:v>-1.4383128081451554E-3</c:v>
                </c:pt>
                <c:pt idx="1432">
                  <c:v>-5.7316355648274575E-4</c:v>
                </c:pt>
                <c:pt idx="1433">
                  <c:v>1.9708287336080606E-3</c:v>
                </c:pt>
                <c:pt idx="1434">
                  <c:v>-5.8077271801178156E-4</c:v>
                </c:pt>
                <c:pt idx="1435">
                  <c:v>-1.9137027615089433E-3</c:v>
                </c:pt>
                <c:pt idx="1436">
                  <c:v>-1.4709094669167538E-3</c:v>
                </c:pt>
                <c:pt idx="1437">
                  <c:v>1.1274750884825769E-3</c:v>
                </c:pt>
                <c:pt idx="1438">
                  <c:v>-1.7676827930243207E-4</c:v>
                </c:pt>
                <c:pt idx="1439">
                  <c:v>2.4167018801126024E-3</c:v>
                </c:pt>
                <c:pt idx="1440">
                  <c:v>-1.4726574082632228E-3</c:v>
                </c:pt>
                <c:pt idx="1441">
                  <c:v>-9.2573116079219375E-4</c:v>
                </c:pt>
                <c:pt idx="1442">
                  <c:v>-8.3454994909870584E-4</c:v>
                </c:pt>
                <c:pt idx="1443">
                  <c:v>-6.8660579250284218E-4</c:v>
                </c:pt>
                <c:pt idx="1444">
                  <c:v>1.9213373638719956E-3</c:v>
                </c:pt>
                <c:pt idx="1445">
                  <c:v>-9.5064696586961224E-4</c:v>
                </c:pt>
                <c:pt idx="1446">
                  <c:v>-1.7757957003443139E-3</c:v>
                </c:pt>
                <c:pt idx="1447">
                  <c:v>-1.0475770569926943E-3</c:v>
                </c:pt>
                <c:pt idx="1448">
                  <c:v>-8.1900197572484302E-4</c:v>
                </c:pt>
                <c:pt idx="1449">
                  <c:v>-3.5426661243676309E-4</c:v>
                </c:pt>
                <c:pt idx="1450">
                  <c:v>-9.8611604583721357E-4</c:v>
                </c:pt>
                <c:pt idx="1451">
                  <c:v>-1.2742889083277131E-3</c:v>
                </c:pt>
                <c:pt idx="1452">
                  <c:v>-1.1393581817566137E-3</c:v>
                </c:pt>
                <c:pt idx="1453">
                  <c:v>-9.3042647963908478E-4</c:v>
                </c:pt>
                <c:pt idx="1454">
                  <c:v>-5.2785742201389536E-4</c:v>
                </c:pt>
                <c:pt idx="1455">
                  <c:v>-6.5527945577883442E-4</c:v>
                </c:pt>
                <c:pt idx="1456">
                  <c:v>-1.2948026206553232E-3</c:v>
                </c:pt>
                <c:pt idx="1457">
                  <c:v>-6.2160947517829826E-4</c:v>
                </c:pt>
                <c:pt idx="1458">
                  <c:v>6.0682499930133858E-6</c:v>
                </c:pt>
                <c:pt idx="1459">
                  <c:v>-3.6605797191037535E-4</c:v>
                </c:pt>
                <c:pt idx="1460">
                  <c:v>-7.3879089073829293E-4</c:v>
                </c:pt>
                <c:pt idx="1461">
                  <c:v>-1.8334392313047666E-3</c:v>
                </c:pt>
                <c:pt idx="1462">
                  <c:v>-3.3320893879062958E-4</c:v>
                </c:pt>
                <c:pt idx="1463">
                  <c:v>-4.6216694485500578E-4</c:v>
                </c:pt>
                <c:pt idx="1464">
                  <c:v>-1.1264875351104868E-3</c:v>
                </c:pt>
                <c:pt idx="1465">
                  <c:v>-4.7361917113464687E-4</c:v>
                </c:pt>
                <c:pt idx="1466">
                  <c:v>-1.0804067036337794E-3</c:v>
                </c:pt>
                <c:pt idx="1467">
                  <c:v>-1.1450979153063005E-3</c:v>
                </c:pt>
                <c:pt idx="1468">
                  <c:v>-9.7418524270611185E-4</c:v>
                </c:pt>
                <c:pt idx="1469">
                  <c:v>-4.8388338465859686E-4</c:v>
                </c:pt>
                <c:pt idx="1470">
                  <c:v>-9.1223706062885641E-4</c:v>
                </c:pt>
                <c:pt idx="1471">
                  <c:v>-1.0128528741492956E-3</c:v>
                </c:pt>
                <c:pt idx="1472">
                  <c:v>-4.0762114417958802E-4</c:v>
                </c:pt>
                <c:pt idx="1473">
                  <c:v>-1.2246209249002478E-3</c:v>
                </c:pt>
                <c:pt idx="1474">
                  <c:v>-4.319611165284848E-4</c:v>
                </c:pt>
                <c:pt idx="1475">
                  <c:v>-7.2136400338843022E-4</c:v>
                </c:pt>
                <c:pt idx="1476">
                  <c:v>-1.3578813748649386E-3</c:v>
                </c:pt>
                <c:pt idx="1477">
                  <c:v>-8.1962362823538809E-4</c:v>
                </c:pt>
                <c:pt idx="1478">
                  <c:v>2.462437606511233E-4</c:v>
                </c:pt>
                <c:pt idx="1479">
                  <c:v>-1.8398689638628686E-3</c:v>
                </c:pt>
                <c:pt idx="1480">
                  <c:v>-9.6294758745093698E-4</c:v>
                </c:pt>
                <c:pt idx="1481">
                  <c:v>1.3429187695571294E-5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7-6940-A423-E9903804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291328"/>
        <c:axId val="298293040"/>
      </c:lineChart>
      <c:dateAx>
        <c:axId val="2982913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93040"/>
        <c:crosses val="autoZero"/>
        <c:auto val="1"/>
        <c:lblOffset val="100"/>
        <c:baseTimeUnit val="days"/>
      </c:dateAx>
      <c:valAx>
        <c:axId val="29829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9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'usdc '!$N$1:$N$9</c:f>
              <c:strCache>
                <c:ptCount val="9"/>
                <c:pt idx="8">
                  <c:v>Version #1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'usdc '!$M$10:$M$1492</c:f>
              <c:strCache>
                <c:ptCount val="1483"/>
                <c:pt idx="0">
                  <c:v>time</c:v>
                </c:pt>
                <c:pt idx="1">
                  <c:v>14/1/2022</c:v>
                </c:pt>
                <c:pt idx="2">
                  <c:v>15/1/2022</c:v>
                </c:pt>
                <c:pt idx="3">
                  <c:v>16/1/2022</c:v>
                </c:pt>
                <c:pt idx="4">
                  <c:v>17/1/2022</c:v>
                </c:pt>
                <c:pt idx="5">
                  <c:v>18/1/2022</c:v>
                </c:pt>
                <c:pt idx="6">
                  <c:v>19/1/2022</c:v>
                </c:pt>
                <c:pt idx="7">
                  <c:v>20/1/2022</c:v>
                </c:pt>
                <c:pt idx="8">
                  <c:v>21/1/2022</c:v>
                </c:pt>
                <c:pt idx="9">
                  <c:v>22/1/2022</c:v>
                </c:pt>
                <c:pt idx="10">
                  <c:v>23/1/2022</c:v>
                </c:pt>
                <c:pt idx="11">
                  <c:v>24/1/2022</c:v>
                </c:pt>
                <c:pt idx="12">
                  <c:v>25/1/2022</c:v>
                </c:pt>
                <c:pt idx="13">
                  <c:v>26/1/2022</c:v>
                </c:pt>
                <c:pt idx="14">
                  <c:v>27/1/2022</c:v>
                </c:pt>
                <c:pt idx="15">
                  <c:v>28/1/2022</c:v>
                </c:pt>
                <c:pt idx="16">
                  <c:v>29/1/2022</c:v>
                </c:pt>
                <c:pt idx="17">
                  <c:v>30/1/2022</c:v>
                </c:pt>
                <c:pt idx="18">
                  <c:v>31/1/2022</c:v>
                </c:pt>
                <c:pt idx="19">
                  <c:v>1/2/2022</c:v>
                </c:pt>
                <c:pt idx="20">
                  <c:v>2/2/2022</c:v>
                </c:pt>
                <c:pt idx="21">
                  <c:v>3/2/2022</c:v>
                </c:pt>
                <c:pt idx="22">
                  <c:v>4/2/2022</c:v>
                </c:pt>
                <c:pt idx="23">
                  <c:v>5/2/2022</c:v>
                </c:pt>
                <c:pt idx="24">
                  <c:v>6/2/2022</c:v>
                </c:pt>
                <c:pt idx="25">
                  <c:v>7/2/2022</c:v>
                </c:pt>
                <c:pt idx="26">
                  <c:v>8/2/2022</c:v>
                </c:pt>
                <c:pt idx="27">
                  <c:v>9/2/2022</c:v>
                </c:pt>
                <c:pt idx="28">
                  <c:v>10/2/2022</c:v>
                </c:pt>
                <c:pt idx="29">
                  <c:v>11/2/2022</c:v>
                </c:pt>
                <c:pt idx="30">
                  <c:v>12/2/2022</c:v>
                </c:pt>
                <c:pt idx="31">
                  <c:v>13/2/2022</c:v>
                </c:pt>
                <c:pt idx="32">
                  <c:v>14/2/2022</c:v>
                </c:pt>
                <c:pt idx="33">
                  <c:v>15/2/2022</c:v>
                </c:pt>
                <c:pt idx="34">
                  <c:v>16/2/2022</c:v>
                </c:pt>
                <c:pt idx="35">
                  <c:v>17/2/2022</c:v>
                </c:pt>
                <c:pt idx="36">
                  <c:v>18/2/2022</c:v>
                </c:pt>
                <c:pt idx="37">
                  <c:v>19/2/2022</c:v>
                </c:pt>
                <c:pt idx="38">
                  <c:v>20/2/2022</c:v>
                </c:pt>
                <c:pt idx="39">
                  <c:v>21/2/2022</c:v>
                </c:pt>
                <c:pt idx="40">
                  <c:v>22/2/2022</c:v>
                </c:pt>
                <c:pt idx="41">
                  <c:v>23/2/2022</c:v>
                </c:pt>
                <c:pt idx="42">
                  <c:v>24/2/2022</c:v>
                </c:pt>
                <c:pt idx="43">
                  <c:v>25/2/2022</c:v>
                </c:pt>
                <c:pt idx="44">
                  <c:v>26/2/2022</c:v>
                </c:pt>
                <c:pt idx="45">
                  <c:v>27/2/2022</c:v>
                </c:pt>
                <c:pt idx="46">
                  <c:v>28/2/2022</c:v>
                </c:pt>
                <c:pt idx="47">
                  <c:v>1/3/2022</c:v>
                </c:pt>
                <c:pt idx="48">
                  <c:v>2/3/2022</c:v>
                </c:pt>
                <c:pt idx="49">
                  <c:v>3/3/2022</c:v>
                </c:pt>
                <c:pt idx="50">
                  <c:v>4/3/2022</c:v>
                </c:pt>
                <c:pt idx="51">
                  <c:v>5/3/2022</c:v>
                </c:pt>
                <c:pt idx="52">
                  <c:v>6/3/2022</c:v>
                </c:pt>
                <c:pt idx="53">
                  <c:v>7/3/2022</c:v>
                </c:pt>
                <c:pt idx="54">
                  <c:v>8/3/2022</c:v>
                </c:pt>
                <c:pt idx="55">
                  <c:v>9/3/2022</c:v>
                </c:pt>
                <c:pt idx="56">
                  <c:v>10/3/2022</c:v>
                </c:pt>
                <c:pt idx="57">
                  <c:v>11/3/2022</c:v>
                </c:pt>
                <c:pt idx="58">
                  <c:v>12/3/2022</c:v>
                </c:pt>
                <c:pt idx="59">
                  <c:v>13/3/2022</c:v>
                </c:pt>
                <c:pt idx="60">
                  <c:v>14/3/2022</c:v>
                </c:pt>
                <c:pt idx="61">
                  <c:v>15/3/2022</c:v>
                </c:pt>
                <c:pt idx="62">
                  <c:v>16/3/2022</c:v>
                </c:pt>
                <c:pt idx="63">
                  <c:v>17/3/2022</c:v>
                </c:pt>
                <c:pt idx="64">
                  <c:v>18/3/2022</c:v>
                </c:pt>
                <c:pt idx="65">
                  <c:v>19/3/2022</c:v>
                </c:pt>
                <c:pt idx="66">
                  <c:v>20/3/2022</c:v>
                </c:pt>
                <c:pt idx="67">
                  <c:v>21/3/2022</c:v>
                </c:pt>
                <c:pt idx="68">
                  <c:v>22/3/2022</c:v>
                </c:pt>
                <c:pt idx="69">
                  <c:v>23/3/2022</c:v>
                </c:pt>
                <c:pt idx="70">
                  <c:v>24/3/2022</c:v>
                </c:pt>
                <c:pt idx="71">
                  <c:v>25/3/2022</c:v>
                </c:pt>
                <c:pt idx="72">
                  <c:v>26/3/2022</c:v>
                </c:pt>
                <c:pt idx="73">
                  <c:v>27/3/2022</c:v>
                </c:pt>
                <c:pt idx="74">
                  <c:v>28/3/2022</c:v>
                </c:pt>
                <c:pt idx="75">
                  <c:v>29/3/2022</c:v>
                </c:pt>
                <c:pt idx="76">
                  <c:v>30/3/2022</c:v>
                </c:pt>
                <c:pt idx="77">
                  <c:v>31/3/2022</c:v>
                </c:pt>
                <c:pt idx="78">
                  <c:v>1/4/2022</c:v>
                </c:pt>
                <c:pt idx="79">
                  <c:v>2/4/2022</c:v>
                </c:pt>
                <c:pt idx="80">
                  <c:v>3/4/2022</c:v>
                </c:pt>
                <c:pt idx="81">
                  <c:v>4/4/2022</c:v>
                </c:pt>
                <c:pt idx="82">
                  <c:v>5/4/2022</c:v>
                </c:pt>
                <c:pt idx="83">
                  <c:v>6/4/2022</c:v>
                </c:pt>
                <c:pt idx="84">
                  <c:v>7/4/2022</c:v>
                </c:pt>
                <c:pt idx="85">
                  <c:v>8/4/2022</c:v>
                </c:pt>
                <c:pt idx="86">
                  <c:v>9/4/2022</c:v>
                </c:pt>
                <c:pt idx="87">
                  <c:v>10/4/2022</c:v>
                </c:pt>
                <c:pt idx="88">
                  <c:v>11/4/2022</c:v>
                </c:pt>
                <c:pt idx="89">
                  <c:v>12/4/2022</c:v>
                </c:pt>
                <c:pt idx="90">
                  <c:v>13/4/2022</c:v>
                </c:pt>
                <c:pt idx="91">
                  <c:v>14/4/2022</c:v>
                </c:pt>
                <c:pt idx="92">
                  <c:v>15/4/2022</c:v>
                </c:pt>
                <c:pt idx="93">
                  <c:v>16/4/2022</c:v>
                </c:pt>
                <c:pt idx="94">
                  <c:v>17/4/2022</c:v>
                </c:pt>
                <c:pt idx="95">
                  <c:v>18/4/2022</c:v>
                </c:pt>
                <c:pt idx="96">
                  <c:v>19/4/2022</c:v>
                </c:pt>
                <c:pt idx="97">
                  <c:v>20/4/2022</c:v>
                </c:pt>
                <c:pt idx="98">
                  <c:v>21/4/2022</c:v>
                </c:pt>
                <c:pt idx="99">
                  <c:v>22/4/2022</c:v>
                </c:pt>
                <c:pt idx="100">
                  <c:v>23/4/2022</c:v>
                </c:pt>
                <c:pt idx="101">
                  <c:v>24/4/2022</c:v>
                </c:pt>
                <c:pt idx="102">
                  <c:v>25/4/2022</c:v>
                </c:pt>
                <c:pt idx="103">
                  <c:v>26/4/2022</c:v>
                </c:pt>
                <c:pt idx="104">
                  <c:v>27/4/2022</c:v>
                </c:pt>
                <c:pt idx="105">
                  <c:v>28/4/2022</c:v>
                </c:pt>
                <c:pt idx="106">
                  <c:v>29/4/2022</c:v>
                </c:pt>
                <c:pt idx="107">
                  <c:v>30/4/2022</c:v>
                </c:pt>
                <c:pt idx="108">
                  <c:v>1/5/2022</c:v>
                </c:pt>
                <c:pt idx="109">
                  <c:v>2/5/2022</c:v>
                </c:pt>
                <c:pt idx="110">
                  <c:v>3/5/2022</c:v>
                </c:pt>
                <c:pt idx="111">
                  <c:v>4/5/2022</c:v>
                </c:pt>
                <c:pt idx="112">
                  <c:v>5/5/2022</c:v>
                </c:pt>
                <c:pt idx="113">
                  <c:v>6/5/2022</c:v>
                </c:pt>
                <c:pt idx="114">
                  <c:v>7/5/2022</c:v>
                </c:pt>
                <c:pt idx="115">
                  <c:v>8/5/2022</c:v>
                </c:pt>
                <c:pt idx="116">
                  <c:v>9/5/2022</c:v>
                </c:pt>
                <c:pt idx="117">
                  <c:v>10/5/2022</c:v>
                </c:pt>
                <c:pt idx="118">
                  <c:v>11/5/2022</c:v>
                </c:pt>
                <c:pt idx="119">
                  <c:v>12/5/2022</c:v>
                </c:pt>
                <c:pt idx="120">
                  <c:v>13/5/2022</c:v>
                </c:pt>
                <c:pt idx="121">
                  <c:v>14/5/2022</c:v>
                </c:pt>
                <c:pt idx="122">
                  <c:v>15/5/2022</c:v>
                </c:pt>
                <c:pt idx="123">
                  <c:v>16/5/2022</c:v>
                </c:pt>
                <c:pt idx="124">
                  <c:v>17/5/2022</c:v>
                </c:pt>
                <c:pt idx="125">
                  <c:v>18/5/2022</c:v>
                </c:pt>
                <c:pt idx="126">
                  <c:v>19/5/2022</c:v>
                </c:pt>
                <c:pt idx="127">
                  <c:v>20/5/2022</c:v>
                </c:pt>
                <c:pt idx="128">
                  <c:v>21/5/2022</c:v>
                </c:pt>
                <c:pt idx="129">
                  <c:v>22/5/2022</c:v>
                </c:pt>
                <c:pt idx="130">
                  <c:v>23/5/2022</c:v>
                </c:pt>
                <c:pt idx="131">
                  <c:v>24/5/2022</c:v>
                </c:pt>
                <c:pt idx="132">
                  <c:v>25/5/2022</c:v>
                </c:pt>
                <c:pt idx="133">
                  <c:v>26/5/2022</c:v>
                </c:pt>
                <c:pt idx="134">
                  <c:v>27/5/2022</c:v>
                </c:pt>
                <c:pt idx="135">
                  <c:v>28/5/2022</c:v>
                </c:pt>
                <c:pt idx="136">
                  <c:v>29/5/2022</c:v>
                </c:pt>
                <c:pt idx="137">
                  <c:v>30/5/2022</c:v>
                </c:pt>
                <c:pt idx="138">
                  <c:v>31/5/2022</c:v>
                </c:pt>
                <c:pt idx="139">
                  <c:v>1/6/2022</c:v>
                </c:pt>
                <c:pt idx="140">
                  <c:v>2/6/2022</c:v>
                </c:pt>
                <c:pt idx="141">
                  <c:v>3/6/2022</c:v>
                </c:pt>
                <c:pt idx="142">
                  <c:v>4/6/2022</c:v>
                </c:pt>
                <c:pt idx="143">
                  <c:v>5/6/2022</c:v>
                </c:pt>
                <c:pt idx="144">
                  <c:v>6/6/2022</c:v>
                </c:pt>
                <c:pt idx="145">
                  <c:v>7/6/2022</c:v>
                </c:pt>
                <c:pt idx="146">
                  <c:v>8/6/2022</c:v>
                </c:pt>
                <c:pt idx="147">
                  <c:v>9/6/2022</c:v>
                </c:pt>
                <c:pt idx="148">
                  <c:v>10/6/2022</c:v>
                </c:pt>
                <c:pt idx="149">
                  <c:v>11/6/2022</c:v>
                </c:pt>
                <c:pt idx="150">
                  <c:v>12/6/2022</c:v>
                </c:pt>
                <c:pt idx="151">
                  <c:v>13/6/2022</c:v>
                </c:pt>
                <c:pt idx="152">
                  <c:v>14/6/2022</c:v>
                </c:pt>
                <c:pt idx="153">
                  <c:v>15/6/2022</c:v>
                </c:pt>
                <c:pt idx="154">
                  <c:v>16/6/2022</c:v>
                </c:pt>
                <c:pt idx="155">
                  <c:v>17/6/2022</c:v>
                </c:pt>
                <c:pt idx="156">
                  <c:v>18/6/2022</c:v>
                </c:pt>
                <c:pt idx="157">
                  <c:v>19/6/2022</c:v>
                </c:pt>
                <c:pt idx="158">
                  <c:v>20/6/2022</c:v>
                </c:pt>
                <c:pt idx="159">
                  <c:v>21/6/2022</c:v>
                </c:pt>
                <c:pt idx="160">
                  <c:v>22/6/2022</c:v>
                </c:pt>
                <c:pt idx="161">
                  <c:v>23/6/2022</c:v>
                </c:pt>
                <c:pt idx="162">
                  <c:v>24/6/2022</c:v>
                </c:pt>
                <c:pt idx="163">
                  <c:v>25/6/2022</c:v>
                </c:pt>
                <c:pt idx="164">
                  <c:v>26/6/2022</c:v>
                </c:pt>
                <c:pt idx="165">
                  <c:v>27/6/2022</c:v>
                </c:pt>
                <c:pt idx="166">
                  <c:v>28/6/2022</c:v>
                </c:pt>
                <c:pt idx="167">
                  <c:v>29/6/2022</c:v>
                </c:pt>
                <c:pt idx="168">
                  <c:v>30/6/2022</c:v>
                </c:pt>
                <c:pt idx="169">
                  <c:v>1/7/2022</c:v>
                </c:pt>
                <c:pt idx="170">
                  <c:v>2/7/2022</c:v>
                </c:pt>
                <c:pt idx="171">
                  <c:v>3/7/2022</c:v>
                </c:pt>
                <c:pt idx="172">
                  <c:v>4/7/2022</c:v>
                </c:pt>
                <c:pt idx="173">
                  <c:v>5/7/2022</c:v>
                </c:pt>
                <c:pt idx="174">
                  <c:v>6/7/2022</c:v>
                </c:pt>
                <c:pt idx="175">
                  <c:v>7/7/2022</c:v>
                </c:pt>
                <c:pt idx="176">
                  <c:v>8/7/2022</c:v>
                </c:pt>
                <c:pt idx="177">
                  <c:v>9/7/2022</c:v>
                </c:pt>
                <c:pt idx="178">
                  <c:v>10/7/2022</c:v>
                </c:pt>
                <c:pt idx="179">
                  <c:v>11/7/2022</c:v>
                </c:pt>
                <c:pt idx="180">
                  <c:v>12/7/2022</c:v>
                </c:pt>
                <c:pt idx="181">
                  <c:v>13/7/2022</c:v>
                </c:pt>
                <c:pt idx="182">
                  <c:v>14/7/2022</c:v>
                </c:pt>
                <c:pt idx="183">
                  <c:v>15/7/2022</c:v>
                </c:pt>
                <c:pt idx="184">
                  <c:v>16/7/2022</c:v>
                </c:pt>
                <c:pt idx="185">
                  <c:v>17/7/2022</c:v>
                </c:pt>
                <c:pt idx="186">
                  <c:v>18/7/2022</c:v>
                </c:pt>
                <c:pt idx="187">
                  <c:v>19/7/2022</c:v>
                </c:pt>
                <c:pt idx="188">
                  <c:v>20/7/2022</c:v>
                </c:pt>
                <c:pt idx="189">
                  <c:v>21/7/2022</c:v>
                </c:pt>
                <c:pt idx="190">
                  <c:v>22/7/2022</c:v>
                </c:pt>
                <c:pt idx="191">
                  <c:v>23/7/2022</c:v>
                </c:pt>
                <c:pt idx="192">
                  <c:v>24/7/2022</c:v>
                </c:pt>
                <c:pt idx="193">
                  <c:v>25/7/2022</c:v>
                </c:pt>
                <c:pt idx="194">
                  <c:v>26/7/2022</c:v>
                </c:pt>
                <c:pt idx="195">
                  <c:v>27/7/2022</c:v>
                </c:pt>
                <c:pt idx="196">
                  <c:v>28/7/2022</c:v>
                </c:pt>
                <c:pt idx="197">
                  <c:v>29/7/2022</c:v>
                </c:pt>
                <c:pt idx="198">
                  <c:v>30/7/2022</c:v>
                </c:pt>
                <c:pt idx="199">
                  <c:v>31/7/2022</c:v>
                </c:pt>
                <c:pt idx="200">
                  <c:v>1/8/2022</c:v>
                </c:pt>
                <c:pt idx="201">
                  <c:v>2/8/2022</c:v>
                </c:pt>
                <c:pt idx="202">
                  <c:v>3/8/2022</c:v>
                </c:pt>
                <c:pt idx="203">
                  <c:v>4/8/2022</c:v>
                </c:pt>
                <c:pt idx="204">
                  <c:v>5/8/2022</c:v>
                </c:pt>
                <c:pt idx="205">
                  <c:v>6/8/2022</c:v>
                </c:pt>
                <c:pt idx="206">
                  <c:v>7/8/2022</c:v>
                </c:pt>
                <c:pt idx="207">
                  <c:v>8/8/2022</c:v>
                </c:pt>
                <c:pt idx="208">
                  <c:v>9/8/2022</c:v>
                </c:pt>
                <c:pt idx="209">
                  <c:v>10/8/2022</c:v>
                </c:pt>
                <c:pt idx="210">
                  <c:v>11/8/2022</c:v>
                </c:pt>
                <c:pt idx="211">
                  <c:v>12/8/2022</c:v>
                </c:pt>
                <c:pt idx="212">
                  <c:v>13/8/2022</c:v>
                </c:pt>
                <c:pt idx="213">
                  <c:v>14/8/2022</c:v>
                </c:pt>
                <c:pt idx="214">
                  <c:v>15/8/2022</c:v>
                </c:pt>
                <c:pt idx="215">
                  <c:v>16/8/2022</c:v>
                </c:pt>
                <c:pt idx="216">
                  <c:v>17/8/2022</c:v>
                </c:pt>
                <c:pt idx="217">
                  <c:v>18/8/2022</c:v>
                </c:pt>
                <c:pt idx="218">
                  <c:v>19/8/2022</c:v>
                </c:pt>
                <c:pt idx="219">
                  <c:v>20/8/2022</c:v>
                </c:pt>
                <c:pt idx="220">
                  <c:v>21/8/2022</c:v>
                </c:pt>
                <c:pt idx="221">
                  <c:v>22/8/2022</c:v>
                </c:pt>
                <c:pt idx="222">
                  <c:v>23/8/2022</c:v>
                </c:pt>
                <c:pt idx="223">
                  <c:v>24/8/2022</c:v>
                </c:pt>
                <c:pt idx="224">
                  <c:v>25/8/2022</c:v>
                </c:pt>
                <c:pt idx="225">
                  <c:v>26/8/2022</c:v>
                </c:pt>
                <c:pt idx="226">
                  <c:v>27/8/2022</c:v>
                </c:pt>
                <c:pt idx="227">
                  <c:v>28/8/2022</c:v>
                </c:pt>
                <c:pt idx="228">
                  <c:v>29/8/2022</c:v>
                </c:pt>
                <c:pt idx="229">
                  <c:v>30/8/2022</c:v>
                </c:pt>
                <c:pt idx="230">
                  <c:v>31/8/2022</c:v>
                </c:pt>
                <c:pt idx="231">
                  <c:v>1/9/2022</c:v>
                </c:pt>
                <c:pt idx="232">
                  <c:v>2/9/2022</c:v>
                </c:pt>
                <c:pt idx="233">
                  <c:v>3/9/2022</c:v>
                </c:pt>
                <c:pt idx="234">
                  <c:v>4/9/2022</c:v>
                </c:pt>
                <c:pt idx="235">
                  <c:v>5/9/2022</c:v>
                </c:pt>
                <c:pt idx="236">
                  <c:v>6/9/2022</c:v>
                </c:pt>
                <c:pt idx="237">
                  <c:v>7/9/2022</c:v>
                </c:pt>
                <c:pt idx="238">
                  <c:v>8/9/2022</c:v>
                </c:pt>
                <c:pt idx="239">
                  <c:v>9/9/2022</c:v>
                </c:pt>
                <c:pt idx="240">
                  <c:v>10/9/2022</c:v>
                </c:pt>
                <c:pt idx="241">
                  <c:v>11/9/2022</c:v>
                </c:pt>
                <c:pt idx="242">
                  <c:v>12/9/2022</c:v>
                </c:pt>
                <c:pt idx="243">
                  <c:v>13/9/2022</c:v>
                </c:pt>
                <c:pt idx="244">
                  <c:v>14/9/2022</c:v>
                </c:pt>
                <c:pt idx="245">
                  <c:v>15/9/2022</c:v>
                </c:pt>
                <c:pt idx="246">
                  <c:v>16/9/2022</c:v>
                </c:pt>
                <c:pt idx="247">
                  <c:v>17/9/2022</c:v>
                </c:pt>
                <c:pt idx="248">
                  <c:v>18/9/2022</c:v>
                </c:pt>
                <c:pt idx="249">
                  <c:v>19/9/2022</c:v>
                </c:pt>
                <c:pt idx="250">
                  <c:v>20/9/2022</c:v>
                </c:pt>
                <c:pt idx="251">
                  <c:v>21/9/2022</c:v>
                </c:pt>
                <c:pt idx="252">
                  <c:v>22/9/2022</c:v>
                </c:pt>
                <c:pt idx="253">
                  <c:v>23/9/2022</c:v>
                </c:pt>
                <c:pt idx="254">
                  <c:v>24/9/2022</c:v>
                </c:pt>
                <c:pt idx="255">
                  <c:v>25/9/2022</c:v>
                </c:pt>
                <c:pt idx="256">
                  <c:v>26/9/2022</c:v>
                </c:pt>
                <c:pt idx="257">
                  <c:v>27/9/2022</c:v>
                </c:pt>
                <c:pt idx="258">
                  <c:v>28/9/2022</c:v>
                </c:pt>
                <c:pt idx="259">
                  <c:v>29/9/2022</c:v>
                </c:pt>
                <c:pt idx="260">
                  <c:v>30/9/2022</c:v>
                </c:pt>
                <c:pt idx="261">
                  <c:v>1/10/2022</c:v>
                </c:pt>
                <c:pt idx="262">
                  <c:v>2/10/2022</c:v>
                </c:pt>
                <c:pt idx="263">
                  <c:v>3/10/2022</c:v>
                </c:pt>
                <c:pt idx="264">
                  <c:v>4/10/2022</c:v>
                </c:pt>
                <c:pt idx="265">
                  <c:v>5/10/2022</c:v>
                </c:pt>
                <c:pt idx="266">
                  <c:v>6/10/2022</c:v>
                </c:pt>
                <c:pt idx="267">
                  <c:v>7/10/2022</c:v>
                </c:pt>
                <c:pt idx="268">
                  <c:v>8/10/2022</c:v>
                </c:pt>
                <c:pt idx="269">
                  <c:v>9/10/2022</c:v>
                </c:pt>
                <c:pt idx="270">
                  <c:v>10/10/2022</c:v>
                </c:pt>
                <c:pt idx="271">
                  <c:v>11/10/2022</c:v>
                </c:pt>
                <c:pt idx="272">
                  <c:v>12/10/2022</c:v>
                </c:pt>
                <c:pt idx="273">
                  <c:v>13/10/2022</c:v>
                </c:pt>
                <c:pt idx="274">
                  <c:v>14/10/2022</c:v>
                </c:pt>
                <c:pt idx="275">
                  <c:v>15/10/2022</c:v>
                </c:pt>
                <c:pt idx="276">
                  <c:v>16/10/2022</c:v>
                </c:pt>
                <c:pt idx="277">
                  <c:v>17/10/2022</c:v>
                </c:pt>
                <c:pt idx="278">
                  <c:v>18/10/2022</c:v>
                </c:pt>
                <c:pt idx="279">
                  <c:v>19/10/2022</c:v>
                </c:pt>
                <c:pt idx="280">
                  <c:v>20/10/2022</c:v>
                </c:pt>
                <c:pt idx="281">
                  <c:v>21/10/2022</c:v>
                </c:pt>
                <c:pt idx="282">
                  <c:v>22/10/2022</c:v>
                </c:pt>
                <c:pt idx="283">
                  <c:v>23/10/2022</c:v>
                </c:pt>
                <c:pt idx="284">
                  <c:v>24/10/2022</c:v>
                </c:pt>
                <c:pt idx="285">
                  <c:v>25/10/2022</c:v>
                </c:pt>
                <c:pt idx="286">
                  <c:v>26/10/2022</c:v>
                </c:pt>
                <c:pt idx="287">
                  <c:v>27/10/2022</c:v>
                </c:pt>
                <c:pt idx="288">
                  <c:v>28/10/2022</c:v>
                </c:pt>
                <c:pt idx="289">
                  <c:v>29/10/2022</c:v>
                </c:pt>
                <c:pt idx="290">
                  <c:v>30/10/2022</c:v>
                </c:pt>
                <c:pt idx="291">
                  <c:v>31/10/2022</c:v>
                </c:pt>
                <c:pt idx="292">
                  <c:v>1/11/2022</c:v>
                </c:pt>
                <c:pt idx="293">
                  <c:v>2/11/2022</c:v>
                </c:pt>
                <c:pt idx="294">
                  <c:v>3/11/2022</c:v>
                </c:pt>
                <c:pt idx="295">
                  <c:v>4/11/2022</c:v>
                </c:pt>
                <c:pt idx="296">
                  <c:v>5/11/2022</c:v>
                </c:pt>
                <c:pt idx="297">
                  <c:v>6/11/2022</c:v>
                </c:pt>
                <c:pt idx="298">
                  <c:v>7/11/2022</c:v>
                </c:pt>
                <c:pt idx="299">
                  <c:v>8/11/2022</c:v>
                </c:pt>
                <c:pt idx="300">
                  <c:v>9/11/2022</c:v>
                </c:pt>
                <c:pt idx="301">
                  <c:v>10/11/2022</c:v>
                </c:pt>
                <c:pt idx="302">
                  <c:v>11/11/2022</c:v>
                </c:pt>
                <c:pt idx="303">
                  <c:v>12/11/2022</c:v>
                </c:pt>
                <c:pt idx="304">
                  <c:v>13/11/2022</c:v>
                </c:pt>
                <c:pt idx="305">
                  <c:v>14/11/2022</c:v>
                </c:pt>
                <c:pt idx="306">
                  <c:v>15/11/2022</c:v>
                </c:pt>
                <c:pt idx="307">
                  <c:v>16/11/2022</c:v>
                </c:pt>
                <c:pt idx="308">
                  <c:v>17/11/2022</c:v>
                </c:pt>
                <c:pt idx="309">
                  <c:v>18/11/2022</c:v>
                </c:pt>
                <c:pt idx="310">
                  <c:v>19/11/2022</c:v>
                </c:pt>
                <c:pt idx="311">
                  <c:v>20/11/2022</c:v>
                </c:pt>
                <c:pt idx="312">
                  <c:v>21/11/2022</c:v>
                </c:pt>
                <c:pt idx="313">
                  <c:v>22/11/2022</c:v>
                </c:pt>
                <c:pt idx="314">
                  <c:v>23/11/2022</c:v>
                </c:pt>
                <c:pt idx="315">
                  <c:v>24/11/2022</c:v>
                </c:pt>
                <c:pt idx="316">
                  <c:v>25/11/2022</c:v>
                </c:pt>
                <c:pt idx="317">
                  <c:v>26/11/2022</c:v>
                </c:pt>
                <c:pt idx="318">
                  <c:v>27/11/2022</c:v>
                </c:pt>
                <c:pt idx="319">
                  <c:v>28/11/2022</c:v>
                </c:pt>
                <c:pt idx="320">
                  <c:v>29/11/2022</c:v>
                </c:pt>
                <c:pt idx="321">
                  <c:v>30/11/2022</c:v>
                </c:pt>
                <c:pt idx="322">
                  <c:v>1/12/2022</c:v>
                </c:pt>
                <c:pt idx="323">
                  <c:v>2/12/2022</c:v>
                </c:pt>
                <c:pt idx="324">
                  <c:v>3/12/2022</c:v>
                </c:pt>
                <c:pt idx="325">
                  <c:v>4/12/2022</c:v>
                </c:pt>
                <c:pt idx="326">
                  <c:v>5/12/2022</c:v>
                </c:pt>
                <c:pt idx="327">
                  <c:v>6/12/2022</c:v>
                </c:pt>
                <c:pt idx="328">
                  <c:v>7/12/2022</c:v>
                </c:pt>
                <c:pt idx="329">
                  <c:v>8/12/2022</c:v>
                </c:pt>
                <c:pt idx="330">
                  <c:v>9/12/2022</c:v>
                </c:pt>
                <c:pt idx="331">
                  <c:v>10/12/2022</c:v>
                </c:pt>
                <c:pt idx="332">
                  <c:v>11/12/2022</c:v>
                </c:pt>
                <c:pt idx="333">
                  <c:v>12/12/2022</c:v>
                </c:pt>
                <c:pt idx="334">
                  <c:v>13/12/2022</c:v>
                </c:pt>
                <c:pt idx="335">
                  <c:v>14/12/2022</c:v>
                </c:pt>
                <c:pt idx="336">
                  <c:v>15/12/2022</c:v>
                </c:pt>
                <c:pt idx="337">
                  <c:v>16/12/2022</c:v>
                </c:pt>
                <c:pt idx="338">
                  <c:v>17/12/2022</c:v>
                </c:pt>
                <c:pt idx="339">
                  <c:v>18/12/2022</c:v>
                </c:pt>
                <c:pt idx="340">
                  <c:v>19/12/2022</c:v>
                </c:pt>
                <c:pt idx="341">
                  <c:v>20/12/2022</c:v>
                </c:pt>
                <c:pt idx="342">
                  <c:v>21/12/2022</c:v>
                </c:pt>
                <c:pt idx="343">
                  <c:v>22/12/2022</c:v>
                </c:pt>
                <c:pt idx="344">
                  <c:v>23/12/2022</c:v>
                </c:pt>
                <c:pt idx="345">
                  <c:v>24/12/2022</c:v>
                </c:pt>
                <c:pt idx="346">
                  <c:v>25/12/2022</c:v>
                </c:pt>
                <c:pt idx="347">
                  <c:v>26/12/2022</c:v>
                </c:pt>
                <c:pt idx="348">
                  <c:v>27/12/2022</c:v>
                </c:pt>
                <c:pt idx="349">
                  <c:v>28/12/2022</c:v>
                </c:pt>
                <c:pt idx="350">
                  <c:v>29/12/2022</c:v>
                </c:pt>
                <c:pt idx="351">
                  <c:v>30/12/2022</c:v>
                </c:pt>
                <c:pt idx="352">
                  <c:v>31/12/2022</c:v>
                </c:pt>
                <c:pt idx="353">
                  <c:v>1/1/2023</c:v>
                </c:pt>
                <c:pt idx="354">
                  <c:v>2/1/2023</c:v>
                </c:pt>
                <c:pt idx="355">
                  <c:v>3/1/2023</c:v>
                </c:pt>
                <c:pt idx="356">
                  <c:v>4/1/2023</c:v>
                </c:pt>
                <c:pt idx="357">
                  <c:v>5/1/2023</c:v>
                </c:pt>
                <c:pt idx="358">
                  <c:v>6/1/2023</c:v>
                </c:pt>
                <c:pt idx="359">
                  <c:v>7/1/2023</c:v>
                </c:pt>
                <c:pt idx="360">
                  <c:v>8/1/2023</c:v>
                </c:pt>
                <c:pt idx="361">
                  <c:v>9/1/2023</c:v>
                </c:pt>
                <c:pt idx="362">
                  <c:v>10/1/2023</c:v>
                </c:pt>
                <c:pt idx="363">
                  <c:v>11/1/2023</c:v>
                </c:pt>
                <c:pt idx="364">
                  <c:v>12/1/2023</c:v>
                </c:pt>
                <c:pt idx="365">
                  <c:v>13/1/2023</c:v>
                </c:pt>
                <c:pt idx="366">
                  <c:v>14/1/2023</c:v>
                </c:pt>
                <c:pt idx="367">
                  <c:v>15/1/2023</c:v>
                </c:pt>
                <c:pt idx="368">
                  <c:v>16/1/2023</c:v>
                </c:pt>
                <c:pt idx="369">
                  <c:v>17/1/2023</c:v>
                </c:pt>
                <c:pt idx="370">
                  <c:v>18/1/2023</c:v>
                </c:pt>
                <c:pt idx="371">
                  <c:v>19/1/2023</c:v>
                </c:pt>
                <c:pt idx="372">
                  <c:v>20/1/2023</c:v>
                </c:pt>
                <c:pt idx="373">
                  <c:v>21/1/2023</c:v>
                </c:pt>
                <c:pt idx="374">
                  <c:v>22/1/2023</c:v>
                </c:pt>
                <c:pt idx="375">
                  <c:v>23/1/2023</c:v>
                </c:pt>
                <c:pt idx="376">
                  <c:v>24/1/2023</c:v>
                </c:pt>
                <c:pt idx="377">
                  <c:v>25/1/2023</c:v>
                </c:pt>
                <c:pt idx="378">
                  <c:v>26/1/2023</c:v>
                </c:pt>
                <c:pt idx="379">
                  <c:v>27/1/2023</c:v>
                </c:pt>
                <c:pt idx="380">
                  <c:v>28/1/2023</c:v>
                </c:pt>
                <c:pt idx="381">
                  <c:v>29/1/2023</c:v>
                </c:pt>
                <c:pt idx="382">
                  <c:v>30/1/2023</c:v>
                </c:pt>
                <c:pt idx="383">
                  <c:v>31/1/2023</c:v>
                </c:pt>
                <c:pt idx="384">
                  <c:v>1/2/2023</c:v>
                </c:pt>
                <c:pt idx="385">
                  <c:v>2/2/2023</c:v>
                </c:pt>
                <c:pt idx="386">
                  <c:v>3/2/2023</c:v>
                </c:pt>
                <c:pt idx="387">
                  <c:v>4/2/2023</c:v>
                </c:pt>
                <c:pt idx="388">
                  <c:v>5/2/2023</c:v>
                </c:pt>
                <c:pt idx="389">
                  <c:v>6/2/2023</c:v>
                </c:pt>
                <c:pt idx="390">
                  <c:v>7/2/2023</c:v>
                </c:pt>
                <c:pt idx="391">
                  <c:v>8/2/2023</c:v>
                </c:pt>
                <c:pt idx="392">
                  <c:v>9/2/2023</c:v>
                </c:pt>
                <c:pt idx="393">
                  <c:v>10/2/2023</c:v>
                </c:pt>
                <c:pt idx="394">
                  <c:v>11/2/2023</c:v>
                </c:pt>
                <c:pt idx="395">
                  <c:v>12/2/2023</c:v>
                </c:pt>
                <c:pt idx="396">
                  <c:v>13/2/2023</c:v>
                </c:pt>
                <c:pt idx="397">
                  <c:v>14/2/2023</c:v>
                </c:pt>
                <c:pt idx="398">
                  <c:v>15/2/2023</c:v>
                </c:pt>
                <c:pt idx="399">
                  <c:v>16/2/2023</c:v>
                </c:pt>
                <c:pt idx="400">
                  <c:v>17/2/2023</c:v>
                </c:pt>
                <c:pt idx="401">
                  <c:v>18/2/2023</c:v>
                </c:pt>
                <c:pt idx="402">
                  <c:v>19/2/2023</c:v>
                </c:pt>
                <c:pt idx="403">
                  <c:v>20/2/2023</c:v>
                </c:pt>
                <c:pt idx="404">
                  <c:v>21/2/2023</c:v>
                </c:pt>
                <c:pt idx="405">
                  <c:v>22/2/2023</c:v>
                </c:pt>
                <c:pt idx="406">
                  <c:v>23/2/2023</c:v>
                </c:pt>
                <c:pt idx="407">
                  <c:v>24/2/2023</c:v>
                </c:pt>
                <c:pt idx="408">
                  <c:v>25/2/2023</c:v>
                </c:pt>
                <c:pt idx="409">
                  <c:v>26/2/2023</c:v>
                </c:pt>
                <c:pt idx="410">
                  <c:v>27/2/2023</c:v>
                </c:pt>
                <c:pt idx="411">
                  <c:v>28/2/2023</c:v>
                </c:pt>
                <c:pt idx="412">
                  <c:v>1/3/2023</c:v>
                </c:pt>
                <c:pt idx="413">
                  <c:v>2/3/2023</c:v>
                </c:pt>
                <c:pt idx="414">
                  <c:v>3/3/2023</c:v>
                </c:pt>
                <c:pt idx="415">
                  <c:v>4/3/2023</c:v>
                </c:pt>
                <c:pt idx="416">
                  <c:v>5/3/2023</c:v>
                </c:pt>
                <c:pt idx="417">
                  <c:v>6/3/2023</c:v>
                </c:pt>
                <c:pt idx="418">
                  <c:v>7/3/2023</c:v>
                </c:pt>
                <c:pt idx="419">
                  <c:v>8/3/2023</c:v>
                </c:pt>
                <c:pt idx="420">
                  <c:v>9/3/2023</c:v>
                </c:pt>
                <c:pt idx="421">
                  <c:v>10/3/2023</c:v>
                </c:pt>
                <c:pt idx="422">
                  <c:v>11/3/2023</c:v>
                </c:pt>
                <c:pt idx="423">
                  <c:v>12/3/2023</c:v>
                </c:pt>
                <c:pt idx="424">
                  <c:v>13/3/2023</c:v>
                </c:pt>
                <c:pt idx="425">
                  <c:v>14/3/2023</c:v>
                </c:pt>
                <c:pt idx="426">
                  <c:v>15/3/2023</c:v>
                </c:pt>
                <c:pt idx="427">
                  <c:v>16/3/2023</c:v>
                </c:pt>
                <c:pt idx="428">
                  <c:v>17/3/2023</c:v>
                </c:pt>
                <c:pt idx="429">
                  <c:v>18/3/2023</c:v>
                </c:pt>
                <c:pt idx="430">
                  <c:v>19/3/2023</c:v>
                </c:pt>
                <c:pt idx="431">
                  <c:v>20/3/2023</c:v>
                </c:pt>
                <c:pt idx="432">
                  <c:v>21/3/2023</c:v>
                </c:pt>
                <c:pt idx="433">
                  <c:v>22/3/2023</c:v>
                </c:pt>
                <c:pt idx="434">
                  <c:v>23/3/2023</c:v>
                </c:pt>
                <c:pt idx="435">
                  <c:v>24/3/2023</c:v>
                </c:pt>
                <c:pt idx="436">
                  <c:v>25/3/2023</c:v>
                </c:pt>
                <c:pt idx="437">
                  <c:v>26/3/2023</c:v>
                </c:pt>
                <c:pt idx="438">
                  <c:v>27/3/2023</c:v>
                </c:pt>
                <c:pt idx="439">
                  <c:v>28/3/2023</c:v>
                </c:pt>
                <c:pt idx="440">
                  <c:v>29/3/2023</c:v>
                </c:pt>
                <c:pt idx="441">
                  <c:v>30/3/2023</c:v>
                </c:pt>
                <c:pt idx="442">
                  <c:v>31/3/2023</c:v>
                </c:pt>
                <c:pt idx="443">
                  <c:v>1/4/2023</c:v>
                </c:pt>
                <c:pt idx="444">
                  <c:v>2/4/2023</c:v>
                </c:pt>
                <c:pt idx="445">
                  <c:v>3/4/2023</c:v>
                </c:pt>
                <c:pt idx="446">
                  <c:v>4/4/2023</c:v>
                </c:pt>
                <c:pt idx="447">
                  <c:v>5/4/2023</c:v>
                </c:pt>
                <c:pt idx="448">
                  <c:v>6/4/2023</c:v>
                </c:pt>
                <c:pt idx="449">
                  <c:v>7/4/2023</c:v>
                </c:pt>
                <c:pt idx="450">
                  <c:v>8/4/2023</c:v>
                </c:pt>
                <c:pt idx="451">
                  <c:v>9/4/2023</c:v>
                </c:pt>
                <c:pt idx="452">
                  <c:v>10/4/2023</c:v>
                </c:pt>
                <c:pt idx="453">
                  <c:v>11/4/2023</c:v>
                </c:pt>
                <c:pt idx="454">
                  <c:v>12/4/2023</c:v>
                </c:pt>
                <c:pt idx="455">
                  <c:v>13/4/2023</c:v>
                </c:pt>
                <c:pt idx="456">
                  <c:v>14/4/2023</c:v>
                </c:pt>
                <c:pt idx="457">
                  <c:v>15/4/2023</c:v>
                </c:pt>
                <c:pt idx="458">
                  <c:v>16/4/2023</c:v>
                </c:pt>
                <c:pt idx="459">
                  <c:v>17/4/2023</c:v>
                </c:pt>
                <c:pt idx="460">
                  <c:v>18/4/2023</c:v>
                </c:pt>
                <c:pt idx="461">
                  <c:v>19/4/2023</c:v>
                </c:pt>
                <c:pt idx="462">
                  <c:v>20/4/2023</c:v>
                </c:pt>
                <c:pt idx="463">
                  <c:v>21/4/2023</c:v>
                </c:pt>
                <c:pt idx="464">
                  <c:v>22/4/2023</c:v>
                </c:pt>
                <c:pt idx="465">
                  <c:v>23/4/2023</c:v>
                </c:pt>
                <c:pt idx="466">
                  <c:v>24/4/2023</c:v>
                </c:pt>
                <c:pt idx="467">
                  <c:v>25/4/2023</c:v>
                </c:pt>
                <c:pt idx="468">
                  <c:v>26/4/2023</c:v>
                </c:pt>
                <c:pt idx="469">
                  <c:v>27/4/2023</c:v>
                </c:pt>
                <c:pt idx="470">
                  <c:v>28/4/2023</c:v>
                </c:pt>
                <c:pt idx="471">
                  <c:v>29/4/2023</c:v>
                </c:pt>
                <c:pt idx="472">
                  <c:v>30/4/2023</c:v>
                </c:pt>
                <c:pt idx="473">
                  <c:v>1/5/2023</c:v>
                </c:pt>
                <c:pt idx="474">
                  <c:v>2/5/2023</c:v>
                </c:pt>
                <c:pt idx="475">
                  <c:v>3/5/2023</c:v>
                </c:pt>
                <c:pt idx="476">
                  <c:v>4/5/2023</c:v>
                </c:pt>
                <c:pt idx="477">
                  <c:v>5/5/2023</c:v>
                </c:pt>
                <c:pt idx="478">
                  <c:v>6/5/2023</c:v>
                </c:pt>
                <c:pt idx="479">
                  <c:v>7/5/2023</c:v>
                </c:pt>
                <c:pt idx="480">
                  <c:v>8/5/2023</c:v>
                </c:pt>
                <c:pt idx="481">
                  <c:v>9/5/2023</c:v>
                </c:pt>
                <c:pt idx="482">
                  <c:v>10/5/2023</c:v>
                </c:pt>
                <c:pt idx="483">
                  <c:v>11/5/2023</c:v>
                </c:pt>
                <c:pt idx="484">
                  <c:v>12/5/2023</c:v>
                </c:pt>
                <c:pt idx="485">
                  <c:v>13/5/2023</c:v>
                </c:pt>
                <c:pt idx="486">
                  <c:v>14/5/2023</c:v>
                </c:pt>
                <c:pt idx="487">
                  <c:v>15/5/2023</c:v>
                </c:pt>
                <c:pt idx="488">
                  <c:v>16/5/2023</c:v>
                </c:pt>
                <c:pt idx="489">
                  <c:v>17/5/2023</c:v>
                </c:pt>
                <c:pt idx="490">
                  <c:v>18/5/2023</c:v>
                </c:pt>
                <c:pt idx="491">
                  <c:v>19/5/2023</c:v>
                </c:pt>
                <c:pt idx="492">
                  <c:v>20/5/2023</c:v>
                </c:pt>
                <c:pt idx="493">
                  <c:v>21/5/2023</c:v>
                </c:pt>
                <c:pt idx="494">
                  <c:v>22/5/2023</c:v>
                </c:pt>
                <c:pt idx="495">
                  <c:v>23/5/2023</c:v>
                </c:pt>
                <c:pt idx="496">
                  <c:v>24/5/2023</c:v>
                </c:pt>
                <c:pt idx="497">
                  <c:v>25/5/2023</c:v>
                </c:pt>
                <c:pt idx="498">
                  <c:v>26/5/2023</c:v>
                </c:pt>
                <c:pt idx="499">
                  <c:v>27/5/2023</c:v>
                </c:pt>
                <c:pt idx="500">
                  <c:v>28/5/2023</c:v>
                </c:pt>
                <c:pt idx="501">
                  <c:v>29/5/2023</c:v>
                </c:pt>
                <c:pt idx="502">
                  <c:v>30/5/2023</c:v>
                </c:pt>
                <c:pt idx="503">
                  <c:v>31/5/2023</c:v>
                </c:pt>
                <c:pt idx="504">
                  <c:v>1/6/2023</c:v>
                </c:pt>
                <c:pt idx="505">
                  <c:v>2/6/2023</c:v>
                </c:pt>
                <c:pt idx="506">
                  <c:v>3/6/2023</c:v>
                </c:pt>
                <c:pt idx="507">
                  <c:v>4/6/2023</c:v>
                </c:pt>
                <c:pt idx="508">
                  <c:v>5/6/2023</c:v>
                </c:pt>
                <c:pt idx="509">
                  <c:v>6/6/2023</c:v>
                </c:pt>
                <c:pt idx="510">
                  <c:v>7/6/2023</c:v>
                </c:pt>
                <c:pt idx="511">
                  <c:v>8/6/2023</c:v>
                </c:pt>
                <c:pt idx="512">
                  <c:v>9/6/2023</c:v>
                </c:pt>
                <c:pt idx="513">
                  <c:v>10/6/2023</c:v>
                </c:pt>
                <c:pt idx="514">
                  <c:v>11/6/2023</c:v>
                </c:pt>
                <c:pt idx="515">
                  <c:v>12/6/2023</c:v>
                </c:pt>
                <c:pt idx="516">
                  <c:v>13/6/2023</c:v>
                </c:pt>
                <c:pt idx="517">
                  <c:v>14/6/2023</c:v>
                </c:pt>
                <c:pt idx="518">
                  <c:v>15/6/2023</c:v>
                </c:pt>
                <c:pt idx="519">
                  <c:v>16/6/2023</c:v>
                </c:pt>
                <c:pt idx="520">
                  <c:v>17/6/2023</c:v>
                </c:pt>
                <c:pt idx="521">
                  <c:v>18/6/2023</c:v>
                </c:pt>
                <c:pt idx="522">
                  <c:v>19/6/2023</c:v>
                </c:pt>
                <c:pt idx="523">
                  <c:v>20/6/2023</c:v>
                </c:pt>
                <c:pt idx="524">
                  <c:v>21/6/2023</c:v>
                </c:pt>
                <c:pt idx="525">
                  <c:v>22/6/2023</c:v>
                </c:pt>
                <c:pt idx="526">
                  <c:v>23/6/2023</c:v>
                </c:pt>
                <c:pt idx="527">
                  <c:v>24/6/2023</c:v>
                </c:pt>
                <c:pt idx="528">
                  <c:v>25/6/2023</c:v>
                </c:pt>
                <c:pt idx="529">
                  <c:v>26/6/2023</c:v>
                </c:pt>
                <c:pt idx="530">
                  <c:v>27/6/2023</c:v>
                </c:pt>
                <c:pt idx="531">
                  <c:v>28/6/2023</c:v>
                </c:pt>
                <c:pt idx="532">
                  <c:v>29/6/2023</c:v>
                </c:pt>
                <c:pt idx="533">
                  <c:v>30/6/2023</c:v>
                </c:pt>
                <c:pt idx="534">
                  <c:v>1/7/2023</c:v>
                </c:pt>
                <c:pt idx="535">
                  <c:v>2/7/2023</c:v>
                </c:pt>
                <c:pt idx="536">
                  <c:v>3/7/2023</c:v>
                </c:pt>
                <c:pt idx="537">
                  <c:v>4/7/2023</c:v>
                </c:pt>
                <c:pt idx="538">
                  <c:v>5/7/2023</c:v>
                </c:pt>
                <c:pt idx="539">
                  <c:v>6/7/2023</c:v>
                </c:pt>
                <c:pt idx="540">
                  <c:v>7/7/2023</c:v>
                </c:pt>
                <c:pt idx="541">
                  <c:v>8/7/2023</c:v>
                </c:pt>
                <c:pt idx="542">
                  <c:v>9/7/2023</c:v>
                </c:pt>
                <c:pt idx="543">
                  <c:v>10/7/2023</c:v>
                </c:pt>
                <c:pt idx="544">
                  <c:v>11/7/2023</c:v>
                </c:pt>
                <c:pt idx="545">
                  <c:v>12/7/2023</c:v>
                </c:pt>
                <c:pt idx="546">
                  <c:v>13/7/2023</c:v>
                </c:pt>
                <c:pt idx="547">
                  <c:v>14/7/2023</c:v>
                </c:pt>
                <c:pt idx="548">
                  <c:v>15/7/2023</c:v>
                </c:pt>
                <c:pt idx="549">
                  <c:v>16/7/2023</c:v>
                </c:pt>
                <c:pt idx="550">
                  <c:v>17/7/2023</c:v>
                </c:pt>
                <c:pt idx="551">
                  <c:v>18/7/2023</c:v>
                </c:pt>
                <c:pt idx="552">
                  <c:v>19/7/2023</c:v>
                </c:pt>
                <c:pt idx="553">
                  <c:v>20/7/2023</c:v>
                </c:pt>
                <c:pt idx="554">
                  <c:v>21/7/2023</c:v>
                </c:pt>
                <c:pt idx="555">
                  <c:v>22/7/2023</c:v>
                </c:pt>
                <c:pt idx="556">
                  <c:v>23/7/2023</c:v>
                </c:pt>
                <c:pt idx="557">
                  <c:v>24/7/2023</c:v>
                </c:pt>
                <c:pt idx="558">
                  <c:v>25/7/2023</c:v>
                </c:pt>
                <c:pt idx="559">
                  <c:v>26/7/2023</c:v>
                </c:pt>
                <c:pt idx="560">
                  <c:v>27/7/2023</c:v>
                </c:pt>
                <c:pt idx="561">
                  <c:v>28/7/2023</c:v>
                </c:pt>
                <c:pt idx="562">
                  <c:v>29/7/2023</c:v>
                </c:pt>
                <c:pt idx="563">
                  <c:v>30/7/2023</c:v>
                </c:pt>
                <c:pt idx="564">
                  <c:v>31/7/2023</c:v>
                </c:pt>
                <c:pt idx="565">
                  <c:v>1/8/2023</c:v>
                </c:pt>
                <c:pt idx="566">
                  <c:v>2/8/2023</c:v>
                </c:pt>
                <c:pt idx="567">
                  <c:v>3/8/2023</c:v>
                </c:pt>
                <c:pt idx="568">
                  <c:v>4/8/2023</c:v>
                </c:pt>
                <c:pt idx="569">
                  <c:v>5/8/2023</c:v>
                </c:pt>
                <c:pt idx="570">
                  <c:v>6/8/2023</c:v>
                </c:pt>
                <c:pt idx="571">
                  <c:v>7/8/2023</c:v>
                </c:pt>
                <c:pt idx="572">
                  <c:v>8/8/2023</c:v>
                </c:pt>
                <c:pt idx="573">
                  <c:v>9/8/2023</c:v>
                </c:pt>
                <c:pt idx="574">
                  <c:v>10/8/2023</c:v>
                </c:pt>
                <c:pt idx="575">
                  <c:v>11/8/2023</c:v>
                </c:pt>
                <c:pt idx="576">
                  <c:v>12/8/2023</c:v>
                </c:pt>
                <c:pt idx="577">
                  <c:v>13/8/2023</c:v>
                </c:pt>
                <c:pt idx="578">
                  <c:v>14/8/2023</c:v>
                </c:pt>
                <c:pt idx="579">
                  <c:v>15/8/2023</c:v>
                </c:pt>
                <c:pt idx="580">
                  <c:v>16/8/2023</c:v>
                </c:pt>
                <c:pt idx="581">
                  <c:v>17/8/2023</c:v>
                </c:pt>
                <c:pt idx="582">
                  <c:v>18/8/2023</c:v>
                </c:pt>
                <c:pt idx="583">
                  <c:v>19/8/2023</c:v>
                </c:pt>
                <c:pt idx="584">
                  <c:v>20/8/2023</c:v>
                </c:pt>
                <c:pt idx="585">
                  <c:v>21/8/2023</c:v>
                </c:pt>
                <c:pt idx="586">
                  <c:v>22/8/2023</c:v>
                </c:pt>
                <c:pt idx="587">
                  <c:v>23/8/2023</c:v>
                </c:pt>
                <c:pt idx="588">
                  <c:v>24/8/2023</c:v>
                </c:pt>
                <c:pt idx="589">
                  <c:v>25/8/2023</c:v>
                </c:pt>
                <c:pt idx="590">
                  <c:v>26/8/2023</c:v>
                </c:pt>
                <c:pt idx="591">
                  <c:v>27/8/2023</c:v>
                </c:pt>
                <c:pt idx="592">
                  <c:v>28/8/2023</c:v>
                </c:pt>
                <c:pt idx="593">
                  <c:v>29/8/2023</c:v>
                </c:pt>
                <c:pt idx="594">
                  <c:v>30/8/2023</c:v>
                </c:pt>
                <c:pt idx="595">
                  <c:v>31/8/2023</c:v>
                </c:pt>
                <c:pt idx="596">
                  <c:v>1/9/2023</c:v>
                </c:pt>
                <c:pt idx="597">
                  <c:v>2/9/2023</c:v>
                </c:pt>
                <c:pt idx="598">
                  <c:v>3/9/2023</c:v>
                </c:pt>
                <c:pt idx="599">
                  <c:v>4/9/2023</c:v>
                </c:pt>
                <c:pt idx="600">
                  <c:v>5/9/2023</c:v>
                </c:pt>
                <c:pt idx="601">
                  <c:v>6/9/2023</c:v>
                </c:pt>
                <c:pt idx="602">
                  <c:v>7/9/2023</c:v>
                </c:pt>
                <c:pt idx="603">
                  <c:v>8/9/2023</c:v>
                </c:pt>
                <c:pt idx="604">
                  <c:v>9/9/2023</c:v>
                </c:pt>
                <c:pt idx="605">
                  <c:v>10/9/2023</c:v>
                </c:pt>
                <c:pt idx="606">
                  <c:v>11/9/2023</c:v>
                </c:pt>
                <c:pt idx="607">
                  <c:v>12/9/2023</c:v>
                </c:pt>
                <c:pt idx="608">
                  <c:v>13/9/2023</c:v>
                </c:pt>
                <c:pt idx="609">
                  <c:v>14/9/2023</c:v>
                </c:pt>
                <c:pt idx="610">
                  <c:v>15/9/2023</c:v>
                </c:pt>
                <c:pt idx="611">
                  <c:v>16/9/2023</c:v>
                </c:pt>
                <c:pt idx="612">
                  <c:v>17/9/2023</c:v>
                </c:pt>
                <c:pt idx="613">
                  <c:v>18/9/2023</c:v>
                </c:pt>
                <c:pt idx="614">
                  <c:v>19/9/2023</c:v>
                </c:pt>
                <c:pt idx="615">
                  <c:v>20/9/2023</c:v>
                </c:pt>
                <c:pt idx="616">
                  <c:v>21/9/2023</c:v>
                </c:pt>
                <c:pt idx="617">
                  <c:v>22/9/2023</c:v>
                </c:pt>
                <c:pt idx="618">
                  <c:v>23/9/2023</c:v>
                </c:pt>
                <c:pt idx="619">
                  <c:v>24/9/2023</c:v>
                </c:pt>
                <c:pt idx="620">
                  <c:v>25/9/2023</c:v>
                </c:pt>
                <c:pt idx="621">
                  <c:v>26/9/2023</c:v>
                </c:pt>
                <c:pt idx="622">
                  <c:v>27/9/2023</c:v>
                </c:pt>
                <c:pt idx="623">
                  <c:v>28/9/2023</c:v>
                </c:pt>
                <c:pt idx="624">
                  <c:v>29/9/2023</c:v>
                </c:pt>
                <c:pt idx="625">
                  <c:v>30/9/2023</c:v>
                </c:pt>
                <c:pt idx="626">
                  <c:v>1/10/2023</c:v>
                </c:pt>
                <c:pt idx="627">
                  <c:v>2/10/2023</c:v>
                </c:pt>
                <c:pt idx="628">
                  <c:v>3/10/2023</c:v>
                </c:pt>
                <c:pt idx="629">
                  <c:v>4/10/2023</c:v>
                </c:pt>
                <c:pt idx="630">
                  <c:v>5/10/2023</c:v>
                </c:pt>
                <c:pt idx="631">
                  <c:v>6/10/2023</c:v>
                </c:pt>
                <c:pt idx="632">
                  <c:v>7/10/2023</c:v>
                </c:pt>
                <c:pt idx="633">
                  <c:v>8/10/2023</c:v>
                </c:pt>
                <c:pt idx="634">
                  <c:v>9/10/2023</c:v>
                </c:pt>
                <c:pt idx="635">
                  <c:v>10/10/2023</c:v>
                </c:pt>
                <c:pt idx="636">
                  <c:v>11/10/2023</c:v>
                </c:pt>
                <c:pt idx="637">
                  <c:v>12/10/2023</c:v>
                </c:pt>
                <c:pt idx="638">
                  <c:v>13/10/2023</c:v>
                </c:pt>
                <c:pt idx="639">
                  <c:v>14/10/2023</c:v>
                </c:pt>
                <c:pt idx="640">
                  <c:v>15/10/2023</c:v>
                </c:pt>
                <c:pt idx="641">
                  <c:v>16/10/2023</c:v>
                </c:pt>
                <c:pt idx="642">
                  <c:v>17/10/2023</c:v>
                </c:pt>
                <c:pt idx="643">
                  <c:v>18/10/2023</c:v>
                </c:pt>
                <c:pt idx="644">
                  <c:v>19/10/2023</c:v>
                </c:pt>
                <c:pt idx="645">
                  <c:v>20/10/2023</c:v>
                </c:pt>
                <c:pt idx="646">
                  <c:v>21/10/2023</c:v>
                </c:pt>
                <c:pt idx="647">
                  <c:v>22/10/2023</c:v>
                </c:pt>
                <c:pt idx="648">
                  <c:v>23/10/2023</c:v>
                </c:pt>
                <c:pt idx="649">
                  <c:v>24/10/2023</c:v>
                </c:pt>
                <c:pt idx="650">
                  <c:v>25/10/2023</c:v>
                </c:pt>
                <c:pt idx="651">
                  <c:v>26/10/2023</c:v>
                </c:pt>
                <c:pt idx="652">
                  <c:v>27/10/2023</c:v>
                </c:pt>
                <c:pt idx="653">
                  <c:v>28/10/2023</c:v>
                </c:pt>
                <c:pt idx="654">
                  <c:v>29/10/2023</c:v>
                </c:pt>
                <c:pt idx="655">
                  <c:v>30/10/2023</c:v>
                </c:pt>
                <c:pt idx="656">
                  <c:v>31/10/2023</c:v>
                </c:pt>
                <c:pt idx="657">
                  <c:v>1/11/2023</c:v>
                </c:pt>
                <c:pt idx="658">
                  <c:v>2/11/2023</c:v>
                </c:pt>
                <c:pt idx="659">
                  <c:v>3/11/2023</c:v>
                </c:pt>
                <c:pt idx="660">
                  <c:v>4/11/2023</c:v>
                </c:pt>
                <c:pt idx="661">
                  <c:v>5/11/2023</c:v>
                </c:pt>
                <c:pt idx="662">
                  <c:v>6/11/2023</c:v>
                </c:pt>
                <c:pt idx="663">
                  <c:v>7/11/2023</c:v>
                </c:pt>
                <c:pt idx="664">
                  <c:v>8/11/2023</c:v>
                </c:pt>
                <c:pt idx="665">
                  <c:v>9/11/2023</c:v>
                </c:pt>
                <c:pt idx="666">
                  <c:v>10/11/2023</c:v>
                </c:pt>
                <c:pt idx="667">
                  <c:v>11/11/2023</c:v>
                </c:pt>
                <c:pt idx="668">
                  <c:v>12/11/2023</c:v>
                </c:pt>
                <c:pt idx="669">
                  <c:v>13/11/2023</c:v>
                </c:pt>
                <c:pt idx="670">
                  <c:v>14/11/2023</c:v>
                </c:pt>
                <c:pt idx="671">
                  <c:v>15/11/2023</c:v>
                </c:pt>
                <c:pt idx="672">
                  <c:v>16/11/2023</c:v>
                </c:pt>
                <c:pt idx="673">
                  <c:v>17/11/2023</c:v>
                </c:pt>
                <c:pt idx="674">
                  <c:v>18/11/2023</c:v>
                </c:pt>
                <c:pt idx="675">
                  <c:v>19/11/2023</c:v>
                </c:pt>
                <c:pt idx="676">
                  <c:v>20/11/2023</c:v>
                </c:pt>
                <c:pt idx="677">
                  <c:v>21/11/2023</c:v>
                </c:pt>
                <c:pt idx="678">
                  <c:v>22/11/2023</c:v>
                </c:pt>
                <c:pt idx="679">
                  <c:v>23/11/2023</c:v>
                </c:pt>
                <c:pt idx="680">
                  <c:v>24/11/2023</c:v>
                </c:pt>
                <c:pt idx="681">
                  <c:v>25/11/2023</c:v>
                </c:pt>
                <c:pt idx="682">
                  <c:v>26/11/2023</c:v>
                </c:pt>
                <c:pt idx="683">
                  <c:v>27/11/2023</c:v>
                </c:pt>
                <c:pt idx="684">
                  <c:v>28/11/2023</c:v>
                </c:pt>
                <c:pt idx="685">
                  <c:v>29/11/2023</c:v>
                </c:pt>
                <c:pt idx="686">
                  <c:v>30/11/2023</c:v>
                </c:pt>
                <c:pt idx="687">
                  <c:v>1/12/2023</c:v>
                </c:pt>
                <c:pt idx="688">
                  <c:v>2/12/2023</c:v>
                </c:pt>
                <c:pt idx="689">
                  <c:v>3/12/2023</c:v>
                </c:pt>
                <c:pt idx="690">
                  <c:v>4/12/2023</c:v>
                </c:pt>
                <c:pt idx="691">
                  <c:v>5/12/2023</c:v>
                </c:pt>
                <c:pt idx="692">
                  <c:v>6/12/2023</c:v>
                </c:pt>
                <c:pt idx="693">
                  <c:v>7/12/2023</c:v>
                </c:pt>
                <c:pt idx="694">
                  <c:v>8/12/2023</c:v>
                </c:pt>
                <c:pt idx="695">
                  <c:v>9/12/2023</c:v>
                </c:pt>
                <c:pt idx="696">
                  <c:v>10/12/2023</c:v>
                </c:pt>
                <c:pt idx="697">
                  <c:v>11/12/2023</c:v>
                </c:pt>
                <c:pt idx="698">
                  <c:v>12/12/2023</c:v>
                </c:pt>
                <c:pt idx="699">
                  <c:v>13/12/2023</c:v>
                </c:pt>
                <c:pt idx="700">
                  <c:v>14/12/2023</c:v>
                </c:pt>
                <c:pt idx="701">
                  <c:v>15/12/2023</c:v>
                </c:pt>
                <c:pt idx="702">
                  <c:v>16/12/2023</c:v>
                </c:pt>
                <c:pt idx="703">
                  <c:v>17/12/2023</c:v>
                </c:pt>
                <c:pt idx="704">
                  <c:v>18/12/2023</c:v>
                </c:pt>
                <c:pt idx="705">
                  <c:v>19/12/2023</c:v>
                </c:pt>
                <c:pt idx="706">
                  <c:v>20/12/2023</c:v>
                </c:pt>
                <c:pt idx="707">
                  <c:v>21/12/2023</c:v>
                </c:pt>
                <c:pt idx="708">
                  <c:v>22/12/2023</c:v>
                </c:pt>
                <c:pt idx="709">
                  <c:v>23/12/2023</c:v>
                </c:pt>
                <c:pt idx="710">
                  <c:v>24/12/2023</c:v>
                </c:pt>
                <c:pt idx="711">
                  <c:v>25/12/2023</c:v>
                </c:pt>
                <c:pt idx="712">
                  <c:v>26/12/2023</c:v>
                </c:pt>
                <c:pt idx="713">
                  <c:v>27/12/2023</c:v>
                </c:pt>
                <c:pt idx="714">
                  <c:v>28/12/2023</c:v>
                </c:pt>
                <c:pt idx="715">
                  <c:v>29/12/2023</c:v>
                </c:pt>
                <c:pt idx="716">
                  <c:v>30/12/2023</c:v>
                </c:pt>
                <c:pt idx="717">
                  <c:v>31/12/2023</c:v>
                </c:pt>
                <c:pt idx="718">
                  <c:v>1/1/2024</c:v>
                </c:pt>
                <c:pt idx="719">
                  <c:v>2/1/2024</c:v>
                </c:pt>
                <c:pt idx="720">
                  <c:v>3/1/2024</c:v>
                </c:pt>
                <c:pt idx="721">
                  <c:v>4/1/2024</c:v>
                </c:pt>
                <c:pt idx="722">
                  <c:v>5/1/2024</c:v>
                </c:pt>
                <c:pt idx="723">
                  <c:v>6/1/2024</c:v>
                </c:pt>
                <c:pt idx="724">
                  <c:v>7/1/2024</c:v>
                </c:pt>
                <c:pt idx="725">
                  <c:v>8/1/2024</c:v>
                </c:pt>
                <c:pt idx="726">
                  <c:v>9/1/2024</c:v>
                </c:pt>
                <c:pt idx="727">
                  <c:v>10/1/2024</c:v>
                </c:pt>
                <c:pt idx="728">
                  <c:v>11/1/2024</c:v>
                </c:pt>
                <c:pt idx="729">
                  <c:v>12/1/2024</c:v>
                </c:pt>
                <c:pt idx="730">
                  <c:v>13/1/2024</c:v>
                </c:pt>
                <c:pt idx="731">
                  <c:v>14/1/2024</c:v>
                </c:pt>
                <c:pt idx="732">
                  <c:v>15/1/2024</c:v>
                </c:pt>
                <c:pt idx="733">
                  <c:v>16/1/2024</c:v>
                </c:pt>
                <c:pt idx="734">
                  <c:v>17/1/2024</c:v>
                </c:pt>
                <c:pt idx="735">
                  <c:v>18/1/2024</c:v>
                </c:pt>
                <c:pt idx="736">
                  <c:v>19/1/2024</c:v>
                </c:pt>
                <c:pt idx="737">
                  <c:v>20/1/2024</c:v>
                </c:pt>
                <c:pt idx="738">
                  <c:v>21/1/2024</c:v>
                </c:pt>
                <c:pt idx="739">
                  <c:v>22/1/2024</c:v>
                </c:pt>
                <c:pt idx="740">
                  <c:v>23/1/2024</c:v>
                </c:pt>
                <c:pt idx="741">
                  <c:v>24/1/2024</c:v>
                </c:pt>
                <c:pt idx="742">
                  <c:v>25/1/2024</c:v>
                </c:pt>
                <c:pt idx="743">
                  <c:v>26/1/2024</c:v>
                </c:pt>
                <c:pt idx="744">
                  <c:v>27/1/2024</c:v>
                </c:pt>
                <c:pt idx="745">
                  <c:v>28/1/2024</c:v>
                </c:pt>
                <c:pt idx="746">
                  <c:v>29/1/2024</c:v>
                </c:pt>
                <c:pt idx="747">
                  <c:v>30/1/2024</c:v>
                </c:pt>
                <c:pt idx="748">
                  <c:v>31/1/2024</c:v>
                </c:pt>
                <c:pt idx="749">
                  <c:v>1/2/2024</c:v>
                </c:pt>
                <c:pt idx="750">
                  <c:v>2/2/2024</c:v>
                </c:pt>
                <c:pt idx="751">
                  <c:v>3/2/2024</c:v>
                </c:pt>
                <c:pt idx="752">
                  <c:v>4/2/2024</c:v>
                </c:pt>
                <c:pt idx="753">
                  <c:v>5/2/2024</c:v>
                </c:pt>
                <c:pt idx="754">
                  <c:v>6/2/2024</c:v>
                </c:pt>
                <c:pt idx="755">
                  <c:v>7/2/2024</c:v>
                </c:pt>
                <c:pt idx="756">
                  <c:v>8/2/2024</c:v>
                </c:pt>
                <c:pt idx="757">
                  <c:v>9/2/2024</c:v>
                </c:pt>
                <c:pt idx="758">
                  <c:v>10/2/2024</c:v>
                </c:pt>
                <c:pt idx="759">
                  <c:v>11/2/2024</c:v>
                </c:pt>
                <c:pt idx="760">
                  <c:v>12/2/2024</c:v>
                </c:pt>
                <c:pt idx="761">
                  <c:v>13/2/2024</c:v>
                </c:pt>
                <c:pt idx="762">
                  <c:v>14/2/2024</c:v>
                </c:pt>
                <c:pt idx="763">
                  <c:v>15/2/2024</c:v>
                </c:pt>
                <c:pt idx="764">
                  <c:v>16/2/2024</c:v>
                </c:pt>
                <c:pt idx="765">
                  <c:v>17/2/2024</c:v>
                </c:pt>
                <c:pt idx="766">
                  <c:v>18/2/2024</c:v>
                </c:pt>
                <c:pt idx="767">
                  <c:v>19/2/2024</c:v>
                </c:pt>
                <c:pt idx="768">
                  <c:v>20/2/2024</c:v>
                </c:pt>
                <c:pt idx="769">
                  <c:v>21/2/2024</c:v>
                </c:pt>
                <c:pt idx="770">
                  <c:v>22/2/2024</c:v>
                </c:pt>
                <c:pt idx="771">
                  <c:v>23/2/2024</c:v>
                </c:pt>
                <c:pt idx="772">
                  <c:v>24/2/2024</c:v>
                </c:pt>
                <c:pt idx="773">
                  <c:v>25/2/2024</c:v>
                </c:pt>
                <c:pt idx="774">
                  <c:v>26/2/2024</c:v>
                </c:pt>
                <c:pt idx="775">
                  <c:v>27/2/2024</c:v>
                </c:pt>
                <c:pt idx="776">
                  <c:v>28/2/2024</c:v>
                </c:pt>
                <c:pt idx="777">
                  <c:v>29/2/2024</c:v>
                </c:pt>
                <c:pt idx="778">
                  <c:v>1/3/2024</c:v>
                </c:pt>
                <c:pt idx="779">
                  <c:v>2/3/2024</c:v>
                </c:pt>
                <c:pt idx="780">
                  <c:v>3/3/2024</c:v>
                </c:pt>
                <c:pt idx="781">
                  <c:v>4/3/2024</c:v>
                </c:pt>
                <c:pt idx="782">
                  <c:v>5/3/2024</c:v>
                </c:pt>
                <c:pt idx="783">
                  <c:v>6/3/2024</c:v>
                </c:pt>
                <c:pt idx="784">
                  <c:v>7/3/2024</c:v>
                </c:pt>
                <c:pt idx="785">
                  <c:v>8/3/2024</c:v>
                </c:pt>
                <c:pt idx="786">
                  <c:v>9/3/2024</c:v>
                </c:pt>
                <c:pt idx="787">
                  <c:v>10/3/2024</c:v>
                </c:pt>
                <c:pt idx="788">
                  <c:v>11/3/2024</c:v>
                </c:pt>
                <c:pt idx="789">
                  <c:v>12/3/2024</c:v>
                </c:pt>
                <c:pt idx="790">
                  <c:v>13/3/2024</c:v>
                </c:pt>
                <c:pt idx="791">
                  <c:v>14/3/2024</c:v>
                </c:pt>
                <c:pt idx="792">
                  <c:v>15/3/2024</c:v>
                </c:pt>
                <c:pt idx="793">
                  <c:v>16/3/2024</c:v>
                </c:pt>
                <c:pt idx="794">
                  <c:v>17/3/2024</c:v>
                </c:pt>
                <c:pt idx="795">
                  <c:v>18/3/2024</c:v>
                </c:pt>
                <c:pt idx="796">
                  <c:v>19/3/2024</c:v>
                </c:pt>
                <c:pt idx="797">
                  <c:v>20/3/2024</c:v>
                </c:pt>
                <c:pt idx="798">
                  <c:v>21/3/2024</c:v>
                </c:pt>
                <c:pt idx="799">
                  <c:v>22/3/2024</c:v>
                </c:pt>
                <c:pt idx="800">
                  <c:v>23/3/2024</c:v>
                </c:pt>
                <c:pt idx="801">
                  <c:v>24/3/2024</c:v>
                </c:pt>
                <c:pt idx="802">
                  <c:v>25/3/2024</c:v>
                </c:pt>
                <c:pt idx="803">
                  <c:v>26/3/2024</c:v>
                </c:pt>
                <c:pt idx="804">
                  <c:v>27/3/2024</c:v>
                </c:pt>
                <c:pt idx="805">
                  <c:v>28/3/2024</c:v>
                </c:pt>
                <c:pt idx="806">
                  <c:v>29/3/2024</c:v>
                </c:pt>
                <c:pt idx="807">
                  <c:v>30/3/2024</c:v>
                </c:pt>
                <c:pt idx="808">
                  <c:v>31/3/2024</c:v>
                </c:pt>
                <c:pt idx="809">
                  <c:v>1/4/2024</c:v>
                </c:pt>
                <c:pt idx="810">
                  <c:v>2/4/2024</c:v>
                </c:pt>
                <c:pt idx="811">
                  <c:v>3/4/2024</c:v>
                </c:pt>
                <c:pt idx="812">
                  <c:v>4/4/2024</c:v>
                </c:pt>
                <c:pt idx="813">
                  <c:v>5/4/2024</c:v>
                </c:pt>
                <c:pt idx="814">
                  <c:v>6/4/2024</c:v>
                </c:pt>
                <c:pt idx="815">
                  <c:v>7/4/2024</c:v>
                </c:pt>
                <c:pt idx="816">
                  <c:v>8/4/2024</c:v>
                </c:pt>
                <c:pt idx="817">
                  <c:v>9/4/2024</c:v>
                </c:pt>
                <c:pt idx="818">
                  <c:v>10/4/2024</c:v>
                </c:pt>
                <c:pt idx="819">
                  <c:v>11/4/2024</c:v>
                </c:pt>
                <c:pt idx="820">
                  <c:v>12/4/2024</c:v>
                </c:pt>
                <c:pt idx="821">
                  <c:v>13/4/2024</c:v>
                </c:pt>
                <c:pt idx="822">
                  <c:v>14/4/2024</c:v>
                </c:pt>
                <c:pt idx="823">
                  <c:v>15/4/2024</c:v>
                </c:pt>
                <c:pt idx="824">
                  <c:v>16/4/2024</c:v>
                </c:pt>
                <c:pt idx="825">
                  <c:v>17/4/2024</c:v>
                </c:pt>
                <c:pt idx="826">
                  <c:v>18/4/2024</c:v>
                </c:pt>
                <c:pt idx="827">
                  <c:v>19/4/2024</c:v>
                </c:pt>
                <c:pt idx="828">
                  <c:v>20/4/2024</c:v>
                </c:pt>
                <c:pt idx="829">
                  <c:v>21/4/2024</c:v>
                </c:pt>
                <c:pt idx="830">
                  <c:v>22/4/2024</c:v>
                </c:pt>
                <c:pt idx="831">
                  <c:v>23/4/2024</c:v>
                </c:pt>
                <c:pt idx="832">
                  <c:v>24/4/2024</c:v>
                </c:pt>
                <c:pt idx="833">
                  <c:v>25/4/2024</c:v>
                </c:pt>
                <c:pt idx="834">
                  <c:v>26/4/2024</c:v>
                </c:pt>
                <c:pt idx="835">
                  <c:v>27/4/2024</c:v>
                </c:pt>
                <c:pt idx="836">
                  <c:v>28/4/2024</c:v>
                </c:pt>
                <c:pt idx="837">
                  <c:v>29/4/2024</c:v>
                </c:pt>
                <c:pt idx="838">
                  <c:v>30/4/2024</c:v>
                </c:pt>
                <c:pt idx="839">
                  <c:v>1/5/2024</c:v>
                </c:pt>
                <c:pt idx="840">
                  <c:v>2/5/2024</c:v>
                </c:pt>
                <c:pt idx="841">
                  <c:v>3/5/2024</c:v>
                </c:pt>
                <c:pt idx="842">
                  <c:v>4/5/2024</c:v>
                </c:pt>
                <c:pt idx="843">
                  <c:v>5/5/2024</c:v>
                </c:pt>
                <c:pt idx="844">
                  <c:v>6/5/2024</c:v>
                </c:pt>
                <c:pt idx="845">
                  <c:v>7/5/2024</c:v>
                </c:pt>
                <c:pt idx="846">
                  <c:v>8/5/2024</c:v>
                </c:pt>
                <c:pt idx="847">
                  <c:v>9/5/2024</c:v>
                </c:pt>
                <c:pt idx="848">
                  <c:v>10/5/2024</c:v>
                </c:pt>
                <c:pt idx="849">
                  <c:v>11/5/2024</c:v>
                </c:pt>
                <c:pt idx="850">
                  <c:v>12/5/2024</c:v>
                </c:pt>
                <c:pt idx="851">
                  <c:v>13/5/2024</c:v>
                </c:pt>
                <c:pt idx="852">
                  <c:v>14/5/2024</c:v>
                </c:pt>
                <c:pt idx="853">
                  <c:v>15/5/2024</c:v>
                </c:pt>
                <c:pt idx="854">
                  <c:v>16/5/2024</c:v>
                </c:pt>
                <c:pt idx="855">
                  <c:v>17/5/2024</c:v>
                </c:pt>
                <c:pt idx="856">
                  <c:v>18/5/2024</c:v>
                </c:pt>
                <c:pt idx="857">
                  <c:v>19/5/2024</c:v>
                </c:pt>
                <c:pt idx="858">
                  <c:v>20/5/2024</c:v>
                </c:pt>
                <c:pt idx="859">
                  <c:v>21/5/2024</c:v>
                </c:pt>
                <c:pt idx="860">
                  <c:v>22/5/2024</c:v>
                </c:pt>
                <c:pt idx="861">
                  <c:v>23/5/2024</c:v>
                </c:pt>
                <c:pt idx="862">
                  <c:v>24/5/2024</c:v>
                </c:pt>
                <c:pt idx="863">
                  <c:v>25/5/2024</c:v>
                </c:pt>
                <c:pt idx="864">
                  <c:v>26/5/2024</c:v>
                </c:pt>
                <c:pt idx="865">
                  <c:v>27/5/2024</c:v>
                </c:pt>
                <c:pt idx="866">
                  <c:v>28/5/2024</c:v>
                </c:pt>
                <c:pt idx="867">
                  <c:v>29/5/2024</c:v>
                </c:pt>
                <c:pt idx="868">
                  <c:v>30/5/2024</c:v>
                </c:pt>
                <c:pt idx="869">
                  <c:v>31/5/2024</c:v>
                </c:pt>
                <c:pt idx="870">
                  <c:v>1/6/2024</c:v>
                </c:pt>
                <c:pt idx="871">
                  <c:v>2/6/2024</c:v>
                </c:pt>
                <c:pt idx="872">
                  <c:v>3/6/2024</c:v>
                </c:pt>
                <c:pt idx="873">
                  <c:v>4/6/2024</c:v>
                </c:pt>
                <c:pt idx="874">
                  <c:v>5/6/2024</c:v>
                </c:pt>
                <c:pt idx="875">
                  <c:v>6/6/2024</c:v>
                </c:pt>
                <c:pt idx="876">
                  <c:v>7/6/2024</c:v>
                </c:pt>
                <c:pt idx="877">
                  <c:v>8/6/2024</c:v>
                </c:pt>
                <c:pt idx="878">
                  <c:v>9/6/2024</c:v>
                </c:pt>
                <c:pt idx="879">
                  <c:v>10/6/2024</c:v>
                </c:pt>
                <c:pt idx="880">
                  <c:v>11/6/2024</c:v>
                </c:pt>
                <c:pt idx="881">
                  <c:v>12/6/2024</c:v>
                </c:pt>
                <c:pt idx="882">
                  <c:v>13/6/2024</c:v>
                </c:pt>
                <c:pt idx="883">
                  <c:v>14/6/2024</c:v>
                </c:pt>
                <c:pt idx="884">
                  <c:v>15/6/2024</c:v>
                </c:pt>
                <c:pt idx="885">
                  <c:v>16/6/2024</c:v>
                </c:pt>
                <c:pt idx="886">
                  <c:v>17/6/2024</c:v>
                </c:pt>
                <c:pt idx="887">
                  <c:v>18/6/2024</c:v>
                </c:pt>
                <c:pt idx="888">
                  <c:v>19/6/2024</c:v>
                </c:pt>
                <c:pt idx="889">
                  <c:v>20/6/2024</c:v>
                </c:pt>
                <c:pt idx="890">
                  <c:v>21/6/2024</c:v>
                </c:pt>
                <c:pt idx="891">
                  <c:v>22/6/2024</c:v>
                </c:pt>
                <c:pt idx="892">
                  <c:v>23/6/2024</c:v>
                </c:pt>
                <c:pt idx="893">
                  <c:v>24/6/2024</c:v>
                </c:pt>
                <c:pt idx="894">
                  <c:v>25/6/2024</c:v>
                </c:pt>
                <c:pt idx="895">
                  <c:v>26/6/2024</c:v>
                </c:pt>
                <c:pt idx="896">
                  <c:v>27/6/2024</c:v>
                </c:pt>
                <c:pt idx="897">
                  <c:v>28/6/2024</c:v>
                </c:pt>
                <c:pt idx="898">
                  <c:v>29/6/2024</c:v>
                </c:pt>
                <c:pt idx="899">
                  <c:v>30/6/2024</c:v>
                </c:pt>
                <c:pt idx="900">
                  <c:v>1/7/2024</c:v>
                </c:pt>
                <c:pt idx="901">
                  <c:v>2/7/2024</c:v>
                </c:pt>
                <c:pt idx="902">
                  <c:v>3/7/2024</c:v>
                </c:pt>
                <c:pt idx="903">
                  <c:v>4/7/2024</c:v>
                </c:pt>
                <c:pt idx="904">
                  <c:v>5/7/2024</c:v>
                </c:pt>
                <c:pt idx="905">
                  <c:v>6/7/2024</c:v>
                </c:pt>
                <c:pt idx="906">
                  <c:v>7/7/2024</c:v>
                </c:pt>
                <c:pt idx="907">
                  <c:v>8/7/2024</c:v>
                </c:pt>
                <c:pt idx="908">
                  <c:v>9/7/2024</c:v>
                </c:pt>
                <c:pt idx="909">
                  <c:v>10/7/2024</c:v>
                </c:pt>
                <c:pt idx="910">
                  <c:v>11/7/2024</c:v>
                </c:pt>
                <c:pt idx="911">
                  <c:v>12/7/2024</c:v>
                </c:pt>
                <c:pt idx="912">
                  <c:v>13/7/2024</c:v>
                </c:pt>
                <c:pt idx="913">
                  <c:v>14/7/2024</c:v>
                </c:pt>
                <c:pt idx="914">
                  <c:v>15/7/2024</c:v>
                </c:pt>
                <c:pt idx="915">
                  <c:v>16/7/2024</c:v>
                </c:pt>
                <c:pt idx="916">
                  <c:v>17/7/2024</c:v>
                </c:pt>
                <c:pt idx="917">
                  <c:v>18/7/2024</c:v>
                </c:pt>
                <c:pt idx="918">
                  <c:v>19/7/2024</c:v>
                </c:pt>
                <c:pt idx="919">
                  <c:v>20/7/2024</c:v>
                </c:pt>
                <c:pt idx="920">
                  <c:v>21/7/2024</c:v>
                </c:pt>
                <c:pt idx="921">
                  <c:v>22/7/2024</c:v>
                </c:pt>
                <c:pt idx="922">
                  <c:v>23/7/2024</c:v>
                </c:pt>
                <c:pt idx="923">
                  <c:v>24/7/2024</c:v>
                </c:pt>
                <c:pt idx="924">
                  <c:v>25/7/2024</c:v>
                </c:pt>
                <c:pt idx="925">
                  <c:v>26/7/2024</c:v>
                </c:pt>
                <c:pt idx="926">
                  <c:v>27/7/2024</c:v>
                </c:pt>
                <c:pt idx="927">
                  <c:v>28/7/2024</c:v>
                </c:pt>
                <c:pt idx="928">
                  <c:v>29/7/2024</c:v>
                </c:pt>
                <c:pt idx="929">
                  <c:v>30/7/2024</c:v>
                </c:pt>
                <c:pt idx="930">
                  <c:v>31/7/2024</c:v>
                </c:pt>
                <c:pt idx="931">
                  <c:v>1/8/2024</c:v>
                </c:pt>
                <c:pt idx="932">
                  <c:v>2/8/2024</c:v>
                </c:pt>
                <c:pt idx="933">
                  <c:v>3/8/2024</c:v>
                </c:pt>
                <c:pt idx="934">
                  <c:v>4/8/2024</c:v>
                </c:pt>
                <c:pt idx="935">
                  <c:v>5/8/2024</c:v>
                </c:pt>
                <c:pt idx="936">
                  <c:v>6/8/2024</c:v>
                </c:pt>
                <c:pt idx="937">
                  <c:v>7/8/2024</c:v>
                </c:pt>
                <c:pt idx="938">
                  <c:v>8/8/2024</c:v>
                </c:pt>
                <c:pt idx="939">
                  <c:v>9/8/2024</c:v>
                </c:pt>
                <c:pt idx="940">
                  <c:v>10/8/2024</c:v>
                </c:pt>
                <c:pt idx="941">
                  <c:v>11/8/2024</c:v>
                </c:pt>
                <c:pt idx="942">
                  <c:v>12/8/2024</c:v>
                </c:pt>
                <c:pt idx="943">
                  <c:v>13/8/2024</c:v>
                </c:pt>
                <c:pt idx="944">
                  <c:v>14/8/2024</c:v>
                </c:pt>
                <c:pt idx="945">
                  <c:v>15/8/2024</c:v>
                </c:pt>
                <c:pt idx="946">
                  <c:v>16/8/2024</c:v>
                </c:pt>
                <c:pt idx="947">
                  <c:v>17/8/2024</c:v>
                </c:pt>
                <c:pt idx="948">
                  <c:v>18/8/2024</c:v>
                </c:pt>
                <c:pt idx="949">
                  <c:v>19/8/2024</c:v>
                </c:pt>
                <c:pt idx="950">
                  <c:v>20/8/2024</c:v>
                </c:pt>
                <c:pt idx="951">
                  <c:v>21/8/2024</c:v>
                </c:pt>
                <c:pt idx="952">
                  <c:v>22/8/2024</c:v>
                </c:pt>
                <c:pt idx="953">
                  <c:v>23/8/2024</c:v>
                </c:pt>
                <c:pt idx="954">
                  <c:v>24/8/2024</c:v>
                </c:pt>
                <c:pt idx="955">
                  <c:v>25/8/2024</c:v>
                </c:pt>
                <c:pt idx="956">
                  <c:v>26/8/2024</c:v>
                </c:pt>
                <c:pt idx="957">
                  <c:v>27/8/2024</c:v>
                </c:pt>
                <c:pt idx="958">
                  <c:v>28/8/2024</c:v>
                </c:pt>
                <c:pt idx="959">
                  <c:v>29/8/2024</c:v>
                </c:pt>
                <c:pt idx="960">
                  <c:v>30/8/2024</c:v>
                </c:pt>
                <c:pt idx="961">
                  <c:v>31/8/2024</c:v>
                </c:pt>
                <c:pt idx="962">
                  <c:v>1/9/2024</c:v>
                </c:pt>
                <c:pt idx="963">
                  <c:v>2/9/2024</c:v>
                </c:pt>
                <c:pt idx="964">
                  <c:v>3/9/2024</c:v>
                </c:pt>
                <c:pt idx="965">
                  <c:v>4/9/2024</c:v>
                </c:pt>
                <c:pt idx="966">
                  <c:v>5/9/2024</c:v>
                </c:pt>
                <c:pt idx="967">
                  <c:v>6/9/2024</c:v>
                </c:pt>
                <c:pt idx="968">
                  <c:v>7/9/2024</c:v>
                </c:pt>
                <c:pt idx="969">
                  <c:v>8/9/2024</c:v>
                </c:pt>
                <c:pt idx="970">
                  <c:v>9/9/2024</c:v>
                </c:pt>
                <c:pt idx="971">
                  <c:v>10/9/2024</c:v>
                </c:pt>
                <c:pt idx="972">
                  <c:v>11/9/2024</c:v>
                </c:pt>
                <c:pt idx="973">
                  <c:v>12/9/2024</c:v>
                </c:pt>
                <c:pt idx="974">
                  <c:v>13/9/2024</c:v>
                </c:pt>
                <c:pt idx="975">
                  <c:v>14/9/2024</c:v>
                </c:pt>
                <c:pt idx="976">
                  <c:v>15/9/2024</c:v>
                </c:pt>
                <c:pt idx="977">
                  <c:v>16/9/2024</c:v>
                </c:pt>
                <c:pt idx="978">
                  <c:v>17/9/2024</c:v>
                </c:pt>
                <c:pt idx="979">
                  <c:v>18/9/2024</c:v>
                </c:pt>
                <c:pt idx="980">
                  <c:v>19/9/2024</c:v>
                </c:pt>
                <c:pt idx="981">
                  <c:v>20/9/2024</c:v>
                </c:pt>
                <c:pt idx="982">
                  <c:v>21/9/2024</c:v>
                </c:pt>
                <c:pt idx="983">
                  <c:v>22/9/2024</c:v>
                </c:pt>
                <c:pt idx="984">
                  <c:v>23/9/2024</c:v>
                </c:pt>
                <c:pt idx="985">
                  <c:v>24/9/2024</c:v>
                </c:pt>
                <c:pt idx="986">
                  <c:v>25/9/2024</c:v>
                </c:pt>
                <c:pt idx="987">
                  <c:v>26/9/2024</c:v>
                </c:pt>
                <c:pt idx="988">
                  <c:v>27/9/2024</c:v>
                </c:pt>
                <c:pt idx="989">
                  <c:v>28/9/2024</c:v>
                </c:pt>
                <c:pt idx="990">
                  <c:v>29/9/2024</c:v>
                </c:pt>
                <c:pt idx="991">
                  <c:v>30/9/2024</c:v>
                </c:pt>
                <c:pt idx="992">
                  <c:v>1/10/2024</c:v>
                </c:pt>
                <c:pt idx="993">
                  <c:v>2/10/2024</c:v>
                </c:pt>
                <c:pt idx="994">
                  <c:v>3/10/2024</c:v>
                </c:pt>
                <c:pt idx="995">
                  <c:v>4/10/2024</c:v>
                </c:pt>
                <c:pt idx="996">
                  <c:v>5/10/2024</c:v>
                </c:pt>
                <c:pt idx="997">
                  <c:v>6/10/2024</c:v>
                </c:pt>
                <c:pt idx="998">
                  <c:v>7/10/2024</c:v>
                </c:pt>
                <c:pt idx="999">
                  <c:v>8/10/2024</c:v>
                </c:pt>
                <c:pt idx="1000">
                  <c:v>9/10/2024</c:v>
                </c:pt>
                <c:pt idx="1001">
                  <c:v>10/10/2024</c:v>
                </c:pt>
                <c:pt idx="1002">
                  <c:v>11/10/2024</c:v>
                </c:pt>
                <c:pt idx="1003">
                  <c:v>12/10/2024</c:v>
                </c:pt>
                <c:pt idx="1004">
                  <c:v>13/10/2024</c:v>
                </c:pt>
                <c:pt idx="1005">
                  <c:v>14/10/2024</c:v>
                </c:pt>
                <c:pt idx="1006">
                  <c:v>15/10/2024</c:v>
                </c:pt>
                <c:pt idx="1007">
                  <c:v>16/10/2024</c:v>
                </c:pt>
                <c:pt idx="1008">
                  <c:v>17/10/2024</c:v>
                </c:pt>
                <c:pt idx="1009">
                  <c:v>18/10/2024</c:v>
                </c:pt>
                <c:pt idx="1010">
                  <c:v>19/10/2024</c:v>
                </c:pt>
                <c:pt idx="1011">
                  <c:v>20/10/2024</c:v>
                </c:pt>
                <c:pt idx="1012">
                  <c:v>21/10/2024</c:v>
                </c:pt>
                <c:pt idx="1013">
                  <c:v>22/10/2024</c:v>
                </c:pt>
                <c:pt idx="1014">
                  <c:v>23/10/2024</c:v>
                </c:pt>
                <c:pt idx="1015">
                  <c:v>24/10/2024</c:v>
                </c:pt>
                <c:pt idx="1016">
                  <c:v>25/10/2024</c:v>
                </c:pt>
                <c:pt idx="1017">
                  <c:v>26/10/2024</c:v>
                </c:pt>
                <c:pt idx="1018">
                  <c:v>27/10/2024</c:v>
                </c:pt>
                <c:pt idx="1019">
                  <c:v>28/10/2024</c:v>
                </c:pt>
                <c:pt idx="1020">
                  <c:v>29/10/2024</c:v>
                </c:pt>
                <c:pt idx="1021">
                  <c:v>30/10/2024</c:v>
                </c:pt>
                <c:pt idx="1022">
                  <c:v>31/10/2024</c:v>
                </c:pt>
                <c:pt idx="1023">
                  <c:v>1/11/2024</c:v>
                </c:pt>
                <c:pt idx="1024">
                  <c:v>2/11/2024</c:v>
                </c:pt>
                <c:pt idx="1025">
                  <c:v>3/11/2024</c:v>
                </c:pt>
                <c:pt idx="1026">
                  <c:v>4/11/2024</c:v>
                </c:pt>
                <c:pt idx="1027">
                  <c:v>5/11/2024</c:v>
                </c:pt>
                <c:pt idx="1028">
                  <c:v>6/11/2024</c:v>
                </c:pt>
                <c:pt idx="1029">
                  <c:v>7/11/2024</c:v>
                </c:pt>
                <c:pt idx="1030">
                  <c:v>8/11/2024</c:v>
                </c:pt>
                <c:pt idx="1031">
                  <c:v>9/11/2024</c:v>
                </c:pt>
                <c:pt idx="1032">
                  <c:v>10/11/2024</c:v>
                </c:pt>
                <c:pt idx="1033">
                  <c:v>11/11/2024</c:v>
                </c:pt>
                <c:pt idx="1034">
                  <c:v>12/11/2024</c:v>
                </c:pt>
                <c:pt idx="1035">
                  <c:v>13/11/2024</c:v>
                </c:pt>
                <c:pt idx="1036">
                  <c:v>14/11/2024</c:v>
                </c:pt>
                <c:pt idx="1037">
                  <c:v>15/11/2024</c:v>
                </c:pt>
                <c:pt idx="1038">
                  <c:v>16/11/2024</c:v>
                </c:pt>
                <c:pt idx="1039">
                  <c:v>17/11/2024</c:v>
                </c:pt>
                <c:pt idx="1040">
                  <c:v>18/11/2024</c:v>
                </c:pt>
                <c:pt idx="1041">
                  <c:v>19/11/2024</c:v>
                </c:pt>
                <c:pt idx="1042">
                  <c:v>20/11/2024</c:v>
                </c:pt>
                <c:pt idx="1043">
                  <c:v>21/11/2024</c:v>
                </c:pt>
                <c:pt idx="1044">
                  <c:v>22/11/2024</c:v>
                </c:pt>
                <c:pt idx="1045">
                  <c:v>23/11/2024</c:v>
                </c:pt>
                <c:pt idx="1046">
                  <c:v>24/11/2024</c:v>
                </c:pt>
                <c:pt idx="1047">
                  <c:v>25/11/2024</c:v>
                </c:pt>
                <c:pt idx="1048">
                  <c:v>26/11/2024</c:v>
                </c:pt>
                <c:pt idx="1049">
                  <c:v>27/11/2024</c:v>
                </c:pt>
                <c:pt idx="1050">
                  <c:v>28/11/2024</c:v>
                </c:pt>
                <c:pt idx="1051">
                  <c:v>29/11/2024</c:v>
                </c:pt>
                <c:pt idx="1052">
                  <c:v>30/11/2024</c:v>
                </c:pt>
                <c:pt idx="1053">
                  <c:v>1/12/2024</c:v>
                </c:pt>
                <c:pt idx="1054">
                  <c:v>2/12/2024</c:v>
                </c:pt>
                <c:pt idx="1055">
                  <c:v>3/12/2024</c:v>
                </c:pt>
                <c:pt idx="1056">
                  <c:v>4/12/2024</c:v>
                </c:pt>
                <c:pt idx="1057">
                  <c:v>5/12/2024</c:v>
                </c:pt>
                <c:pt idx="1058">
                  <c:v>6/12/2024</c:v>
                </c:pt>
                <c:pt idx="1059">
                  <c:v>7/12/2024</c:v>
                </c:pt>
                <c:pt idx="1060">
                  <c:v>8/12/2024</c:v>
                </c:pt>
                <c:pt idx="1061">
                  <c:v>9/12/2024</c:v>
                </c:pt>
                <c:pt idx="1062">
                  <c:v>10/12/2024</c:v>
                </c:pt>
                <c:pt idx="1063">
                  <c:v>11/12/2024</c:v>
                </c:pt>
                <c:pt idx="1064">
                  <c:v>12/12/2024</c:v>
                </c:pt>
                <c:pt idx="1065">
                  <c:v>13/12/2024</c:v>
                </c:pt>
                <c:pt idx="1066">
                  <c:v>14/12/2024</c:v>
                </c:pt>
                <c:pt idx="1067">
                  <c:v>15/12/2024</c:v>
                </c:pt>
                <c:pt idx="1068">
                  <c:v>16/12/2024</c:v>
                </c:pt>
                <c:pt idx="1069">
                  <c:v>17/12/2024</c:v>
                </c:pt>
                <c:pt idx="1070">
                  <c:v>18/12/2024</c:v>
                </c:pt>
                <c:pt idx="1071">
                  <c:v>19/12/2024</c:v>
                </c:pt>
                <c:pt idx="1072">
                  <c:v>20/12/2024</c:v>
                </c:pt>
                <c:pt idx="1073">
                  <c:v>21/12/2024</c:v>
                </c:pt>
                <c:pt idx="1074">
                  <c:v>22/12/2024</c:v>
                </c:pt>
                <c:pt idx="1075">
                  <c:v>23/12/2024</c:v>
                </c:pt>
                <c:pt idx="1076">
                  <c:v>24/12/2024</c:v>
                </c:pt>
                <c:pt idx="1077">
                  <c:v>25/12/2024</c:v>
                </c:pt>
                <c:pt idx="1078">
                  <c:v>26/12/2024</c:v>
                </c:pt>
                <c:pt idx="1079">
                  <c:v>27/12/2024</c:v>
                </c:pt>
                <c:pt idx="1080">
                  <c:v>28/12/2024</c:v>
                </c:pt>
                <c:pt idx="1081">
                  <c:v>29/12/2024</c:v>
                </c:pt>
                <c:pt idx="1082">
                  <c:v>30/12/2024</c:v>
                </c:pt>
                <c:pt idx="1083">
                  <c:v>31/12/2024</c:v>
                </c:pt>
                <c:pt idx="1084">
                  <c:v>1/1/2025</c:v>
                </c:pt>
                <c:pt idx="1085">
                  <c:v>2/1/2025</c:v>
                </c:pt>
                <c:pt idx="1086">
                  <c:v>3/1/2025</c:v>
                </c:pt>
                <c:pt idx="1087">
                  <c:v>4/1/2025</c:v>
                </c:pt>
                <c:pt idx="1088">
                  <c:v>5/1/2025</c:v>
                </c:pt>
                <c:pt idx="1089">
                  <c:v>6/1/2025</c:v>
                </c:pt>
                <c:pt idx="1090">
                  <c:v>7/1/2025</c:v>
                </c:pt>
                <c:pt idx="1091">
                  <c:v>8/1/2025</c:v>
                </c:pt>
                <c:pt idx="1092">
                  <c:v>9/1/2025</c:v>
                </c:pt>
                <c:pt idx="1093">
                  <c:v>10/1/2025</c:v>
                </c:pt>
                <c:pt idx="1094">
                  <c:v>11/1/2025</c:v>
                </c:pt>
                <c:pt idx="1095">
                  <c:v>12/1/2025</c:v>
                </c:pt>
                <c:pt idx="1096">
                  <c:v>13/1/2025</c:v>
                </c:pt>
                <c:pt idx="1097">
                  <c:v>14/1/2025</c:v>
                </c:pt>
                <c:pt idx="1098">
                  <c:v>15/1/2025</c:v>
                </c:pt>
                <c:pt idx="1099">
                  <c:v>16/1/2025</c:v>
                </c:pt>
                <c:pt idx="1100">
                  <c:v>17/1/2025</c:v>
                </c:pt>
                <c:pt idx="1101">
                  <c:v>18/1/2025</c:v>
                </c:pt>
                <c:pt idx="1102">
                  <c:v>19/1/2025</c:v>
                </c:pt>
                <c:pt idx="1103">
                  <c:v>20/1/2025</c:v>
                </c:pt>
                <c:pt idx="1104">
                  <c:v>21/1/2025</c:v>
                </c:pt>
                <c:pt idx="1105">
                  <c:v>22/1/2025</c:v>
                </c:pt>
                <c:pt idx="1106">
                  <c:v>23/1/2025</c:v>
                </c:pt>
                <c:pt idx="1107">
                  <c:v>24/1/2025</c:v>
                </c:pt>
                <c:pt idx="1108">
                  <c:v>25/1/2025</c:v>
                </c:pt>
                <c:pt idx="1109">
                  <c:v>26/1/2025</c:v>
                </c:pt>
                <c:pt idx="1110">
                  <c:v>27/1/2025</c:v>
                </c:pt>
                <c:pt idx="1111">
                  <c:v>28/1/2025</c:v>
                </c:pt>
                <c:pt idx="1112">
                  <c:v>29/1/2025</c:v>
                </c:pt>
                <c:pt idx="1113">
                  <c:v>30/1/2025</c:v>
                </c:pt>
                <c:pt idx="1114">
                  <c:v>31/1/2025</c:v>
                </c:pt>
                <c:pt idx="1115">
                  <c:v>1/2/2025</c:v>
                </c:pt>
                <c:pt idx="1116">
                  <c:v>2/2/2025</c:v>
                </c:pt>
                <c:pt idx="1117">
                  <c:v>3/2/2025</c:v>
                </c:pt>
                <c:pt idx="1118">
                  <c:v>4/2/2025</c:v>
                </c:pt>
                <c:pt idx="1119">
                  <c:v>5/2/2025</c:v>
                </c:pt>
                <c:pt idx="1120">
                  <c:v>6/2/2025</c:v>
                </c:pt>
                <c:pt idx="1121">
                  <c:v>7/2/2025</c:v>
                </c:pt>
                <c:pt idx="1122">
                  <c:v>8/2/2025</c:v>
                </c:pt>
                <c:pt idx="1123">
                  <c:v>9/2/2025</c:v>
                </c:pt>
                <c:pt idx="1124">
                  <c:v>10/2/2025</c:v>
                </c:pt>
                <c:pt idx="1125">
                  <c:v>11/2/2025</c:v>
                </c:pt>
                <c:pt idx="1126">
                  <c:v>12/2/2025</c:v>
                </c:pt>
                <c:pt idx="1127">
                  <c:v>13/2/2025</c:v>
                </c:pt>
                <c:pt idx="1128">
                  <c:v>14/2/2025</c:v>
                </c:pt>
                <c:pt idx="1129">
                  <c:v>15/2/2025</c:v>
                </c:pt>
                <c:pt idx="1130">
                  <c:v>16/2/2025</c:v>
                </c:pt>
                <c:pt idx="1131">
                  <c:v>17/2/2025</c:v>
                </c:pt>
                <c:pt idx="1132">
                  <c:v>18/2/2025</c:v>
                </c:pt>
                <c:pt idx="1133">
                  <c:v>19/2/2025</c:v>
                </c:pt>
                <c:pt idx="1134">
                  <c:v>20/2/2025</c:v>
                </c:pt>
                <c:pt idx="1135">
                  <c:v>21/2/2025</c:v>
                </c:pt>
                <c:pt idx="1136">
                  <c:v>22/2/2025</c:v>
                </c:pt>
                <c:pt idx="1137">
                  <c:v>23/2/2025</c:v>
                </c:pt>
                <c:pt idx="1138">
                  <c:v>24/2/2025</c:v>
                </c:pt>
                <c:pt idx="1139">
                  <c:v>25/2/2025</c:v>
                </c:pt>
                <c:pt idx="1140">
                  <c:v>26/2/2025</c:v>
                </c:pt>
                <c:pt idx="1141">
                  <c:v>27/2/2025</c:v>
                </c:pt>
                <c:pt idx="1142">
                  <c:v>28/2/2025</c:v>
                </c:pt>
                <c:pt idx="1143">
                  <c:v>1/3/2025</c:v>
                </c:pt>
                <c:pt idx="1144">
                  <c:v>2/3/2025</c:v>
                </c:pt>
                <c:pt idx="1145">
                  <c:v>3/3/2025</c:v>
                </c:pt>
                <c:pt idx="1146">
                  <c:v>4/3/2025</c:v>
                </c:pt>
                <c:pt idx="1147">
                  <c:v>5/3/2025</c:v>
                </c:pt>
                <c:pt idx="1148">
                  <c:v>6/3/2025</c:v>
                </c:pt>
                <c:pt idx="1149">
                  <c:v>7/3/2025</c:v>
                </c:pt>
                <c:pt idx="1150">
                  <c:v>8/3/2025</c:v>
                </c:pt>
                <c:pt idx="1151">
                  <c:v>9/3/2025</c:v>
                </c:pt>
                <c:pt idx="1152">
                  <c:v>10/3/2025</c:v>
                </c:pt>
                <c:pt idx="1153">
                  <c:v>11/3/2025</c:v>
                </c:pt>
                <c:pt idx="1154">
                  <c:v>12/3/2025</c:v>
                </c:pt>
                <c:pt idx="1155">
                  <c:v>13/3/2025</c:v>
                </c:pt>
                <c:pt idx="1156">
                  <c:v>14/3/2025</c:v>
                </c:pt>
                <c:pt idx="1157">
                  <c:v>15/3/2025</c:v>
                </c:pt>
                <c:pt idx="1158">
                  <c:v>16/3/2025</c:v>
                </c:pt>
                <c:pt idx="1159">
                  <c:v>17/3/2025</c:v>
                </c:pt>
                <c:pt idx="1160">
                  <c:v>18/3/2025</c:v>
                </c:pt>
                <c:pt idx="1161">
                  <c:v>19/3/2025</c:v>
                </c:pt>
                <c:pt idx="1162">
                  <c:v>20/3/2025</c:v>
                </c:pt>
                <c:pt idx="1163">
                  <c:v>21/3/2025</c:v>
                </c:pt>
                <c:pt idx="1164">
                  <c:v>22/3/2025</c:v>
                </c:pt>
                <c:pt idx="1165">
                  <c:v>23/3/2025</c:v>
                </c:pt>
                <c:pt idx="1166">
                  <c:v>24/3/2025</c:v>
                </c:pt>
                <c:pt idx="1167">
                  <c:v>25/3/2025</c:v>
                </c:pt>
                <c:pt idx="1168">
                  <c:v>26/3/2025</c:v>
                </c:pt>
                <c:pt idx="1169">
                  <c:v>27/3/2025</c:v>
                </c:pt>
                <c:pt idx="1170">
                  <c:v>28/3/2025</c:v>
                </c:pt>
                <c:pt idx="1171">
                  <c:v>29/3/2025</c:v>
                </c:pt>
                <c:pt idx="1172">
                  <c:v>30/3/2025</c:v>
                </c:pt>
                <c:pt idx="1173">
                  <c:v>31/3/2025</c:v>
                </c:pt>
                <c:pt idx="1174">
                  <c:v>1/4/2025</c:v>
                </c:pt>
                <c:pt idx="1175">
                  <c:v>2/4/2025</c:v>
                </c:pt>
                <c:pt idx="1176">
                  <c:v>3/4/2025</c:v>
                </c:pt>
                <c:pt idx="1177">
                  <c:v>4/4/2025</c:v>
                </c:pt>
                <c:pt idx="1178">
                  <c:v>5/4/2025</c:v>
                </c:pt>
                <c:pt idx="1179">
                  <c:v>6/4/2025</c:v>
                </c:pt>
                <c:pt idx="1180">
                  <c:v>7/4/2025</c:v>
                </c:pt>
                <c:pt idx="1181">
                  <c:v>8/4/2025</c:v>
                </c:pt>
                <c:pt idx="1182">
                  <c:v>9/4/2025</c:v>
                </c:pt>
                <c:pt idx="1183">
                  <c:v>10/4/2025</c:v>
                </c:pt>
                <c:pt idx="1184">
                  <c:v>11/4/2025</c:v>
                </c:pt>
                <c:pt idx="1185">
                  <c:v>12/4/2025</c:v>
                </c:pt>
                <c:pt idx="1186">
                  <c:v>13/4/2025</c:v>
                </c:pt>
                <c:pt idx="1187">
                  <c:v>14/4/2025</c:v>
                </c:pt>
                <c:pt idx="1188">
                  <c:v>15/4/2025</c:v>
                </c:pt>
                <c:pt idx="1189">
                  <c:v>16/4/2025</c:v>
                </c:pt>
                <c:pt idx="1190">
                  <c:v>17/4/2025</c:v>
                </c:pt>
                <c:pt idx="1191">
                  <c:v>18/4/2025</c:v>
                </c:pt>
                <c:pt idx="1192">
                  <c:v>19/4/2025</c:v>
                </c:pt>
                <c:pt idx="1193">
                  <c:v>20/4/2025</c:v>
                </c:pt>
                <c:pt idx="1194">
                  <c:v>21/4/2025</c:v>
                </c:pt>
                <c:pt idx="1195">
                  <c:v>22/4/2025</c:v>
                </c:pt>
                <c:pt idx="1196">
                  <c:v>23/4/2025</c:v>
                </c:pt>
                <c:pt idx="1197">
                  <c:v>24/4/2025</c:v>
                </c:pt>
                <c:pt idx="1198">
                  <c:v>25/4/2025</c:v>
                </c:pt>
                <c:pt idx="1199">
                  <c:v>26/4/2025</c:v>
                </c:pt>
                <c:pt idx="1200">
                  <c:v>27/4/2025</c:v>
                </c:pt>
                <c:pt idx="1201">
                  <c:v>28/4/2025</c:v>
                </c:pt>
                <c:pt idx="1202">
                  <c:v>29/4/2025</c:v>
                </c:pt>
                <c:pt idx="1203">
                  <c:v>30/4/2025</c:v>
                </c:pt>
                <c:pt idx="1204">
                  <c:v>1/5/2025</c:v>
                </c:pt>
                <c:pt idx="1205">
                  <c:v>2/5/2025</c:v>
                </c:pt>
                <c:pt idx="1206">
                  <c:v>3/5/2025</c:v>
                </c:pt>
                <c:pt idx="1207">
                  <c:v>4/5/2025</c:v>
                </c:pt>
                <c:pt idx="1208">
                  <c:v>5/5/2025</c:v>
                </c:pt>
                <c:pt idx="1209">
                  <c:v>6/5/2025</c:v>
                </c:pt>
                <c:pt idx="1210">
                  <c:v>7/5/2025</c:v>
                </c:pt>
                <c:pt idx="1211">
                  <c:v>8/5/2025</c:v>
                </c:pt>
                <c:pt idx="1212">
                  <c:v>9/5/2025</c:v>
                </c:pt>
                <c:pt idx="1213">
                  <c:v>10/5/2025</c:v>
                </c:pt>
                <c:pt idx="1214">
                  <c:v>11/5/2025</c:v>
                </c:pt>
                <c:pt idx="1215">
                  <c:v>12/5/2025</c:v>
                </c:pt>
                <c:pt idx="1216">
                  <c:v>13/5/2025</c:v>
                </c:pt>
                <c:pt idx="1217">
                  <c:v>14/5/2025</c:v>
                </c:pt>
                <c:pt idx="1218">
                  <c:v>15/5/2025</c:v>
                </c:pt>
                <c:pt idx="1219">
                  <c:v>16/5/2025</c:v>
                </c:pt>
                <c:pt idx="1220">
                  <c:v>17/5/2025</c:v>
                </c:pt>
                <c:pt idx="1221">
                  <c:v>18/5/2025</c:v>
                </c:pt>
                <c:pt idx="1222">
                  <c:v>19/5/2025</c:v>
                </c:pt>
                <c:pt idx="1223">
                  <c:v>20/5/2025</c:v>
                </c:pt>
                <c:pt idx="1224">
                  <c:v>21/5/2025</c:v>
                </c:pt>
                <c:pt idx="1225">
                  <c:v>22/5/2025</c:v>
                </c:pt>
                <c:pt idx="1226">
                  <c:v>23/5/2025</c:v>
                </c:pt>
                <c:pt idx="1227">
                  <c:v>24/5/2025</c:v>
                </c:pt>
                <c:pt idx="1228">
                  <c:v>25/5/2025</c:v>
                </c:pt>
                <c:pt idx="1229">
                  <c:v>26/5/2025</c:v>
                </c:pt>
                <c:pt idx="1230">
                  <c:v>27/5/2025</c:v>
                </c:pt>
                <c:pt idx="1231">
                  <c:v>28/5/2025</c:v>
                </c:pt>
                <c:pt idx="1232">
                  <c:v>29/5/2025</c:v>
                </c:pt>
                <c:pt idx="1233">
                  <c:v>30/5/2025</c:v>
                </c:pt>
                <c:pt idx="1234">
                  <c:v>31/5/2025</c:v>
                </c:pt>
                <c:pt idx="1235">
                  <c:v>1/6/2025</c:v>
                </c:pt>
                <c:pt idx="1236">
                  <c:v>2/6/2025</c:v>
                </c:pt>
                <c:pt idx="1237">
                  <c:v>3/6/2025</c:v>
                </c:pt>
                <c:pt idx="1238">
                  <c:v>4/6/2025</c:v>
                </c:pt>
                <c:pt idx="1239">
                  <c:v>5/6/2025</c:v>
                </c:pt>
                <c:pt idx="1240">
                  <c:v>6/6/2025</c:v>
                </c:pt>
                <c:pt idx="1241">
                  <c:v>7/6/2025</c:v>
                </c:pt>
                <c:pt idx="1242">
                  <c:v>8/6/2025</c:v>
                </c:pt>
                <c:pt idx="1243">
                  <c:v>9/6/2025</c:v>
                </c:pt>
                <c:pt idx="1244">
                  <c:v>10/6/2025</c:v>
                </c:pt>
                <c:pt idx="1245">
                  <c:v>11/6/2025</c:v>
                </c:pt>
                <c:pt idx="1246">
                  <c:v>12/6/2025</c:v>
                </c:pt>
                <c:pt idx="1247">
                  <c:v>13/6/2025</c:v>
                </c:pt>
                <c:pt idx="1248">
                  <c:v>14/6/2025</c:v>
                </c:pt>
                <c:pt idx="1249">
                  <c:v>15/6/2025</c:v>
                </c:pt>
                <c:pt idx="1250">
                  <c:v>16/6/2025</c:v>
                </c:pt>
                <c:pt idx="1251">
                  <c:v>17/6/2025</c:v>
                </c:pt>
                <c:pt idx="1252">
                  <c:v>18/6/2025</c:v>
                </c:pt>
                <c:pt idx="1253">
                  <c:v>19/6/2025</c:v>
                </c:pt>
                <c:pt idx="1254">
                  <c:v>20/6/2025</c:v>
                </c:pt>
                <c:pt idx="1255">
                  <c:v>21/6/2025</c:v>
                </c:pt>
                <c:pt idx="1256">
                  <c:v>22/6/2025</c:v>
                </c:pt>
                <c:pt idx="1257">
                  <c:v>23/6/2025</c:v>
                </c:pt>
                <c:pt idx="1258">
                  <c:v>24/6/2025</c:v>
                </c:pt>
                <c:pt idx="1259">
                  <c:v>25/6/2025</c:v>
                </c:pt>
                <c:pt idx="1260">
                  <c:v>26/6/2025</c:v>
                </c:pt>
                <c:pt idx="1261">
                  <c:v>27/6/2025</c:v>
                </c:pt>
                <c:pt idx="1262">
                  <c:v>28/6/2025</c:v>
                </c:pt>
                <c:pt idx="1263">
                  <c:v>29/6/2025</c:v>
                </c:pt>
                <c:pt idx="1264">
                  <c:v>30/6/2025</c:v>
                </c:pt>
                <c:pt idx="1265">
                  <c:v>1/7/2025</c:v>
                </c:pt>
                <c:pt idx="1266">
                  <c:v>2/7/2025</c:v>
                </c:pt>
                <c:pt idx="1267">
                  <c:v>3/7/2025</c:v>
                </c:pt>
                <c:pt idx="1268">
                  <c:v>4/7/2025</c:v>
                </c:pt>
                <c:pt idx="1269">
                  <c:v>5/7/2025</c:v>
                </c:pt>
                <c:pt idx="1270">
                  <c:v>6/7/2025</c:v>
                </c:pt>
                <c:pt idx="1271">
                  <c:v>7/7/2025</c:v>
                </c:pt>
                <c:pt idx="1272">
                  <c:v>8/7/2025</c:v>
                </c:pt>
                <c:pt idx="1273">
                  <c:v>9/7/2025</c:v>
                </c:pt>
                <c:pt idx="1274">
                  <c:v>10/7/2025</c:v>
                </c:pt>
                <c:pt idx="1275">
                  <c:v>11/7/2025</c:v>
                </c:pt>
                <c:pt idx="1276">
                  <c:v>12/7/2025</c:v>
                </c:pt>
                <c:pt idx="1277">
                  <c:v>13/7/2025</c:v>
                </c:pt>
                <c:pt idx="1278">
                  <c:v>14/7/2025</c:v>
                </c:pt>
                <c:pt idx="1279">
                  <c:v>15/7/2025</c:v>
                </c:pt>
                <c:pt idx="1280">
                  <c:v>16/7/2025</c:v>
                </c:pt>
                <c:pt idx="1281">
                  <c:v>17/7/2025</c:v>
                </c:pt>
                <c:pt idx="1282">
                  <c:v>18/7/2025</c:v>
                </c:pt>
                <c:pt idx="1283">
                  <c:v>19/7/2025</c:v>
                </c:pt>
                <c:pt idx="1284">
                  <c:v>20/7/2025</c:v>
                </c:pt>
                <c:pt idx="1285">
                  <c:v>21/7/2025</c:v>
                </c:pt>
                <c:pt idx="1286">
                  <c:v>22/7/2025</c:v>
                </c:pt>
                <c:pt idx="1287">
                  <c:v>23/7/2025</c:v>
                </c:pt>
                <c:pt idx="1288">
                  <c:v>24/7/2025</c:v>
                </c:pt>
                <c:pt idx="1289">
                  <c:v>25/7/2025</c:v>
                </c:pt>
                <c:pt idx="1290">
                  <c:v>26/7/2025</c:v>
                </c:pt>
                <c:pt idx="1291">
                  <c:v>27/7/2025</c:v>
                </c:pt>
                <c:pt idx="1292">
                  <c:v>28/7/2025</c:v>
                </c:pt>
                <c:pt idx="1293">
                  <c:v>29/7/2025</c:v>
                </c:pt>
                <c:pt idx="1294">
                  <c:v>30/7/2025</c:v>
                </c:pt>
                <c:pt idx="1295">
                  <c:v>31/7/2025</c:v>
                </c:pt>
                <c:pt idx="1296">
                  <c:v>1/8/2025</c:v>
                </c:pt>
                <c:pt idx="1297">
                  <c:v>2/8/2025</c:v>
                </c:pt>
                <c:pt idx="1298">
                  <c:v>3/8/2025</c:v>
                </c:pt>
                <c:pt idx="1299">
                  <c:v>4/8/2025</c:v>
                </c:pt>
                <c:pt idx="1300">
                  <c:v>5/8/2025</c:v>
                </c:pt>
                <c:pt idx="1301">
                  <c:v>6/8/2025</c:v>
                </c:pt>
                <c:pt idx="1302">
                  <c:v>7/8/2025</c:v>
                </c:pt>
                <c:pt idx="1303">
                  <c:v>8/8/2025</c:v>
                </c:pt>
                <c:pt idx="1304">
                  <c:v>9/8/2025</c:v>
                </c:pt>
                <c:pt idx="1305">
                  <c:v>10/8/2025</c:v>
                </c:pt>
                <c:pt idx="1306">
                  <c:v>11/8/2025</c:v>
                </c:pt>
                <c:pt idx="1307">
                  <c:v>12/8/2025</c:v>
                </c:pt>
                <c:pt idx="1308">
                  <c:v>13/8/2025</c:v>
                </c:pt>
                <c:pt idx="1309">
                  <c:v>14/8/2025</c:v>
                </c:pt>
                <c:pt idx="1310">
                  <c:v>15/8/2025</c:v>
                </c:pt>
                <c:pt idx="1311">
                  <c:v>16/8/2025</c:v>
                </c:pt>
                <c:pt idx="1312">
                  <c:v>17/8/2025</c:v>
                </c:pt>
                <c:pt idx="1313">
                  <c:v>18/8/2025</c:v>
                </c:pt>
                <c:pt idx="1314">
                  <c:v>19/8/2025</c:v>
                </c:pt>
                <c:pt idx="1315">
                  <c:v>20/8/2025</c:v>
                </c:pt>
                <c:pt idx="1316">
                  <c:v>21/8/2025</c:v>
                </c:pt>
                <c:pt idx="1317">
                  <c:v>22/8/2025</c:v>
                </c:pt>
                <c:pt idx="1318">
                  <c:v>23/8/2025</c:v>
                </c:pt>
                <c:pt idx="1319">
                  <c:v>24/8/2025</c:v>
                </c:pt>
                <c:pt idx="1320">
                  <c:v>25/8/2025</c:v>
                </c:pt>
                <c:pt idx="1321">
                  <c:v>26/8/2025</c:v>
                </c:pt>
                <c:pt idx="1322">
                  <c:v>27/8/2025</c:v>
                </c:pt>
                <c:pt idx="1323">
                  <c:v>28/8/2025</c:v>
                </c:pt>
                <c:pt idx="1324">
                  <c:v>29/8/2025</c:v>
                </c:pt>
                <c:pt idx="1325">
                  <c:v>30/8/2025</c:v>
                </c:pt>
                <c:pt idx="1326">
                  <c:v>31/8/2025</c:v>
                </c:pt>
                <c:pt idx="1327">
                  <c:v>1/9/2025</c:v>
                </c:pt>
                <c:pt idx="1328">
                  <c:v>2/9/2025</c:v>
                </c:pt>
                <c:pt idx="1329">
                  <c:v>3/9/2025</c:v>
                </c:pt>
                <c:pt idx="1330">
                  <c:v>4/9/2025</c:v>
                </c:pt>
                <c:pt idx="1331">
                  <c:v>5/9/2025</c:v>
                </c:pt>
                <c:pt idx="1332">
                  <c:v>6/9/2025</c:v>
                </c:pt>
                <c:pt idx="1333">
                  <c:v>7/9/2025</c:v>
                </c:pt>
                <c:pt idx="1334">
                  <c:v>8/9/2025</c:v>
                </c:pt>
                <c:pt idx="1335">
                  <c:v>9/9/2025</c:v>
                </c:pt>
                <c:pt idx="1336">
                  <c:v>10/9/2025</c:v>
                </c:pt>
                <c:pt idx="1337">
                  <c:v>11/9/2025</c:v>
                </c:pt>
                <c:pt idx="1338">
                  <c:v>12/9/2025</c:v>
                </c:pt>
                <c:pt idx="1339">
                  <c:v>13/9/2025</c:v>
                </c:pt>
                <c:pt idx="1340">
                  <c:v>14/9/2025</c:v>
                </c:pt>
                <c:pt idx="1341">
                  <c:v>15/9/2025</c:v>
                </c:pt>
                <c:pt idx="1342">
                  <c:v>16/9/2025</c:v>
                </c:pt>
                <c:pt idx="1343">
                  <c:v>17/9/2025</c:v>
                </c:pt>
                <c:pt idx="1344">
                  <c:v>18/9/2025</c:v>
                </c:pt>
                <c:pt idx="1345">
                  <c:v>19/9/2025</c:v>
                </c:pt>
                <c:pt idx="1346">
                  <c:v>20/9/2025</c:v>
                </c:pt>
                <c:pt idx="1347">
                  <c:v>21/9/2025</c:v>
                </c:pt>
                <c:pt idx="1348">
                  <c:v>22/9/2025</c:v>
                </c:pt>
                <c:pt idx="1349">
                  <c:v>23/9/2025</c:v>
                </c:pt>
                <c:pt idx="1350">
                  <c:v>24/9/2025</c:v>
                </c:pt>
                <c:pt idx="1351">
                  <c:v>25/9/2025</c:v>
                </c:pt>
                <c:pt idx="1352">
                  <c:v>26/9/2025</c:v>
                </c:pt>
                <c:pt idx="1353">
                  <c:v>27/9/2025</c:v>
                </c:pt>
                <c:pt idx="1354">
                  <c:v>28/9/2025</c:v>
                </c:pt>
                <c:pt idx="1355">
                  <c:v>29/9/2025</c:v>
                </c:pt>
                <c:pt idx="1356">
                  <c:v>30/9/2025</c:v>
                </c:pt>
                <c:pt idx="1357">
                  <c:v>1/10/2025</c:v>
                </c:pt>
                <c:pt idx="1358">
                  <c:v>2/10/2025</c:v>
                </c:pt>
                <c:pt idx="1359">
                  <c:v>3/10/2025</c:v>
                </c:pt>
                <c:pt idx="1360">
                  <c:v>4/10/2025</c:v>
                </c:pt>
                <c:pt idx="1361">
                  <c:v>5/10/2025</c:v>
                </c:pt>
                <c:pt idx="1362">
                  <c:v>6/10/2025</c:v>
                </c:pt>
                <c:pt idx="1363">
                  <c:v>7/10/2025</c:v>
                </c:pt>
                <c:pt idx="1364">
                  <c:v>8/10/2025</c:v>
                </c:pt>
                <c:pt idx="1365">
                  <c:v>9/10/2025</c:v>
                </c:pt>
                <c:pt idx="1366">
                  <c:v>10/10/2025</c:v>
                </c:pt>
                <c:pt idx="1367">
                  <c:v>11/10/2025</c:v>
                </c:pt>
                <c:pt idx="1368">
                  <c:v>12/10/2025</c:v>
                </c:pt>
                <c:pt idx="1369">
                  <c:v>13/10/2025</c:v>
                </c:pt>
                <c:pt idx="1370">
                  <c:v>14/10/2025</c:v>
                </c:pt>
                <c:pt idx="1371">
                  <c:v>15/10/2025</c:v>
                </c:pt>
                <c:pt idx="1372">
                  <c:v>16/10/2025</c:v>
                </c:pt>
                <c:pt idx="1373">
                  <c:v>17/10/2025</c:v>
                </c:pt>
                <c:pt idx="1374">
                  <c:v>18/10/2025</c:v>
                </c:pt>
                <c:pt idx="1375">
                  <c:v>19/10/2025</c:v>
                </c:pt>
                <c:pt idx="1376">
                  <c:v>20/10/2025</c:v>
                </c:pt>
                <c:pt idx="1377">
                  <c:v>21/10/2025</c:v>
                </c:pt>
                <c:pt idx="1378">
                  <c:v>22/10/2025</c:v>
                </c:pt>
                <c:pt idx="1379">
                  <c:v>23/10/2025</c:v>
                </c:pt>
                <c:pt idx="1380">
                  <c:v>24/10/2025</c:v>
                </c:pt>
                <c:pt idx="1381">
                  <c:v>25/10/2025</c:v>
                </c:pt>
                <c:pt idx="1382">
                  <c:v>26/10/2025</c:v>
                </c:pt>
                <c:pt idx="1383">
                  <c:v>27/10/2025</c:v>
                </c:pt>
                <c:pt idx="1384">
                  <c:v>28/10/2025</c:v>
                </c:pt>
                <c:pt idx="1385">
                  <c:v>29/10/2025</c:v>
                </c:pt>
                <c:pt idx="1386">
                  <c:v>30/10/2025</c:v>
                </c:pt>
                <c:pt idx="1387">
                  <c:v>31/10/2025</c:v>
                </c:pt>
                <c:pt idx="1388">
                  <c:v>1/11/2025</c:v>
                </c:pt>
                <c:pt idx="1389">
                  <c:v>2/11/2025</c:v>
                </c:pt>
                <c:pt idx="1390">
                  <c:v>3/11/2025</c:v>
                </c:pt>
                <c:pt idx="1391">
                  <c:v>4/11/2025</c:v>
                </c:pt>
                <c:pt idx="1392">
                  <c:v>5/11/2025</c:v>
                </c:pt>
                <c:pt idx="1393">
                  <c:v>6/11/2025</c:v>
                </c:pt>
                <c:pt idx="1394">
                  <c:v>7/11/2025</c:v>
                </c:pt>
                <c:pt idx="1395">
                  <c:v>8/11/2025</c:v>
                </c:pt>
                <c:pt idx="1396">
                  <c:v>9/11/2025</c:v>
                </c:pt>
                <c:pt idx="1397">
                  <c:v>10/11/2025</c:v>
                </c:pt>
                <c:pt idx="1398">
                  <c:v>11/11/2025</c:v>
                </c:pt>
                <c:pt idx="1399">
                  <c:v>12/11/2025</c:v>
                </c:pt>
                <c:pt idx="1400">
                  <c:v>13/11/2025</c:v>
                </c:pt>
                <c:pt idx="1401">
                  <c:v>14/11/2025</c:v>
                </c:pt>
                <c:pt idx="1402">
                  <c:v>15/11/2025</c:v>
                </c:pt>
                <c:pt idx="1403">
                  <c:v>16/11/2025</c:v>
                </c:pt>
                <c:pt idx="1404">
                  <c:v>17/11/2025</c:v>
                </c:pt>
                <c:pt idx="1405">
                  <c:v>18/11/2025</c:v>
                </c:pt>
                <c:pt idx="1406">
                  <c:v>19/11/2025</c:v>
                </c:pt>
                <c:pt idx="1407">
                  <c:v>20/11/2025</c:v>
                </c:pt>
                <c:pt idx="1408">
                  <c:v>21/11/2025</c:v>
                </c:pt>
                <c:pt idx="1409">
                  <c:v>22/11/2025</c:v>
                </c:pt>
                <c:pt idx="1410">
                  <c:v>23/11/2025</c:v>
                </c:pt>
                <c:pt idx="1411">
                  <c:v>24/11/2025</c:v>
                </c:pt>
                <c:pt idx="1412">
                  <c:v>25/11/2025</c:v>
                </c:pt>
                <c:pt idx="1413">
                  <c:v>26/11/2025</c:v>
                </c:pt>
                <c:pt idx="1414">
                  <c:v>27/11/2025</c:v>
                </c:pt>
                <c:pt idx="1415">
                  <c:v>28/11/2025</c:v>
                </c:pt>
                <c:pt idx="1416">
                  <c:v>29/11/2025</c:v>
                </c:pt>
                <c:pt idx="1417">
                  <c:v>30/11/2025</c:v>
                </c:pt>
                <c:pt idx="1418">
                  <c:v>1/12/2025</c:v>
                </c:pt>
                <c:pt idx="1419">
                  <c:v>2/12/2025</c:v>
                </c:pt>
                <c:pt idx="1420">
                  <c:v>3/12/2025</c:v>
                </c:pt>
                <c:pt idx="1421">
                  <c:v>4/12/2025</c:v>
                </c:pt>
                <c:pt idx="1422">
                  <c:v>5/12/2025</c:v>
                </c:pt>
                <c:pt idx="1423">
                  <c:v>6/12/2025</c:v>
                </c:pt>
                <c:pt idx="1424">
                  <c:v>7/12/2025</c:v>
                </c:pt>
                <c:pt idx="1425">
                  <c:v>8/12/2025</c:v>
                </c:pt>
                <c:pt idx="1426">
                  <c:v>9/12/2025</c:v>
                </c:pt>
                <c:pt idx="1427">
                  <c:v>10/12/2025</c:v>
                </c:pt>
                <c:pt idx="1428">
                  <c:v>11/12/2025</c:v>
                </c:pt>
                <c:pt idx="1429">
                  <c:v>12/12/2025</c:v>
                </c:pt>
                <c:pt idx="1430">
                  <c:v>13/12/2025</c:v>
                </c:pt>
                <c:pt idx="1431">
                  <c:v>14/12/2025</c:v>
                </c:pt>
                <c:pt idx="1432">
                  <c:v>15/12/2025</c:v>
                </c:pt>
                <c:pt idx="1433">
                  <c:v>16/12/2025</c:v>
                </c:pt>
                <c:pt idx="1434">
                  <c:v>17/12/2025</c:v>
                </c:pt>
                <c:pt idx="1435">
                  <c:v>18/12/2025</c:v>
                </c:pt>
                <c:pt idx="1436">
                  <c:v>19/12/2025</c:v>
                </c:pt>
                <c:pt idx="1437">
                  <c:v>20/12/2025</c:v>
                </c:pt>
                <c:pt idx="1438">
                  <c:v>21/12/2025</c:v>
                </c:pt>
                <c:pt idx="1439">
                  <c:v>22/12/2025</c:v>
                </c:pt>
                <c:pt idx="1440">
                  <c:v>23/12/2025</c:v>
                </c:pt>
                <c:pt idx="1441">
                  <c:v>24/12/2025</c:v>
                </c:pt>
                <c:pt idx="1442">
                  <c:v>25/12/2025</c:v>
                </c:pt>
                <c:pt idx="1443">
                  <c:v>26/12/2025</c:v>
                </c:pt>
                <c:pt idx="1444">
                  <c:v>27/12/2025</c:v>
                </c:pt>
                <c:pt idx="1445">
                  <c:v>28/12/2025</c:v>
                </c:pt>
                <c:pt idx="1446">
                  <c:v>29/12/2025</c:v>
                </c:pt>
                <c:pt idx="1447">
                  <c:v>30/12/2025</c:v>
                </c:pt>
                <c:pt idx="1448">
                  <c:v>31/12/2025</c:v>
                </c:pt>
                <c:pt idx="1449">
                  <c:v>1/1/2026</c:v>
                </c:pt>
                <c:pt idx="1450">
                  <c:v>2/1/2026</c:v>
                </c:pt>
                <c:pt idx="1451">
                  <c:v>3/1/2026</c:v>
                </c:pt>
                <c:pt idx="1452">
                  <c:v>4/1/2026</c:v>
                </c:pt>
                <c:pt idx="1453">
                  <c:v>5/1/2026</c:v>
                </c:pt>
                <c:pt idx="1454">
                  <c:v>6/1/2026</c:v>
                </c:pt>
                <c:pt idx="1455">
                  <c:v>7/1/2026</c:v>
                </c:pt>
                <c:pt idx="1456">
                  <c:v>8/1/2026</c:v>
                </c:pt>
                <c:pt idx="1457">
                  <c:v>9/1/2026</c:v>
                </c:pt>
                <c:pt idx="1458">
                  <c:v>10/1/2026</c:v>
                </c:pt>
                <c:pt idx="1459">
                  <c:v>11/1/2026</c:v>
                </c:pt>
                <c:pt idx="1460">
                  <c:v>12/1/2026</c:v>
                </c:pt>
                <c:pt idx="1461">
                  <c:v>13/1/2026</c:v>
                </c:pt>
                <c:pt idx="1462">
                  <c:v>14/1/2026</c:v>
                </c:pt>
                <c:pt idx="1463">
                  <c:v>15/1/2026</c:v>
                </c:pt>
                <c:pt idx="1464">
                  <c:v>16/1/2026</c:v>
                </c:pt>
                <c:pt idx="1465">
                  <c:v>17/1/2026</c:v>
                </c:pt>
                <c:pt idx="1466">
                  <c:v>18/1/2026</c:v>
                </c:pt>
                <c:pt idx="1467">
                  <c:v>19/1/2026</c:v>
                </c:pt>
                <c:pt idx="1468">
                  <c:v>20/1/2026</c:v>
                </c:pt>
                <c:pt idx="1469">
                  <c:v>21/1/2026</c:v>
                </c:pt>
                <c:pt idx="1470">
                  <c:v>22/1/2026</c:v>
                </c:pt>
                <c:pt idx="1471">
                  <c:v>23/1/2026</c:v>
                </c:pt>
                <c:pt idx="1472">
                  <c:v>24/1/2026</c:v>
                </c:pt>
                <c:pt idx="1473">
                  <c:v>25/1/2026</c:v>
                </c:pt>
                <c:pt idx="1474">
                  <c:v>26/1/2026</c:v>
                </c:pt>
                <c:pt idx="1475">
                  <c:v>27/1/2026</c:v>
                </c:pt>
                <c:pt idx="1476">
                  <c:v>28/1/2026</c:v>
                </c:pt>
                <c:pt idx="1477">
                  <c:v>29/1/2026</c:v>
                </c:pt>
                <c:pt idx="1478">
                  <c:v>30/1/2026</c:v>
                </c:pt>
                <c:pt idx="1479">
                  <c:v>31/1/2026</c:v>
                </c:pt>
                <c:pt idx="1480">
                  <c:v>1/2/2026</c:v>
                </c:pt>
                <c:pt idx="1481">
                  <c:v>2/2/2026</c:v>
                </c:pt>
                <c:pt idx="1482">
                  <c:v>3/2/2026</c:v>
                </c:pt>
              </c:strCache>
            </c:strRef>
          </c:cat>
          <c:val>
            <c:numRef>
              <c:f>'usdc '!$N$10:$N$1492</c:f>
              <c:numCache>
                <c:formatCode>0.00000%</c:formatCode>
                <c:ptCount val="1483"/>
                <c:pt idx="0" formatCode="General">
                  <c:v>0</c:v>
                </c:pt>
                <c:pt idx="1">
                  <c:v>2.1753307702298639E-3</c:v>
                </c:pt>
                <c:pt idx="2">
                  <c:v>-5.1537574478285626E-4</c:v>
                </c:pt>
                <c:pt idx="3">
                  <c:v>1.8303070102488402E-4</c:v>
                </c:pt>
                <c:pt idx="4">
                  <c:v>1.893552573182913E-3</c:v>
                </c:pt>
                <c:pt idx="5">
                  <c:v>-1.4164916131647264E-4</c:v>
                </c:pt>
                <c:pt idx="6">
                  <c:v>-3.7625422081165772E-4</c:v>
                </c:pt>
                <c:pt idx="7">
                  <c:v>2.344724751744855E-3</c:v>
                </c:pt>
                <c:pt idx="8">
                  <c:v>-5.5578251801345277E-4</c:v>
                </c:pt>
                <c:pt idx="9">
                  <c:v>5.6457827254915412E-3</c:v>
                </c:pt>
                <c:pt idx="10">
                  <c:v>1.3031603204719732E-3</c:v>
                </c:pt>
                <c:pt idx="11">
                  <c:v>-9.4365106326961892E-5</c:v>
                </c:pt>
                <c:pt idx="12">
                  <c:v>-3.3288584052875488E-4</c:v>
                </c:pt>
                <c:pt idx="13">
                  <c:v>4.8889652409167712E-4</c:v>
                </c:pt>
                <c:pt idx="14">
                  <c:v>2.4504836153066384E-3</c:v>
                </c:pt>
                <c:pt idx="15">
                  <c:v>2.6988340204855956E-3</c:v>
                </c:pt>
                <c:pt idx="16">
                  <c:v>2.8800986266174448E-3</c:v>
                </c:pt>
                <c:pt idx="17">
                  <c:v>3.127741354788671E-4</c:v>
                </c:pt>
                <c:pt idx="18">
                  <c:v>-9.6155940271602076E-4</c:v>
                </c:pt>
                <c:pt idx="19">
                  <c:v>8.9611680475240791E-4</c:v>
                </c:pt>
                <c:pt idx="20">
                  <c:v>2.6635528796714412E-3</c:v>
                </c:pt>
                <c:pt idx="21">
                  <c:v>-2.8525614884652561E-3</c:v>
                </c:pt>
                <c:pt idx="22">
                  <c:v>4.1753477728458457E-3</c:v>
                </c:pt>
                <c:pt idx="23">
                  <c:v>7.968543636459359E-4</c:v>
                </c:pt>
                <c:pt idx="24">
                  <c:v>-1.8704894669702367E-3</c:v>
                </c:pt>
                <c:pt idx="25">
                  <c:v>2.0343341905315858E-3</c:v>
                </c:pt>
                <c:pt idx="26">
                  <c:v>4.3952159904678571E-5</c:v>
                </c:pt>
                <c:pt idx="27">
                  <c:v>4.1257874304120234E-3</c:v>
                </c:pt>
                <c:pt idx="28">
                  <c:v>-6.0309592777210057E-4</c:v>
                </c:pt>
                <c:pt idx="29">
                  <c:v>-1.4789578032837851E-3</c:v>
                </c:pt>
                <c:pt idx="30">
                  <c:v>2.382997830421812E-4</c:v>
                </c:pt>
                <c:pt idx="31">
                  <c:v>-2.8387194820721391E-4</c:v>
                </c:pt>
                <c:pt idx="32">
                  <c:v>-3.624802502402674E-4</c:v>
                </c:pt>
                <c:pt idx="33">
                  <c:v>-1.6662018934094059E-3</c:v>
                </c:pt>
                <c:pt idx="34">
                  <c:v>-1.3888411287051098E-3</c:v>
                </c:pt>
                <c:pt idx="35">
                  <c:v>-6.8780814592649196E-4</c:v>
                </c:pt>
                <c:pt idx="36">
                  <c:v>4.4947605227444495E-4</c:v>
                </c:pt>
                <c:pt idx="37">
                  <c:v>-4.5747121380587674E-4</c:v>
                </c:pt>
                <c:pt idx="38">
                  <c:v>-9.0225187469522778E-4</c:v>
                </c:pt>
                <c:pt idx="39">
                  <c:v>-1.4648171138214559E-3</c:v>
                </c:pt>
                <c:pt idx="40">
                  <c:v>1.8618155446008459E-3</c:v>
                </c:pt>
                <c:pt idx="41">
                  <c:v>2.1900606845591322E-3</c:v>
                </c:pt>
                <c:pt idx="42">
                  <c:v>-1.8051178717146887E-3</c:v>
                </c:pt>
                <c:pt idx="43">
                  <c:v>-5.0460166686428984E-5</c:v>
                </c:pt>
                <c:pt idx="44">
                  <c:v>2.1647506650952612E-4</c:v>
                </c:pt>
                <c:pt idx="45">
                  <c:v>1.58047359243524E-3</c:v>
                </c:pt>
                <c:pt idx="46">
                  <c:v>-5.7929146124040341E-4</c:v>
                </c:pt>
                <c:pt idx="47">
                  <c:v>2.2296815984918263E-3</c:v>
                </c:pt>
                <c:pt idx="48">
                  <c:v>-1.0439168523074954E-4</c:v>
                </c:pt>
                <c:pt idx="49">
                  <c:v>-4.7251279053879471E-4</c:v>
                </c:pt>
                <c:pt idx="50">
                  <c:v>1.0095976328525281E-3</c:v>
                </c:pt>
                <c:pt idx="51">
                  <c:v>1.9597210410494557E-4</c:v>
                </c:pt>
                <c:pt idx="52">
                  <c:v>2.6736618239529887E-3</c:v>
                </c:pt>
                <c:pt idx="53">
                  <c:v>1.8325034213783717E-3</c:v>
                </c:pt>
                <c:pt idx="54">
                  <c:v>-1.7176587164844893E-3</c:v>
                </c:pt>
                <c:pt idx="55">
                  <c:v>-1.2672682412575068E-3</c:v>
                </c:pt>
                <c:pt idx="56">
                  <c:v>-6.3626737139447945E-4</c:v>
                </c:pt>
                <c:pt idx="57">
                  <c:v>1.3002144782364024E-3</c:v>
                </c:pt>
                <c:pt idx="58">
                  <c:v>1.1741812156956563E-3</c:v>
                </c:pt>
                <c:pt idx="59">
                  <c:v>2.8118556490460836E-3</c:v>
                </c:pt>
                <c:pt idx="60">
                  <c:v>3.798942749310745E-3</c:v>
                </c:pt>
                <c:pt idx="61">
                  <c:v>-1.2936542898081631E-3</c:v>
                </c:pt>
                <c:pt idx="62">
                  <c:v>-7.537935116474746E-4</c:v>
                </c:pt>
                <c:pt idx="63">
                  <c:v>3.1825069698046857E-3</c:v>
                </c:pt>
                <c:pt idx="64">
                  <c:v>4.4933769047094925E-4</c:v>
                </c:pt>
                <c:pt idx="65">
                  <c:v>2.4848460722396238E-3</c:v>
                </c:pt>
                <c:pt idx="66">
                  <c:v>2.3586358001248097E-3</c:v>
                </c:pt>
                <c:pt idx="67">
                  <c:v>-1.9973971359606179E-4</c:v>
                </c:pt>
                <c:pt idx="68">
                  <c:v>2.7038120426406869E-3</c:v>
                </c:pt>
                <c:pt idx="69">
                  <c:v>-1.1335629902578556E-3</c:v>
                </c:pt>
                <c:pt idx="70">
                  <c:v>1.3367912837894461E-3</c:v>
                </c:pt>
                <c:pt idx="71">
                  <c:v>1.7639617585963319E-3</c:v>
                </c:pt>
                <c:pt idx="72">
                  <c:v>3.1844874289954843E-3</c:v>
                </c:pt>
                <c:pt idx="73">
                  <c:v>1.4991384466591761E-3</c:v>
                </c:pt>
                <c:pt idx="74">
                  <c:v>-2.5171418221329369E-3</c:v>
                </c:pt>
                <c:pt idx="75">
                  <c:v>1.2322696475223871E-3</c:v>
                </c:pt>
                <c:pt idx="76">
                  <c:v>9.5759400682631575E-4</c:v>
                </c:pt>
                <c:pt idx="77">
                  <c:v>2.5002230946809881E-3</c:v>
                </c:pt>
                <c:pt idx="78">
                  <c:v>2.592230055865335E-3</c:v>
                </c:pt>
                <c:pt idx="79">
                  <c:v>5.8749230429359835E-4</c:v>
                </c:pt>
                <c:pt idx="80">
                  <c:v>3.0290208121983237E-4</c:v>
                </c:pt>
                <c:pt idx="81">
                  <c:v>1.050848714300532E-3</c:v>
                </c:pt>
                <c:pt idx="82">
                  <c:v>1.229648046477893E-3</c:v>
                </c:pt>
                <c:pt idx="83">
                  <c:v>1.2904113026719441E-3</c:v>
                </c:pt>
                <c:pt idx="84">
                  <c:v>-7.4735782274673352E-5</c:v>
                </c:pt>
                <c:pt idx="85">
                  <c:v>4.702539403012582E-3</c:v>
                </c:pt>
                <c:pt idx="86">
                  <c:v>2.4977205613765652E-3</c:v>
                </c:pt>
                <c:pt idx="87">
                  <c:v>3.5899590653239665E-3</c:v>
                </c:pt>
                <c:pt idx="88">
                  <c:v>-3.5472410259024972E-4</c:v>
                </c:pt>
                <c:pt idx="89">
                  <c:v>1.8478666840484053E-4</c:v>
                </c:pt>
                <c:pt idx="90">
                  <c:v>2.114612258479206E-3</c:v>
                </c:pt>
                <c:pt idx="91">
                  <c:v>1.6167987069629337E-3</c:v>
                </c:pt>
                <c:pt idx="92">
                  <c:v>1.5738782674688911E-3</c:v>
                </c:pt>
                <c:pt idx="93">
                  <c:v>1.3508063301274306E-3</c:v>
                </c:pt>
                <c:pt idx="94">
                  <c:v>2.3865761570778729E-3</c:v>
                </c:pt>
                <c:pt idx="95">
                  <c:v>3.5184461978058903E-3</c:v>
                </c:pt>
                <c:pt idx="96">
                  <c:v>3.347150317212911E-3</c:v>
                </c:pt>
                <c:pt idx="97">
                  <c:v>1.5251308050064913E-3</c:v>
                </c:pt>
                <c:pt idx="98">
                  <c:v>5.5597732523862491E-4</c:v>
                </c:pt>
                <c:pt idx="99">
                  <c:v>4.0628454747802132E-3</c:v>
                </c:pt>
                <c:pt idx="100">
                  <c:v>3.0546322892703853E-4</c:v>
                </c:pt>
                <c:pt idx="101">
                  <c:v>1.3508299874482315E-3</c:v>
                </c:pt>
                <c:pt idx="102">
                  <c:v>1.5331582712388718E-3</c:v>
                </c:pt>
                <c:pt idx="103">
                  <c:v>2.7425403753111887E-3</c:v>
                </c:pt>
                <c:pt idx="104">
                  <c:v>-1.4758652315803068E-5</c:v>
                </c:pt>
                <c:pt idx="105">
                  <c:v>7.1685549375348706E-4</c:v>
                </c:pt>
                <c:pt idx="106">
                  <c:v>3.2499764676969351E-4</c:v>
                </c:pt>
                <c:pt idx="107">
                  <c:v>3.0609469138287758E-3</c:v>
                </c:pt>
                <c:pt idx="108">
                  <c:v>-3.6845347045756579E-4</c:v>
                </c:pt>
                <c:pt idx="109">
                  <c:v>2.0885730355870574E-4</c:v>
                </c:pt>
                <c:pt idx="110">
                  <c:v>1.8325219008053263E-3</c:v>
                </c:pt>
                <c:pt idx="111">
                  <c:v>2.6887703139202189E-3</c:v>
                </c:pt>
                <c:pt idx="112">
                  <c:v>1.6978573383365221E-3</c:v>
                </c:pt>
                <c:pt idx="113">
                  <c:v>7.4773420664712943E-4</c:v>
                </c:pt>
                <c:pt idx="114">
                  <c:v>2.3288575893704393E-3</c:v>
                </c:pt>
                <c:pt idx="115">
                  <c:v>5.3875386645081268E-4</c:v>
                </c:pt>
                <c:pt idx="116">
                  <c:v>1.4060865457154663E-3</c:v>
                </c:pt>
                <c:pt idx="117">
                  <c:v>2.0407057069607554E-3</c:v>
                </c:pt>
                <c:pt idx="118">
                  <c:v>-1.4625782129521166E-3</c:v>
                </c:pt>
                <c:pt idx="119">
                  <c:v>-6.3925417452451276E-3</c:v>
                </c:pt>
                <c:pt idx="120">
                  <c:v>2.8371631111268805E-3</c:v>
                </c:pt>
                <c:pt idx="121">
                  <c:v>1.5149711611572845E-3</c:v>
                </c:pt>
                <c:pt idx="122">
                  <c:v>2.0047896656304955E-3</c:v>
                </c:pt>
                <c:pt idx="123">
                  <c:v>3.1524094531773664E-3</c:v>
                </c:pt>
                <c:pt idx="124">
                  <c:v>3.4317606539817889E-4</c:v>
                </c:pt>
                <c:pt idx="125">
                  <c:v>-7.2667861076481004E-3</c:v>
                </c:pt>
                <c:pt idx="126">
                  <c:v>-6.1432321438668891E-3</c:v>
                </c:pt>
                <c:pt idx="127">
                  <c:v>2.099023975588166E-3</c:v>
                </c:pt>
                <c:pt idx="128">
                  <c:v>-3.2704630296137289E-4</c:v>
                </c:pt>
                <c:pt idx="129">
                  <c:v>4.1233915206093205E-4</c:v>
                </c:pt>
                <c:pt idx="130">
                  <c:v>-2.0342359146318873E-3</c:v>
                </c:pt>
                <c:pt idx="131">
                  <c:v>-4.1303470521735788E-4</c:v>
                </c:pt>
                <c:pt idx="132">
                  <c:v>-9.0992926369939681E-4</c:v>
                </c:pt>
                <c:pt idx="133">
                  <c:v>2.423260753722423E-3</c:v>
                </c:pt>
                <c:pt idx="134">
                  <c:v>2.4094019340345193E-3</c:v>
                </c:pt>
                <c:pt idx="135">
                  <c:v>9.40521163622546E-4</c:v>
                </c:pt>
                <c:pt idx="136">
                  <c:v>-6.7681633584609031E-4</c:v>
                </c:pt>
                <c:pt idx="137">
                  <c:v>4.3268762572857156E-4</c:v>
                </c:pt>
                <c:pt idx="138">
                  <c:v>-2.8293930617736495E-3</c:v>
                </c:pt>
                <c:pt idx="139">
                  <c:v>-1.5995786702400028E-3</c:v>
                </c:pt>
                <c:pt idx="140">
                  <c:v>2.6553452174055184E-3</c:v>
                </c:pt>
                <c:pt idx="141">
                  <c:v>-1.2323306582703571E-3</c:v>
                </c:pt>
                <c:pt idx="142">
                  <c:v>-1.8515952062386981E-4</c:v>
                </c:pt>
                <c:pt idx="143">
                  <c:v>-7.5909959436342312E-6</c:v>
                </c:pt>
                <c:pt idx="144">
                  <c:v>-2.0978066571099622E-3</c:v>
                </c:pt>
                <c:pt idx="145">
                  <c:v>-2.492495467714401E-3</c:v>
                </c:pt>
                <c:pt idx="146">
                  <c:v>9.8166596425613441E-4</c:v>
                </c:pt>
                <c:pt idx="147">
                  <c:v>-1.2779652927915946E-3</c:v>
                </c:pt>
                <c:pt idx="148">
                  <c:v>1.1613418670059408E-3</c:v>
                </c:pt>
                <c:pt idx="149">
                  <c:v>2.8585435286519142E-3</c:v>
                </c:pt>
                <c:pt idx="150">
                  <c:v>-3.7659375910372881E-4</c:v>
                </c:pt>
                <c:pt idx="151">
                  <c:v>5.855295479315392E-3</c:v>
                </c:pt>
                <c:pt idx="152">
                  <c:v>-3.3550461644523064E-3</c:v>
                </c:pt>
                <c:pt idx="153">
                  <c:v>1.8356987775536729E-3</c:v>
                </c:pt>
                <c:pt idx="154">
                  <c:v>3.2589708558469679E-3</c:v>
                </c:pt>
                <c:pt idx="155">
                  <c:v>3.5736025454058302E-3</c:v>
                </c:pt>
                <c:pt idx="156">
                  <c:v>4.5809283399300075E-3</c:v>
                </c:pt>
                <c:pt idx="157">
                  <c:v>3.8188113309631957E-3</c:v>
                </c:pt>
                <c:pt idx="158">
                  <c:v>-4.2097552616483379E-4</c:v>
                </c:pt>
                <c:pt idx="159">
                  <c:v>1.2652857592948346E-4</c:v>
                </c:pt>
                <c:pt idx="160">
                  <c:v>-1.4753994545347526E-3</c:v>
                </c:pt>
                <c:pt idx="161">
                  <c:v>-6.3358695869239793E-4</c:v>
                </c:pt>
                <c:pt idx="162">
                  <c:v>1.1999551437054336E-3</c:v>
                </c:pt>
                <c:pt idx="163">
                  <c:v>1.3489296769213753E-3</c:v>
                </c:pt>
                <c:pt idx="164">
                  <c:v>5.7518658201924713E-5</c:v>
                </c:pt>
                <c:pt idx="165">
                  <c:v>-4.458445794206222E-4</c:v>
                </c:pt>
                <c:pt idx="166">
                  <c:v>-2.17208394367335E-4</c:v>
                </c:pt>
                <c:pt idx="167">
                  <c:v>7.2759138046792502E-5</c:v>
                </c:pt>
                <c:pt idx="168">
                  <c:v>1.199638839254475E-3</c:v>
                </c:pt>
                <c:pt idx="169">
                  <c:v>7.3790906843914251E-4</c:v>
                </c:pt>
                <c:pt idx="170">
                  <c:v>1.7387884395766229E-3</c:v>
                </c:pt>
                <c:pt idx="171">
                  <c:v>1.2564210070662623E-3</c:v>
                </c:pt>
                <c:pt idx="172">
                  <c:v>2.15869616765063E-4</c:v>
                </c:pt>
                <c:pt idx="173">
                  <c:v>-3.6343273645884656E-4</c:v>
                </c:pt>
                <c:pt idx="174">
                  <c:v>8.3397795983692941E-5</c:v>
                </c:pt>
                <c:pt idx="175">
                  <c:v>8.3813259190378828E-5</c:v>
                </c:pt>
                <c:pt idx="176">
                  <c:v>1.1104572173845962E-3</c:v>
                </c:pt>
                <c:pt idx="177">
                  <c:v>1.0115231383006405E-3</c:v>
                </c:pt>
                <c:pt idx="178">
                  <c:v>1.5349364404080759E-3</c:v>
                </c:pt>
                <c:pt idx="179">
                  <c:v>1.2450771390104776E-3</c:v>
                </c:pt>
                <c:pt idx="180">
                  <c:v>1.2314868686719635E-3</c:v>
                </c:pt>
                <c:pt idx="181">
                  <c:v>2.070352193626431E-3</c:v>
                </c:pt>
                <c:pt idx="182">
                  <c:v>8.6769094583373778E-4</c:v>
                </c:pt>
                <c:pt idx="183">
                  <c:v>-3.4143931453774808E-4</c:v>
                </c:pt>
                <c:pt idx="184">
                  <c:v>-2.067079355303317E-3</c:v>
                </c:pt>
                <c:pt idx="185">
                  <c:v>-5.7560063086168169E-4</c:v>
                </c:pt>
                <c:pt idx="186">
                  <c:v>3.183905504339469E-4</c:v>
                </c:pt>
                <c:pt idx="187">
                  <c:v>2.3145772019747874E-4</c:v>
                </c:pt>
                <c:pt idx="188">
                  <c:v>6.8098290266143855E-5</c:v>
                </c:pt>
                <c:pt idx="189">
                  <c:v>1.8289522269878682E-3</c:v>
                </c:pt>
                <c:pt idx="190">
                  <c:v>1.4744680150316455E-3</c:v>
                </c:pt>
                <c:pt idx="191">
                  <c:v>9.5488956767515298E-4</c:v>
                </c:pt>
                <c:pt idx="192">
                  <c:v>-2.2226306487747849E-4</c:v>
                </c:pt>
                <c:pt idx="193">
                  <c:v>-6.9705727658674619E-5</c:v>
                </c:pt>
                <c:pt idx="194">
                  <c:v>-6.0757799078947823E-4</c:v>
                </c:pt>
                <c:pt idx="195">
                  <c:v>-1.4386756110781869E-3</c:v>
                </c:pt>
                <c:pt idx="196">
                  <c:v>6.8859064482747233E-4</c:v>
                </c:pt>
                <c:pt idx="197">
                  <c:v>1.3318867422517327E-3</c:v>
                </c:pt>
                <c:pt idx="198">
                  <c:v>1.6044229869553277E-3</c:v>
                </c:pt>
                <c:pt idx="199">
                  <c:v>1.5878220909785585E-3</c:v>
                </c:pt>
                <c:pt idx="200">
                  <c:v>-9.6983497432599959E-4</c:v>
                </c:pt>
                <c:pt idx="201">
                  <c:v>-2.9425817383929923E-4</c:v>
                </c:pt>
                <c:pt idx="202">
                  <c:v>1.4924500169943731E-3</c:v>
                </c:pt>
                <c:pt idx="203">
                  <c:v>4.1204522474948702E-3</c:v>
                </c:pt>
                <c:pt idx="204">
                  <c:v>1.1410587128898183E-3</c:v>
                </c:pt>
                <c:pt idx="205">
                  <c:v>2.0871086328262531E-3</c:v>
                </c:pt>
                <c:pt idx="206">
                  <c:v>5.3492364568842859E-4</c:v>
                </c:pt>
                <c:pt idx="207">
                  <c:v>2.5748606789842395E-3</c:v>
                </c:pt>
                <c:pt idx="208">
                  <c:v>1.4202453521779883E-3</c:v>
                </c:pt>
                <c:pt idx="209">
                  <c:v>1.281343734703366E-3</c:v>
                </c:pt>
                <c:pt idx="210">
                  <c:v>1.7408326213711497E-3</c:v>
                </c:pt>
                <c:pt idx="211">
                  <c:v>7.2489830733062175E-4</c:v>
                </c:pt>
                <c:pt idx="212">
                  <c:v>1.5333691439513605E-3</c:v>
                </c:pt>
                <c:pt idx="213">
                  <c:v>1.6540426083934418E-3</c:v>
                </c:pt>
                <c:pt idx="214">
                  <c:v>2.8916514222628411E-4</c:v>
                </c:pt>
                <c:pt idx="215">
                  <c:v>5.0787806005988796E-4</c:v>
                </c:pt>
                <c:pt idx="216">
                  <c:v>1.7276953113499552E-3</c:v>
                </c:pt>
                <c:pt idx="217">
                  <c:v>5.3149957998828315E-4</c:v>
                </c:pt>
                <c:pt idx="218">
                  <c:v>9.2725583612134608E-4</c:v>
                </c:pt>
                <c:pt idx="219">
                  <c:v>-4.5135609209689975E-4</c:v>
                </c:pt>
                <c:pt idx="220">
                  <c:v>1.4336607629549828E-3</c:v>
                </c:pt>
                <c:pt idx="221">
                  <c:v>3.4793905572379983E-4</c:v>
                </c:pt>
                <c:pt idx="222">
                  <c:v>5.0999761597151868E-4</c:v>
                </c:pt>
                <c:pt idx="223">
                  <c:v>2.9165623976738385E-4</c:v>
                </c:pt>
                <c:pt idx="224">
                  <c:v>-1.160003692683432E-3</c:v>
                </c:pt>
                <c:pt idx="225">
                  <c:v>6.6423886109726223E-4</c:v>
                </c:pt>
                <c:pt idx="226">
                  <c:v>1.9147886842796672E-3</c:v>
                </c:pt>
                <c:pt idx="227">
                  <c:v>1.8337384213395532E-3</c:v>
                </c:pt>
                <c:pt idx="228">
                  <c:v>1.1780912049182638E-3</c:v>
                </c:pt>
                <c:pt idx="229">
                  <c:v>2.9686229656062896E-3</c:v>
                </c:pt>
                <c:pt idx="230">
                  <c:v>7.6459558295544831E-4</c:v>
                </c:pt>
                <c:pt idx="231">
                  <c:v>7.9364090872545228E-6</c:v>
                </c:pt>
                <c:pt idx="232">
                  <c:v>2.2876643525045312E-4</c:v>
                </c:pt>
                <c:pt idx="233">
                  <c:v>-2.8752628155075111E-4</c:v>
                </c:pt>
                <c:pt idx="234">
                  <c:v>-1.4325901948824267E-3</c:v>
                </c:pt>
                <c:pt idx="235">
                  <c:v>1.0797018432528076E-3</c:v>
                </c:pt>
                <c:pt idx="236">
                  <c:v>1.3032915204205615E-3</c:v>
                </c:pt>
                <c:pt idx="237">
                  <c:v>8.9668664827573447E-4</c:v>
                </c:pt>
                <c:pt idx="238">
                  <c:v>1.0446508251753855E-3</c:v>
                </c:pt>
                <c:pt idx="239">
                  <c:v>-2.2194114764319201E-3</c:v>
                </c:pt>
                <c:pt idx="240">
                  <c:v>-1.5360036266080974E-3</c:v>
                </c:pt>
                <c:pt idx="241">
                  <c:v>-1.7605061993922794E-3</c:v>
                </c:pt>
                <c:pt idx="242">
                  <c:v>-1.0157212720110472E-3</c:v>
                </c:pt>
                <c:pt idx="243">
                  <c:v>1.0750900823127461E-3</c:v>
                </c:pt>
                <c:pt idx="244">
                  <c:v>8.6136603184756085E-4</c:v>
                </c:pt>
                <c:pt idx="245">
                  <c:v>2.1677027059200148E-3</c:v>
                </c:pt>
                <c:pt idx="246">
                  <c:v>2.7094635790998562E-3</c:v>
                </c:pt>
                <c:pt idx="247">
                  <c:v>1.5812217417002158E-3</c:v>
                </c:pt>
                <c:pt idx="248">
                  <c:v>1.4886355825674638E-3</c:v>
                </c:pt>
                <c:pt idx="249">
                  <c:v>1.446015832907986E-3</c:v>
                </c:pt>
                <c:pt idx="250">
                  <c:v>7.7235415906016722E-4</c:v>
                </c:pt>
                <c:pt idx="251">
                  <c:v>3.5857227628661656E-4</c:v>
                </c:pt>
                <c:pt idx="252">
                  <c:v>-3.1399313894325668E-4</c:v>
                </c:pt>
                <c:pt idx="253">
                  <c:v>-8.6403766360101356E-4</c:v>
                </c:pt>
                <c:pt idx="254">
                  <c:v>-1.2171612054244214E-3</c:v>
                </c:pt>
                <c:pt idx="255">
                  <c:v>-2.0735574647666463E-4</c:v>
                </c:pt>
                <c:pt idx="256">
                  <c:v>-1.2748770751772093E-3</c:v>
                </c:pt>
                <c:pt idx="257">
                  <c:v>1.0252235071781819E-3</c:v>
                </c:pt>
                <c:pt idx="258">
                  <c:v>-5.6630384673919752E-4</c:v>
                </c:pt>
                <c:pt idx="259">
                  <c:v>5.3776331406984437E-5</c:v>
                </c:pt>
                <c:pt idx="260">
                  <c:v>4.5484859987521091E-4</c:v>
                </c:pt>
                <c:pt idx="261">
                  <c:v>2.9482912991963791E-4</c:v>
                </c:pt>
                <c:pt idx="262">
                  <c:v>6.1440308304467044E-4</c:v>
                </c:pt>
                <c:pt idx="263">
                  <c:v>-7.3110575559407777E-4</c:v>
                </c:pt>
                <c:pt idx="264">
                  <c:v>-1.147950182943799E-4</c:v>
                </c:pt>
                <c:pt idx="265">
                  <c:v>-2.7555904535163671E-4</c:v>
                </c:pt>
                <c:pt idx="266">
                  <c:v>6.2678493155538201E-5</c:v>
                </c:pt>
                <c:pt idx="267">
                  <c:v>9.1918708744643174E-4</c:v>
                </c:pt>
                <c:pt idx="268">
                  <c:v>8.8275526127766957E-4</c:v>
                </c:pt>
                <c:pt idx="269">
                  <c:v>5.13990997867978E-4</c:v>
                </c:pt>
                <c:pt idx="270">
                  <c:v>9.0897028986111942E-4</c:v>
                </c:pt>
                <c:pt idx="271">
                  <c:v>2.8418660023258875E-4</c:v>
                </c:pt>
                <c:pt idx="272">
                  <c:v>-6.8895673718062189E-4</c:v>
                </c:pt>
                <c:pt idx="273">
                  <c:v>4.3303994660864214E-4</c:v>
                </c:pt>
                <c:pt idx="274">
                  <c:v>3.8415391890369031E-4</c:v>
                </c:pt>
                <c:pt idx="275">
                  <c:v>1.3856816597435438E-3</c:v>
                </c:pt>
                <c:pt idx="276">
                  <c:v>-2.9602804570273374E-4</c:v>
                </c:pt>
                <c:pt idx="277">
                  <c:v>1.2930419185804309E-3</c:v>
                </c:pt>
                <c:pt idx="278">
                  <c:v>6.4834360359102916E-4</c:v>
                </c:pt>
                <c:pt idx="279">
                  <c:v>5.3197943015272791E-4</c:v>
                </c:pt>
                <c:pt idx="280">
                  <c:v>4.5860154106673666E-4</c:v>
                </c:pt>
                <c:pt idx="281">
                  <c:v>4.8332252004790871E-4</c:v>
                </c:pt>
                <c:pt idx="282">
                  <c:v>2.216062790738697E-4</c:v>
                </c:pt>
                <c:pt idx="283">
                  <c:v>-6.1454417301837661E-4</c:v>
                </c:pt>
                <c:pt idx="284">
                  <c:v>1.3925945071616131E-4</c:v>
                </c:pt>
                <c:pt idx="285">
                  <c:v>-1.3854679648316473E-3</c:v>
                </c:pt>
                <c:pt idx="286">
                  <c:v>7.1644704509654785E-4</c:v>
                </c:pt>
                <c:pt idx="287">
                  <c:v>6.4598447983775043E-4</c:v>
                </c:pt>
                <c:pt idx="288">
                  <c:v>6.3290283524311802E-4</c:v>
                </c:pt>
                <c:pt idx="289">
                  <c:v>-1.3902442406046882E-3</c:v>
                </c:pt>
                <c:pt idx="290">
                  <c:v>-2.997439583697593E-6</c:v>
                </c:pt>
                <c:pt idx="291">
                  <c:v>2.4177506318648155E-4</c:v>
                </c:pt>
                <c:pt idx="292">
                  <c:v>7.991622269579383E-4</c:v>
                </c:pt>
                <c:pt idx="293">
                  <c:v>7.2592346733675313E-4</c:v>
                </c:pt>
                <c:pt idx="294">
                  <c:v>3.4870808089730679E-4</c:v>
                </c:pt>
                <c:pt idx="295">
                  <c:v>8.340902625606541E-4</c:v>
                </c:pt>
                <c:pt idx="296">
                  <c:v>1.0327303057114403E-3</c:v>
                </c:pt>
                <c:pt idx="297">
                  <c:v>2.5698966336682636E-3</c:v>
                </c:pt>
                <c:pt idx="298">
                  <c:v>1.6345706425286819E-3</c:v>
                </c:pt>
                <c:pt idx="299">
                  <c:v>4.3958613679292192E-3</c:v>
                </c:pt>
                <c:pt idx="300">
                  <c:v>5.64141213497693E-3</c:v>
                </c:pt>
                <c:pt idx="301">
                  <c:v>9.3637098128091867E-4</c:v>
                </c:pt>
                <c:pt idx="302">
                  <c:v>5.9292216271977661E-3</c:v>
                </c:pt>
                <c:pt idx="303">
                  <c:v>7.5887150497747791E-3</c:v>
                </c:pt>
                <c:pt idx="304">
                  <c:v>2.4449088646267799E-3</c:v>
                </c:pt>
                <c:pt idx="305">
                  <c:v>6.9006922264086643E-4</c:v>
                </c:pt>
                <c:pt idx="306">
                  <c:v>6.9909051649886113E-4</c:v>
                </c:pt>
                <c:pt idx="307">
                  <c:v>3.3703148690725909E-8</c:v>
                </c:pt>
                <c:pt idx="308">
                  <c:v>-5.6652490446881646E-4</c:v>
                </c:pt>
                <c:pt idx="309">
                  <c:v>1.5992401487282938E-3</c:v>
                </c:pt>
                <c:pt idx="310">
                  <c:v>-2.0503657666623562E-3</c:v>
                </c:pt>
                <c:pt idx="311">
                  <c:v>-6.1223089178864582E-4</c:v>
                </c:pt>
                <c:pt idx="312">
                  <c:v>-8.1974446195540434E-5</c:v>
                </c:pt>
                <c:pt idx="313">
                  <c:v>2.0597418772379137E-3</c:v>
                </c:pt>
                <c:pt idx="314">
                  <c:v>9.7539068675386344E-5</c:v>
                </c:pt>
                <c:pt idx="315">
                  <c:v>1.0006586443021847E-3</c:v>
                </c:pt>
                <c:pt idx="316">
                  <c:v>-6.3706124464777141E-4</c:v>
                </c:pt>
                <c:pt idx="317">
                  <c:v>-7.7610040866625519E-4</c:v>
                </c:pt>
                <c:pt idx="318">
                  <c:v>-3.0868894805909986E-4</c:v>
                </c:pt>
                <c:pt idx="319">
                  <c:v>-2.3447130791349536E-4</c:v>
                </c:pt>
                <c:pt idx="320">
                  <c:v>7.2610245714550749E-4</c:v>
                </c:pt>
                <c:pt idx="321">
                  <c:v>1.1471724942880861E-3</c:v>
                </c:pt>
                <c:pt idx="322">
                  <c:v>9.5385789251274818E-5</c:v>
                </c:pt>
                <c:pt idx="323">
                  <c:v>-2.2006282936819308E-4</c:v>
                </c:pt>
                <c:pt idx="324">
                  <c:v>2.630388955747031E-5</c:v>
                </c:pt>
                <c:pt idx="325">
                  <c:v>3.3398632164596668E-4</c:v>
                </c:pt>
                <c:pt idx="326">
                  <c:v>-3.9846889059743398E-4</c:v>
                </c:pt>
                <c:pt idx="327">
                  <c:v>3.3279998753021466E-6</c:v>
                </c:pt>
                <c:pt idx="328">
                  <c:v>4.9845879842892119E-4</c:v>
                </c:pt>
                <c:pt idx="329">
                  <c:v>-3.9968836542228779E-4</c:v>
                </c:pt>
                <c:pt idx="330">
                  <c:v>2.7562683395068624E-4</c:v>
                </c:pt>
                <c:pt idx="331">
                  <c:v>-1.7303405525757377E-5</c:v>
                </c:pt>
                <c:pt idx="332">
                  <c:v>-4.5097738586915572E-4</c:v>
                </c:pt>
                <c:pt idx="333">
                  <c:v>-2.6052964365635566E-4</c:v>
                </c:pt>
                <c:pt idx="334">
                  <c:v>-7.6786237298551066E-4</c:v>
                </c:pt>
                <c:pt idx="335">
                  <c:v>-9.9972782318103349E-4</c:v>
                </c:pt>
                <c:pt idx="336">
                  <c:v>-3.7159974567198381E-4</c:v>
                </c:pt>
                <c:pt idx="337">
                  <c:v>9.7407939178112933E-4</c:v>
                </c:pt>
                <c:pt idx="338">
                  <c:v>3.177665396090793E-4</c:v>
                </c:pt>
                <c:pt idx="339">
                  <c:v>-3.4883354345062792E-4</c:v>
                </c:pt>
                <c:pt idx="340">
                  <c:v>2.4065339261624053E-4</c:v>
                </c:pt>
                <c:pt idx="341">
                  <c:v>4.6900366212100392E-4</c:v>
                </c:pt>
                <c:pt idx="342">
                  <c:v>-4.8722634969991421E-4</c:v>
                </c:pt>
                <c:pt idx="343">
                  <c:v>-2.1762490025670735E-4</c:v>
                </c:pt>
                <c:pt idx="344">
                  <c:v>-6.0742015386168802E-5</c:v>
                </c:pt>
                <c:pt idx="345">
                  <c:v>-1.4329756174571407E-3</c:v>
                </c:pt>
                <c:pt idx="346">
                  <c:v>-3.9628527537208887E-4</c:v>
                </c:pt>
                <c:pt idx="347">
                  <c:v>-3.4175558529010346E-3</c:v>
                </c:pt>
                <c:pt idx="348">
                  <c:v>-1.0359386700018982E-4</c:v>
                </c:pt>
                <c:pt idx="349">
                  <c:v>-1.0678461996072577E-3</c:v>
                </c:pt>
                <c:pt idx="350">
                  <c:v>1.3762131578338999E-3</c:v>
                </c:pt>
                <c:pt idx="351">
                  <c:v>8.5844319109236477E-4</c:v>
                </c:pt>
                <c:pt idx="352">
                  <c:v>-1.3587670260516299E-3</c:v>
                </c:pt>
                <c:pt idx="353">
                  <c:v>-2.6871553389409249E-3</c:v>
                </c:pt>
                <c:pt idx="354">
                  <c:v>-1.5003404117795152E-3</c:v>
                </c:pt>
                <c:pt idx="355">
                  <c:v>1.8189774482638122E-4</c:v>
                </c:pt>
                <c:pt idx="356">
                  <c:v>-9.1499412538992048E-4</c:v>
                </c:pt>
                <c:pt idx="357">
                  <c:v>-1.7588099173368547E-4</c:v>
                </c:pt>
                <c:pt idx="358">
                  <c:v>-8.1575834327055974E-4</c:v>
                </c:pt>
                <c:pt idx="359">
                  <c:v>1.8066591535229612E-4</c:v>
                </c:pt>
                <c:pt idx="360">
                  <c:v>-4.0222752108127319E-5</c:v>
                </c:pt>
                <c:pt idx="361">
                  <c:v>4.4953892667881602E-4</c:v>
                </c:pt>
                <c:pt idx="362">
                  <c:v>2.9176057167338139E-4</c:v>
                </c:pt>
                <c:pt idx="363">
                  <c:v>-2.4750136970361084E-5</c:v>
                </c:pt>
                <c:pt idx="364">
                  <c:v>5.5390764215663773E-4</c:v>
                </c:pt>
                <c:pt idx="365">
                  <c:v>1.9928955808586881E-4</c:v>
                </c:pt>
                <c:pt idx="366">
                  <c:v>-2.4325430289111154E-5</c:v>
                </c:pt>
                <c:pt idx="367">
                  <c:v>5.1044254765841032E-4</c:v>
                </c:pt>
                <c:pt idx="368">
                  <c:v>4.3320629397164125E-4</c:v>
                </c:pt>
                <c:pt idx="369">
                  <c:v>1.217987403313731E-3</c:v>
                </c:pt>
                <c:pt idx="370">
                  <c:v>2.1478519179175362E-4</c:v>
                </c:pt>
                <c:pt idx="371">
                  <c:v>-6.8831803891738E-5</c:v>
                </c:pt>
                <c:pt idx="372">
                  <c:v>1.0778582351161723E-3</c:v>
                </c:pt>
                <c:pt idx="373">
                  <c:v>-2.1469484141722873E-4</c:v>
                </c:pt>
                <c:pt idx="374">
                  <c:v>-4.5742679418016372E-4</c:v>
                </c:pt>
                <c:pt idx="375">
                  <c:v>3.8041471658917941E-4</c:v>
                </c:pt>
                <c:pt idx="376">
                  <c:v>1.5619783633489832E-3</c:v>
                </c:pt>
                <c:pt idx="377">
                  <c:v>1.2036197214424279E-3</c:v>
                </c:pt>
                <c:pt idx="378">
                  <c:v>6.8840889078752767E-4</c:v>
                </c:pt>
                <c:pt idx="379">
                  <c:v>1.0056365240773489E-3</c:v>
                </c:pt>
                <c:pt idx="380">
                  <c:v>1.2126455004623981E-3</c:v>
                </c:pt>
                <c:pt idx="381">
                  <c:v>6.181766830756682E-4</c:v>
                </c:pt>
                <c:pt idx="382">
                  <c:v>4.1826314699713819E-4</c:v>
                </c:pt>
                <c:pt idx="383">
                  <c:v>-6.0336706631212175E-6</c:v>
                </c:pt>
                <c:pt idx="384">
                  <c:v>-3.5074480813309582E-4</c:v>
                </c:pt>
                <c:pt idx="385">
                  <c:v>1.2787608362393862E-3</c:v>
                </c:pt>
                <c:pt idx="386">
                  <c:v>-4.025274597555564E-4</c:v>
                </c:pt>
                <c:pt idx="387">
                  <c:v>6.5979423915092552E-4</c:v>
                </c:pt>
                <c:pt idx="388">
                  <c:v>1.6341961191536426E-3</c:v>
                </c:pt>
                <c:pt idx="389">
                  <c:v>1.1777929355013689E-3</c:v>
                </c:pt>
                <c:pt idx="390">
                  <c:v>2.4100745688414993E-4</c:v>
                </c:pt>
                <c:pt idx="391">
                  <c:v>-1.7239970699764904E-4</c:v>
                </c:pt>
                <c:pt idx="392">
                  <c:v>1.1592754547359173E-3</c:v>
                </c:pt>
                <c:pt idx="393">
                  <c:v>1.5165628655213129E-4</c:v>
                </c:pt>
                <c:pt idx="394">
                  <c:v>-4.4749703145761975E-4</c:v>
                </c:pt>
                <c:pt idx="395">
                  <c:v>3.3756293823888092E-4</c:v>
                </c:pt>
                <c:pt idx="396">
                  <c:v>5.5726020416295278E-4</c:v>
                </c:pt>
                <c:pt idx="397">
                  <c:v>-4.9437882287882125E-4</c:v>
                </c:pt>
                <c:pt idx="398">
                  <c:v>-1.7558945246842518E-3</c:v>
                </c:pt>
                <c:pt idx="399">
                  <c:v>4.6064376876459685E-4</c:v>
                </c:pt>
                <c:pt idx="400">
                  <c:v>1.5839912791552175E-3</c:v>
                </c:pt>
                <c:pt idx="401">
                  <c:v>8.0628721352604476E-4</c:v>
                </c:pt>
                <c:pt idx="402">
                  <c:v>1.3768952368915623E-3</c:v>
                </c:pt>
                <c:pt idx="403">
                  <c:v>3.0251300036088333E-4</c:v>
                </c:pt>
                <c:pt idx="404">
                  <c:v>1.0100035854845118E-3</c:v>
                </c:pt>
                <c:pt idx="405">
                  <c:v>5.6559999383679928E-4</c:v>
                </c:pt>
                <c:pt idx="406">
                  <c:v>6.7341857286598052E-5</c:v>
                </c:pt>
                <c:pt idx="407">
                  <c:v>1.0171506517716268E-3</c:v>
                </c:pt>
                <c:pt idx="408">
                  <c:v>1.3497918254572463E-3</c:v>
                </c:pt>
                <c:pt idx="409">
                  <c:v>1.3407753692774712E-3</c:v>
                </c:pt>
                <c:pt idx="410">
                  <c:v>5.8064912814351664E-3</c:v>
                </c:pt>
                <c:pt idx="411">
                  <c:v>1.0495278896565378E-2</c:v>
                </c:pt>
                <c:pt idx="412">
                  <c:v>6.0858699610831938E-3</c:v>
                </c:pt>
                <c:pt idx="413">
                  <c:v>4.3573013320937258E-3</c:v>
                </c:pt>
                <c:pt idx="414">
                  <c:v>9.5439535067963228E-3</c:v>
                </c:pt>
                <c:pt idx="415">
                  <c:v>8.9936157820293995E-3</c:v>
                </c:pt>
                <c:pt idx="416">
                  <c:v>5.9313165008575905E-3</c:v>
                </c:pt>
                <c:pt idx="417">
                  <c:v>2.9948553718921189E-3</c:v>
                </c:pt>
                <c:pt idx="418">
                  <c:v>2.3563564226063757E-3</c:v>
                </c:pt>
                <c:pt idx="419">
                  <c:v>3.2014051255689988E-3</c:v>
                </c:pt>
                <c:pt idx="420">
                  <c:v>8.2254661873663176E-3</c:v>
                </c:pt>
                <c:pt idx="421">
                  <c:v>-1.244662515031972E-3</c:v>
                </c:pt>
                <c:pt idx="422">
                  <c:v>-4.7394895172607268E-2</c:v>
                </c:pt>
                <c:pt idx="423">
                  <c:v>-1.1255451662341383E-2</c:v>
                </c:pt>
                <c:pt idx="424">
                  <c:v>-7.8669507658063863E-3</c:v>
                </c:pt>
                <c:pt idx="425">
                  <c:v>-3.9087629928253086E-3</c:v>
                </c:pt>
                <c:pt idx="426">
                  <c:v>-5.1206514972834964E-4</c:v>
                </c:pt>
                <c:pt idx="427">
                  <c:v>1.3947344466161999E-3</c:v>
                </c:pt>
                <c:pt idx="428">
                  <c:v>3.5296955036197872E-4</c:v>
                </c:pt>
                <c:pt idx="429">
                  <c:v>2.3072699116132986E-3</c:v>
                </c:pt>
                <c:pt idx="430">
                  <c:v>6.5125708102024386E-3</c:v>
                </c:pt>
                <c:pt idx="431">
                  <c:v>4.7351476737145862E-3</c:v>
                </c:pt>
                <c:pt idx="432">
                  <c:v>5.6349287177255318E-3</c:v>
                </c:pt>
                <c:pt idx="433">
                  <c:v>8.0664033041697621E-3</c:v>
                </c:pt>
                <c:pt idx="434">
                  <c:v>3.034514551478473E-3</c:v>
                </c:pt>
                <c:pt idx="435">
                  <c:v>8.0926025934099054E-3</c:v>
                </c:pt>
                <c:pt idx="436">
                  <c:v>7.2557006277758143E-3</c:v>
                </c:pt>
                <c:pt idx="437">
                  <c:v>4.1176679462725284E-3</c:v>
                </c:pt>
                <c:pt idx="438">
                  <c:v>6.264760533354681E-3</c:v>
                </c:pt>
                <c:pt idx="439">
                  <c:v>7.9254072781189528E-4</c:v>
                </c:pt>
                <c:pt idx="440">
                  <c:v>9.3184733036740051E-4</c:v>
                </c:pt>
                <c:pt idx="441">
                  <c:v>3.2092811733715945E-3</c:v>
                </c:pt>
                <c:pt idx="442">
                  <c:v>2.2972770971462129E-3</c:v>
                </c:pt>
                <c:pt idx="443">
                  <c:v>2.9812373045739063E-3</c:v>
                </c:pt>
                <c:pt idx="444">
                  <c:v>3.2146956778460814E-3</c:v>
                </c:pt>
                <c:pt idx="445">
                  <c:v>6.6408239169372359E-3</c:v>
                </c:pt>
                <c:pt idx="446">
                  <c:v>2.8990092967409154E-3</c:v>
                </c:pt>
                <c:pt idx="447">
                  <c:v>3.8448136707877169E-3</c:v>
                </c:pt>
                <c:pt idx="448">
                  <c:v>4.8495184557115793E-3</c:v>
                </c:pt>
                <c:pt idx="449">
                  <c:v>2.5852606318039588E-3</c:v>
                </c:pt>
                <c:pt idx="450">
                  <c:v>1.7841786352739944E-3</c:v>
                </c:pt>
                <c:pt idx="451">
                  <c:v>1.7743636533068886E-3</c:v>
                </c:pt>
                <c:pt idx="452">
                  <c:v>-1.1484141983386458E-3</c:v>
                </c:pt>
                <c:pt idx="453">
                  <c:v>3.05506234995626E-3</c:v>
                </c:pt>
                <c:pt idx="454">
                  <c:v>4.2461068848240659E-3</c:v>
                </c:pt>
                <c:pt idx="455">
                  <c:v>4.0889826034146573E-3</c:v>
                </c:pt>
                <c:pt idx="456">
                  <c:v>2.0556809696471857E-3</c:v>
                </c:pt>
                <c:pt idx="457">
                  <c:v>2.9767582948039923E-3</c:v>
                </c:pt>
                <c:pt idx="458">
                  <c:v>3.4868325961845037E-3</c:v>
                </c:pt>
                <c:pt idx="459">
                  <c:v>2.3697391362101079E-3</c:v>
                </c:pt>
                <c:pt idx="460">
                  <c:v>2.512991777181351E-3</c:v>
                </c:pt>
                <c:pt idx="461">
                  <c:v>4.3070551779938338E-3</c:v>
                </c:pt>
                <c:pt idx="462">
                  <c:v>2.8030263053651877E-3</c:v>
                </c:pt>
                <c:pt idx="463">
                  <c:v>4.0809015490235225E-3</c:v>
                </c:pt>
                <c:pt idx="464">
                  <c:v>2.6792347016354064E-3</c:v>
                </c:pt>
                <c:pt idx="465">
                  <c:v>3.1892510295085867E-3</c:v>
                </c:pt>
                <c:pt idx="466">
                  <c:v>3.6528049935957889E-3</c:v>
                </c:pt>
                <c:pt idx="467">
                  <c:v>2.8831971574476904E-3</c:v>
                </c:pt>
                <c:pt idx="468">
                  <c:v>3.712156063532682E-3</c:v>
                </c:pt>
                <c:pt idx="469">
                  <c:v>2.0245727770823846E-3</c:v>
                </c:pt>
                <c:pt idx="470">
                  <c:v>1.1049172359767791E-3</c:v>
                </c:pt>
                <c:pt idx="471">
                  <c:v>-8.3265133081280771E-4</c:v>
                </c:pt>
                <c:pt idx="472">
                  <c:v>1.6588277312960184E-3</c:v>
                </c:pt>
                <c:pt idx="473">
                  <c:v>3.8225641337053624E-3</c:v>
                </c:pt>
                <c:pt idx="474">
                  <c:v>3.4907976487600356E-3</c:v>
                </c:pt>
                <c:pt idx="475">
                  <c:v>1.5578245358092279E-3</c:v>
                </c:pt>
                <c:pt idx="476">
                  <c:v>2.7726510025608796E-3</c:v>
                </c:pt>
                <c:pt idx="477">
                  <c:v>-2.3854003870597325E-3</c:v>
                </c:pt>
                <c:pt idx="478">
                  <c:v>-3.3144793781178742E-3</c:v>
                </c:pt>
                <c:pt idx="479">
                  <c:v>9.7859579433819555E-4</c:v>
                </c:pt>
                <c:pt idx="480">
                  <c:v>5.0985855291723562E-3</c:v>
                </c:pt>
                <c:pt idx="481">
                  <c:v>3.3335741053885678E-3</c:v>
                </c:pt>
                <c:pt idx="482">
                  <c:v>4.6858050136108446E-3</c:v>
                </c:pt>
                <c:pt idx="483">
                  <c:v>3.2070150977259121E-3</c:v>
                </c:pt>
                <c:pt idx="484">
                  <c:v>7.2850151008922986E-4</c:v>
                </c:pt>
                <c:pt idx="485">
                  <c:v>4.9780636564693264E-3</c:v>
                </c:pt>
                <c:pt idx="486">
                  <c:v>3.1455908679967589E-3</c:v>
                </c:pt>
                <c:pt idx="487">
                  <c:v>3.0457245326120036E-3</c:v>
                </c:pt>
                <c:pt idx="488">
                  <c:v>1.6717713788569179E-3</c:v>
                </c:pt>
                <c:pt idx="489">
                  <c:v>2.0857374188880257E-3</c:v>
                </c:pt>
                <c:pt idx="490">
                  <c:v>2.3433034495991597E-3</c:v>
                </c:pt>
                <c:pt idx="491">
                  <c:v>1.800194529199318E-3</c:v>
                </c:pt>
                <c:pt idx="492">
                  <c:v>1.49320851082538E-3</c:v>
                </c:pt>
                <c:pt idx="493">
                  <c:v>1.0981098630667E-3</c:v>
                </c:pt>
                <c:pt idx="494">
                  <c:v>9.8304512463086302E-4</c:v>
                </c:pt>
                <c:pt idx="495">
                  <c:v>3.0132056292004548E-4</c:v>
                </c:pt>
                <c:pt idx="496">
                  <c:v>3.847048059700175E-3</c:v>
                </c:pt>
                <c:pt idx="497">
                  <c:v>1.0266406219107654E-3</c:v>
                </c:pt>
                <c:pt idx="498">
                  <c:v>3.1531457122769471E-3</c:v>
                </c:pt>
                <c:pt idx="499">
                  <c:v>1.8659023876898336E-3</c:v>
                </c:pt>
                <c:pt idx="500">
                  <c:v>-1.3118353641958544E-3</c:v>
                </c:pt>
                <c:pt idx="501">
                  <c:v>1.1203419729354422E-3</c:v>
                </c:pt>
                <c:pt idx="502">
                  <c:v>1.3160861881226641E-3</c:v>
                </c:pt>
                <c:pt idx="503">
                  <c:v>1.9906814782967011E-3</c:v>
                </c:pt>
                <c:pt idx="504">
                  <c:v>2.4530510940737635E-3</c:v>
                </c:pt>
                <c:pt idx="505">
                  <c:v>2.3638653287354067E-3</c:v>
                </c:pt>
                <c:pt idx="506">
                  <c:v>2.135464498619676E-3</c:v>
                </c:pt>
                <c:pt idx="507">
                  <c:v>8.0461955449733142E-4</c:v>
                </c:pt>
                <c:pt idx="508">
                  <c:v>5.8291352861551881E-3</c:v>
                </c:pt>
                <c:pt idx="509">
                  <c:v>2.4606260876451347E-3</c:v>
                </c:pt>
                <c:pt idx="510">
                  <c:v>3.2083063181865255E-3</c:v>
                </c:pt>
                <c:pt idx="511">
                  <c:v>2.8330359139842748E-3</c:v>
                </c:pt>
                <c:pt idx="512">
                  <c:v>2.4381372023520027E-3</c:v>
                </c:pt>
                <c:pt idx="513">
                  <c:v>1.3457414365089543E-2</c:v>
                </c:pt>
                <c:pt idx="514">
                  <c:v>8.4904635048382946E-3</c:v>
                </c:pt>
                <c:pt idx="515">
                  <c:v>3.8854836047802891E-3</c:v>
                </c:pt>
                <c:pt idx="516">
                  <c:v>4.5685580045630265E-3</c:v>
                </c:pt>
                <c:pt idx="517">
                  <c:v>9.1640537169706791E-3</c:v>
                </c:pt>
                <c:pt idx="518">
                  <c:v>3.5914419361901049E-3</c:v>
                </c:pt>
                <c:pt idx="519">
                  <c:v>2.8637895335659404E-3</c:v>
                </c:pt>
                <c:pt idx="520">
                  <c:v>2.337000871975135E-3</c:v>
                </c:pt>
                <c:pt idx="521">
                  <c:v>3.1472012251002076E-3</c:v>
                </c:pt>
                <c:pt idx="522">
                  <c:v>4.5410813037338633E-3</c:v>
                </c:pt>
                <c:pt idx="523">
                  <c:v>1.0256130529781751E-3</c:v>
                </c:pt>
                <c:pt idx="524">
                  <c:v>1.692557515085075E-3</c:v>
                </c:pt>
                <c:pt idx="525">
                  <c:v>3.1875539578391926E-3</c:v>
                </c:pt>
                <c:pt idx="526">
                  <c:v>4.0065377724341098E-3</c:v>
                </c:pt>
                <c:pt idx="527">
                  <c:v>2.7067659903906188E-3</c:v>
                </c:pt>
                <c:pt idx="528">
                  <c:v>1.9449251985281918E-3</c:v>
                </c:pt>
                <c:pt idx="529">
                  <c:v>2.799358366051333E-3</c:v>
                </c:pt>
                <c:pt idx="530">
                  <c:v>1.8552075340902141E-3</c:v>
                </c:pt>
                <c:pt idx="531">
                  <c:v>4.1012916830658564E-3</c:v>
                </c:pt>
                <c:pt idx="532">
                  <c:v>2.0829220549142113E-3</c:v>
                </c:pt>
                <c:pt idx="533">
                  <c:v>6.9230465866723504E-4</c:v>
                </c:pt>
                <c:pt idx="534">
                  <c:v>1.6907742576101632E-3</c:v>
                </c:pt>
                <c:pt idx="535">
                  <c:v>5.7320714269164393E-4</c:v>
                </c:pt>
                <c:pt idx="536">
                  <c:v>1.4369867349805568E-3</c:v>
                </c:pt>
                <c:pt idx="537">
                  <c:v>2.3800669281412294E-3</c:v>
                </c:pt>
                <c:pt idx="538">
                  <c:v>2.5597289672935758E-3</c:v>
                </c:pt>
                <c:pt idx="539">
                  <c:v>3.7121397525396258E-3</c:v>
                </c:pt>
                <c:pt idx="540">
                  <c:v>3.3773364898021371E-3</c:v>
                </c:pt>
                <c:pt idx="541">
                  <c:v>3.6623992835666391E-3</c:v>
                </c:pt>
                <c:pt idx="542">
                  <c:v>3.8174787895166183E-3</c:v>
                </c:pt>
                <c:pt idx="543">
                  <c:v>1.5948750008105358E-3</c:v>
                </c:pt>
                <c:pt idx="544">
                  <c:v>2.5114620432302032E-3</c:v>
                </c:pt>
                <c:pt idx="545">
                  <c:v>3.9179328695100645E-3</c:v>
                </c:pt>
                <c:pt idx="546">
                  <c:v>1.9206327291950709E-3</c:v>
                </c:pt>
                <c:pt idx="547">
                  <c:v>2.9118886839401802E-3</c:v>
                </c:pt>
                <c:pt idx="548">
                  <c:v>5.8112500720860572E-3</c:v>
                </c:pt>
                <c:pt idx="549">
                  <c:v>4.4545374723068947E-3</c:v>
                </c:pt>
                <c:pt idx="550">
                  <c:v>3.7184863128963382E-3</c:v>
                </c:pt>
                <c:pt idx="551">
                  <c:v>3.1450063967222524E-3</c:v>
                </c:pt>
                <c:pt idx="552">
                  <c:v>3.4981494059594231E-3</c:v>
                </c:pt>
                <c:pt idx="553">
                  <c:v>3.065164438580811E-3</c:v>
                </c:pt>
                <c:pt idx="554">
                  <c:v>3.3435404550086738E-3</c:v>
                </c:pt>
                <c:pt idx="555">
                  <c:v>3.6808998902463589E-3</c:v>
                </c:pt>
                <c:pt idx="556">
                  <c:v>4.034421132227863E-3</c:v>
                </c:pt>
                <c:pt idx="557">
                  <c:v>3.8996988664192563E-3</c:v>
                </c:pt>
                <c:pt idx="558">
                  <c:v>3.7236716379168886E-3</c:v>
                </c:pt>
                <c:pt idx="559">
                  <c:v>3.4799059608390049E-3</c:v>
                </c:pt>
                <c:pt idx="560">
                  <c:v>3.6184969233412603E-3</c:v>
                </c:pt>
                <c:pt idx="561">
                  <c:v>3.2405019700858509E-3</c:v>
                </c:pt>
                <c:pt idx="562">
                  <c:v>4.7973438032708838E-3</c:v>
                </c:pt>
                <c:pt idx="563">
                  <c:v>4.8564403488079843E-3</c:v>
                </c:pt>
                <c:pt idx="564">
                  <c:v>3.8201186267267056E-3</c:v>
                </c:pt>
                <c:pt idx="565">
                  <c:v>3.2548402606190699E-3</c:v>
                </c:pt>
                <c:pt idx="566">
                  <c:v>2.7247566819169153E-3</c:v>
                </c:pt>
                <c:pt idx="567">
                  <c:v>4.0257390140000524E-3</c:v>
                </c:pt>
                <c:pt idx="568">
                  <c:v>1.5493390848844903E-2</c:v>
                </c:pt>
                <c:pt idx="569">
                  <c:v>1.4732022981097314E-2</c:v>
                </c:pt>
                <c:pt idx="570">
                  <c:v>1.4795001655280618E-2</c:v>
                </c:pt>
                <c:pt idx="571">
                  <c:v>1.9473568660667906E-2</c:v>
                </c:pt>
                <c:pt idx="572">
                  <c:v>1.9341417962133369E-2</c:v>
                </c:pt>
                <c:pt idx="573">
                  <c:v>2.0815263935987406E-2</c:v>
                </c:pt>
                <c:pt idx="574">
                  <c:v>1.7038036781864659E-2</c:v>
                </c:pt>
                <c:pt idx="575">
                  <c:v>1.6314410305195402E-2</c:v>
                </c:pt>
                <c:pt idx="576">
                  <c:v>7.9830623936206387E-3</c:v>
                </c:pt>
                <c:pt idx="577">
                  <c:v>1.0804109015963913E-2</c:v>
                </c:pt>
                <c:pt idx="578">
                  <c:v>1.5462819118986105E-2</c:v>
                </c:pt>
                <c:pt idx="579">
                  <c:v>8.2095796550364364E-3</c:v>
                </c:pt>
                <c:pt idx="580">
                  <c:v>7.6826083205024341E-3</c:v>
                </c:pt>
                <c:pt idx="581">
                  <c:v>9.7057767037490549E-3</c:v>
                </c:pt>
                <c:pt idx="582">
                  <c:v>2.2051274261043519E-2</c:v>
                </c:pt>
                <c:pt idx="583">
                  <c:v>1.8789313039742336E-2</c:v>
                </c:pt>
                <c:pt idx="584">
                  <c:v>1.1917169946456994E-2</c:v>
                </c:pt>
                <c:pt idx="585">
                  <c:v>4.9296706621333548E-3</c:v>
                </c:pt>
                <c:pt idx="586">
                  <c:v>4.0181758311125882E-3</c:v>
                </c:pt>
                <c:pt idx="587">
                  <c:v>2.8261137208035504E-3</c:v>
                </c:pt>
                <c:pt idx="588">
                  <c:v>9.7181854792215778E-4</c:v>
                </c:pt>
                <c:pt idx="589">
                  <c:v>3.0571089478391104E-3</c:v>
                </c:pt>
                <c:pt idx="590">
                  <c:v>2.5898831732802767E-3</c:v>
                </c:pt>
                <c:pt idx="591">
                  <c:v>2.5632570727553545E-3</c:v>
                </c:pt>
                <c:pt idx="592">
                  <c:v>4.0053333375076022E-4</c:v>
                </c:pt>
                <c:pt idx="593">
                  <c:v>2.8771606929657691E-3</c:v>
                </c:pt>
                <c:pt idx="594">
                  <c:v>1.8670371195304027E-3</c:v>
                </c:pt>
                <c:pt idx="595">
                  <c:v>3.9067032527266617E-3</c:v>
                </c:pt>
                <c:pt idx="596">
                  <c:v>3.5478198722393925E-3</c:v>
                </c:pt>
                <c:pt idx="597">
                  <c:v>2.762157032218166E-3</c:v>
                </c:pt>
                <c:pt idx="598">
                  <c:v>3.3168054821475258E-3</c:v>
                </c:pt>
                <c:pt idx="599">
                  <c:v>1.5461892060093599E-3</c:v>
                </c:pt>
                <c:pt idx="600">
                  <c:v>1.2764027700176905E-3</c:v>
                </c:pt>
                <c:pt idx="601">
                  <c:v>1.730630637684753E-3</c:v>
                </c:pt>
                <c:pt idx="602">
                  <c:v>1.2268707226280281E-3</c:v>
                </c:pt>
                <c:pt idx="603">
                  <c:v>1.9745845614634952E-3</c:v>
                </c:pt>
                <c:pt idx="604">
                  <c:v>1.8792688750681539E-3</c:v>
                </c:pt>
                <c:pt idx="605">
                  <c:v>1.5958232813221818E-3</c:v>
                </c:pt>
                <c:pt idx="606">
                  <c:v>2.8748909109540931E-3</c:v>
                </c:pt>
                <c:pt idx="607">
                  <c:v>3.0964079394982529E-4</c:v>
                </c:pt>
                <c:pt idx="608">
                  <c:v>1.4901730764407619E-3</c:v>
                </c:pt>
                <c:pt idx="609">
                  <c:v>4.7526270584256176E-4</c:v>
                </c:pt>
                <c:pt idx="610">
                  <c:v>1.1875256174785002E-3</c:v>
                </c:pt>
                <c:pt idx="611">
                  <c:v>-2.8292209652737454E-4</c:v>
                </c:pt>
                <c:pt idx="612">
                  <c:v>1.894230506827027E-5</c:v>
                </c:pt>
                <c:pt idx="613">
                  <c:v>1.279722314158347E-3</c:v>
                </c:pt>
                <c:pt idx="614">
                  <c:v>1.3007938194141248E-3</c:v>
                </c:pt>
                <c:pt idx="615">
                  <c:v>9.5994755591499931E-4</c:v>
                </c:pt>
                <c:pt idx="616">
                  <c:v>7.1519703280970785E-4</c:v>
                </c:pt>
                <c:pt idx="617">
                  <c:v>1.4910987495150348E-3</c:v>
                </c:pt>
                <c:pt idx="618">
                  <c:v>9.3307220138312639E-4</c:v>
                </c:pt>
                <c:pt idx="619">
                  <c:v>1.4783449040115875E-3</c:v>
                </c:pt>
                <c:pt idx="620">
                  <c:v>5.9048563841254437E-4</c:v>
                </c:pt>
                <c:pt idx="621">
                  <c:v>-3.2018045625172237E-5</c:v>
                </c:pt>
                <c:pt idx="622">
                  <c:v>2.6213245319227352E-4</c:v>
                </c:pt>
                <c:pt idx="623">
                  <c:v>3.8527771408777248E-4</c:v>
                </c:pt>
                <c:pt idx="624">
                  <c:v>2.4724141759438587E-4</c:v>
                </c:pt>
                <c:pt idx="625">
                  <c:v>9.763085941334492E-4</c:v>
                </c:pt>
                <c:pt idx="626">
                  <c:v>3.1966139416521864E-5</c:v>
                </c:pt>
                <c:pt idx="627">
                  <c:v>6.6065197993465659E-4</c:v>
                </c:pt>
                <c:pt idx="628">
                  <c:v>8.3531743899151092E-4</c:v>
                </c:pt>
                <c:pt idx="629">
                  <c:v>8.1624802562228771E-4</c:v>
                </c:pt>
                <c:pt idx="630">
                  <c:v>1.0234703979691217E-3</c:v>
                </c:pt>
                <c:pt idx="631">
                  <c:v>1.1485621661838461E-3</c:v>
                </c:pt>
                <c:pt idx="632">
                  <c:v>1.4346294094363017E-3</c:v>
                </c:pt>
                <c:pt idx="633">
                  <c:v>4.0641555519975437E-4</c:v>
                </c:pt>
                <c:pt idx="634">
                  <c:v>2.7263258049692101E-5</c:v>
                </c:pt>
                <c:pt idx="635">
                  <c:v>4.8718000952239051E-5</c:v>
                </c:pt>
                <c:pt idx="636">
                  <c:v>9.7649368095790209E-4</c:v>
                </c:pt>
                <c:pt idx="637">
                  <c:v>2.1228422778424402E-4</c:v>
                </c:pt>
                <c:pt idx="638">
                  <c:v>-6.7347516535117957E-4</c:v>
                </c:pt>
                <c:pt idx="639">
                  <c:v>1.1162786767607267E-3</c:v>
                </c:pt>
                <c:pt idx="640">
                  <c:v>-5.8420951140620929E-4</c:v>
                </c:pt>
                <c:pt idx="641">
                  <c:v>2.4664906947180357E-4</c:v>
                </c:pt>
                <c:pt idx="642">
                  <c:v>4.9013659275332652E-4</c:v>
                </c:pt>
                <c:pt idx="643">
                  <c:v>1.0860112299988303E-3</c:v>
                </c:pt>
                <c:pt idx="644">
                  <c:v>7.4696687878142583E-4</c:v>
                </c:pt>
                <c:pt idx="645">
                  <c:v>3.4491527035179716E-4</c:v>
                </c:pt>
                <c:pt idx="646">
                  <c:v>6.128156433453792E-4</c:v>
                </c:pt>
                <c:pt idx="647">
                  <c:v>3.6093677519494812E-4</c:v>
                </c:pt>
                <c:pt idx="648">
                  <c:v>-1.3097871047807704E-3</c:v>
                </c:pt>
                <c:pt idx="649">
                  <c:v>3.0043173008301218E-5</c:v>
                </c:pt>
                <c:pt idx="650">
                  <c:v>1.6570514158784164E-5</c:v>
                </c:pt>
                <c:pt idx="651">
                  <c:v>-2.6371249603742623E-4</c:v>
                </c:pt>
                <c:pt idx="652">
                  <c:v>2.9369978319877484E-5</c:v>
                </c:pt>
                <c:pt idx="653">
                  <c:v>1.1511733072032597E-3</c:v>
                </c:pt>
                <c:pt idx="654">
                  <c:v>1.7115776599168134E-3</c:v>
                </c:pt>
                <c:pt idx="655">
                  <c:v>1.1079445621964754E-3</c:v>
                </c:pt>
                <c:pt idx="656">
                  <c:v>6.5837864660836108E-4</c:v>
                </c:pt>
                <c:pt idx="657">
                  <c:v>1.2242800738472858E-3</c:v>
                </c:pt>
                <c:pt idx="658">
                  <c:v>6.0342381945674569E-4</c:v>
                </c:pt>
                <c:pt idx="659">
                  <c:v>1.7000014148380741E-3</c:v>
                </c:pt>
                <c:pt idx="660">
                  <c:v>1.5787018046220292E-3</c:v>
                </c:pt>
                <c:pt idx="661">
                  <c:v>1.3944760827020325E-3</c:v>
                </c:pt>
                <c:pt idx="662">
                  <c:v>-4.1756241784437256E-4</c:v>
                </c:pt>
                <c:pt idx="663">
                  <c:v>4.6986258864004825E-4</c:v>
                </c:pt>
                <c:pt idx="664">
                  <c:v>9.5144769475425392E-4</c:v>
                </c:pt>
                <c:pt idx="665">
                  <c:v>-1.5431179642746051E-4</c:v>
                </c:pt>
                <c:pt idx="666">
                  <c:v>5.0023346142353663E-4</c:v>
                </c:pt>
                <c:pt idx="667">
                  <c:v>2.5121194673046526E-3</c:v>
                </c:pt>
                <c:pt idx="668">
                  <c:v>1.3538115229210772E-3</c:v>
                </c:pt>
                <c:pt idx="669">
                  <c:v>-3.5384140477975876E-5</c:v>
                </c:pt>
                <c:pt idx="670">
                  <c:v>1.3863023729321687E-3</c:v>
                </c:pt>
                <c:pt idx="671">
                  <c:v>1.0786191451583708E-3</c:v>
                </c:pt>
                <c:pt idx="672">
                  <c:v>1.3752483154750412E-3</c:v>
                </c:pt>
                <c:pt idx="673">
                  <c:v>6.8514219007191754E-4</c:v>
                </c:pt>
                <c:pt idx="674">
                  <c:v>1.6196492265507854E-3</c:v>
                </c:pt>
                <c:pt idx="675">
                  <c:v>-3.5049405969288727E-5</c:v>
                </c:pt>
                <c:pt idx="676">
                  <c:v>6.1132556733207684E-4</c:v>
                </c:pt>
                <c:pt idx="677">
                  <c:v>8.596227474274474E-4</c:v>
                </c:pt>
                <c:pt idx="678">
                  <c:v>3.7204304886998007E-4</c:v>
                </c:pt>
                <c:pt idx="679">
                  <c:v>-6.1584873585500551E-4</c:v>
                </c:pt>
                <c:pt idx="680">
                  <c:v>-1.505100514518441E-3</c:v>
                </c:pt>
                <c:pt idx="681">
                  <c:v>-3.8898681410582474E-3</c:v>
                </c:pt>
                <c:pt idx="682">
                  <c:v>-1.9719878855306637E-3</c:v>
                </c:pt>
                <c:pt idx="683">
                  <c:v>1.0445463739625614E-3</c:v>
                </c:pt>
                <c:pt idx="684">
                  <c:v>1.8699483245409188E-4</c:v>
                </c:pt>
                <c:pt idx="685">
                  <c:v>3.3134455715393802E-4</c:v>
                </c:pt>
                <c:pt idx="686">
                  <c:v>-5.9221780246300525E-4</c:v>
                </c:pt>
                <c:pt idx="687">
                  <c:v>-1.9722255912021225E-4</c:v>
                </c:pt>
                <c:pt idx="688">
                  <c:v>2.6131698351083646E-4</c:v>
                </c:pt>
                <c:pt idx="689">
                  <c:v>-6.1763088083205409E-4</c:v>
                </c:pt>
                <c:pt idx="690">
                  <c:v>9.1549606044234863E-4</c:v>
                </c:pt>
                <c:pt idx="691">
                  <c:v>-1.0936916555405593E-5</c:v>
                </c:pt>
                <c:pt idx="692">
                  <c:v>2.1285973138724436E-4</c:v>
                </c:pt>
                <c:pt idx="693">
                  <c:v>1.1323513931158296E-3</c:v>
                </c:pt>
                <c:pt idx="694">
                  <c:v>9.5480541889189998E-4</c:v>
                </c:pt>
                <c:pt idx="695">
                  <c:v>1.6475773393752825E-3</c:v>
                </c:pt>
                <c:pt idx="696">
                  <c:v>5.7275063249150201E-4</c:v>
                </c:pt>
                <c:pt idx="697">
                  <c:v>2.0836012874957443E-3</c:v>
                </c:pt>
                <c:pt idx="698">
                  <c:v>3.7498732821017022E-4</c:v>
                </c:pt>
                <c:pt idx="699">
                  <c:v>1.4848365020984008E-3</c:v>
                </c:pt>
                <c:pt idx="700">
                  <c:v>8.5138999357976374E-5</c:v>
                </c:pt>
                <c:pt idx="701">
                  <c:v>4.6081233802914748E-4</c:v>
                </c:pt>
                <c:pt idx="702">
                  <c:v>-1.0729141588887725E-3</c:v>
                </c:pt>
                <c:pt idx="703">
                  <c:v>6.5085410260658867E-4</c:v>
                </c:pt>
                <c:pt idx="704">
                  <c:v>-5.3288033894196586E-4</c:v>
                </c:pt>
                <c:pt idx="705">
                  <c:v>-2.2702354188848111E-4</c:v>
                </c:pt>
                <c:pt idx="706">
                  <c:v>3.5349791330487864E-4</c:v>
                </c:pt>
                <c:pt idx="707">
                  <c:v>6.9194963916800983E-4</c:v>
                </c:pt>
                <c:pt idx="708">
                  <c:v>1.1939302178140085E-3</c:v>
                </c:pt>
                <c:pt idx="709">
                  <c:v>6.3553174791490374E-3</c:v>
                </c:pt>
                <c:pt idx="710">
                  <c:v>9.0303799272990915E-3</c:v>
                </c:pt>
                <c:pt idx="711">
                  <c:v>3.8688133340263977E-3</c:v>
                </c:pt>
                <c:pt idx="712">
                  <c:v>1.8446814308653798E-3</c:v>
                </c:pt>
                <c:pt idx="713">
                  <c:v>6.9323640156474518E-4</c:v>
                </c:pt>
                <c:pt idx="714">
                  <c:v>2.1933091928144732E-3</c:v>
                </c:pt>
                <c:pt idx="715">
                  <c:v>3.5486399175236371E-3</c:v>
                </c:pt>
                <c:pt idx="716">
                  <c:v>3.7222561181183313E-3</c:v>
                </c:pt>
                <c:pt idx="717">
                  <c:v>2.9592268595474815E-3</c:v>
                </c:pt>
                <c:pt idx="718">
                  <c:v>1.7421297343332494E-3</c:v>
                </c:pt>
                <c:pt idx="719">
                  <c:v>7.0290828018813531E-4</c:v>
                </c:pt>
                <c:pt idx="720">
                  <c:v>4.428854324015353E-3</c:v>
                </c:pt>
                <c:pt idx="721">
                  <c:v>2.534228116454464E-3</c:v>
                </c:pt>
                <c:pt idx="722">
                  <c:v>2.2994273990289919E-3</c:v>
                </c:pt>
                <c:pt idx="723">
                  <c:v>3.7827088243334536E-3</c:v>
                </c:pt>
                <c:pt idx="724">
                  <c:v>2.7327837941814575E-3</c:v>
                </c:pt>
                <c:pt idx="725">
                  <c:v>7.9928444540036713E-4</c:v>
                </c:pt>
                <c:pt idx="726">
                  <c:v>1.9269083821048618E-3</c:v>
                </c:pt>
                <c:pt idx="727">
                  <c:v>9.3064306830755448E-4</c:v>
                </c:pt>
                <c:pt idx="728">
                  <c:v>1.6992718351572888E-3</c:v>
                </c:pt>
                <c:pt idx="729">
                  <c:v>4.0704472745392399E-3</c:v>
                </c:pt>
                <c:pt idx="730">
                  <c:v>4.3852240388061294E-3</c:v>
                </c:pt>
                <c:pt idx="731">
                  <c:v>3.108146802991596E-3</c:v>
                </c:pt>
                <c:pt idx="732">
                  <c:v>1.8963267529766787E-3</c:v>
                </c:pt>
                <c:pt idx="733">
                  <c:v>2.1959513274686553E-3</c:v>
                </c:pt>
                <c:pt idx="734">
                  <c:v>2.4376067488544578E-3</c:v>
                </c:pt>
                <c:pt idx="735">
                  <c:v>1.7500706896936189E-3</c:v>
                </c:pt>
                <c:pt idx="736">
                  <c:v>2.013016537122098E-3</c:v>
                </c:pt>
                <c:pt idx="737">
                  <c:v>2.9390589693081785E-3</c:v>
                </c:pt>
                <c:pt idx="738">
                  <c:v>4.3975826635372483E-4</c:v>
                </c:pt>
                <c:pt idx="739">
                  <c:v>2.0703327370005945E-3</c:v>
                </c:pt>
                <c:pt idx="740">
                  <c:v>2.156842399440047E-3</c:v>
                </c:pt>
                <c:pt idx="741">
                  <c:v>8.9660480062196148E-4</c:v>
                </c:pt>
                <c:pt idx="742">
                  <c:v>1.9478455028414871E-3</c:v>
                </c:pt>
                <c:pt idx="743">
                  <c:v>5.3946928568941819E-4</c:v>
                </c:pt>
                <c:pt idx="744">
                  <c:v>2.6579676228848316E-3</c:v>
                </c:pt>
                <c:pt idx="745">
                  <c:v>1.5721662560241379E-4</c:v>
                </c:pt>
                <c:pt idx="746">
                  <c:v>6.3980148488333179E-4</c:v>
                </c:pt>
                <c:pt idx="747">
                  <c:v>7.3500653672232388E-4</c:v>
                </c:pt>
                <c:pt idx="748">
                  <c:v>1.1511177216205549E-3</c:v>
                </c:pt>
                <c:pt idx="749">
                  <c:v>7.1756502057918449E-4</c:v>
                </c:pt>
                <c:pt idx="750">
                  <c:v>-6.4293044846071529E-4</c:v>
                </c:pt>
                <c:pt idx="751">
                  <c:v>7.6592003018642087E-5</c:v>
                </c:pt>
                <c:pt idx="752">
                  <c:v>1.5257891719825029E-3</c:v>
                </c:pt>
                <c:pt idx="753">
                  <c:v>1.2485737023693682E-3</c:v>
                </c:pt>
                <c:pt idx="754">
                  <c:v>-6.8728286562307831E-4</c:v>
                </c:pt>
                <c:pt idx="755">
                  <c:v>-1.374391329041544E-3</c:v>
                </c:pt>
                <c:pt idx="756">
                  <c:v>4.1318775797945489E-4</c:v>
                </c:pt>
                <c:pt idx="757">
                  <c:v>-1.3557725635898552E-3</c:v>
                </c:pt>
                <c:pt idx="758">
                  <c:v>-2.5173608221548925E-3</c:v>
                </c:pt>
                <c:pt idx="759">
                  <c:v>-3.8812475726178524E-3</c:v>
                </c:pt>
                <c:pt idx="760">
                  <c:v>-1.7629682017955548E-3</c:v>
                </c:pt>
                <c:pt idx="761">
                  <c:v>-4.931998202289987E-4</c:v>
                </c:pt>
                <c:pt idx="762">
                  <c:v>4.2755637832294865E-4</c:v>
                </c:pt>
                <c:pt idx="763">
                  <c:v>-1.8137193264586562E-4</c:v>
                </c:pt>
                <c:pt idx="764">
                  <c:v>9.0564394184598296E-4</c:v>
                </c:pt>
                <c:pt idx="765">
                  <c:v>6.1364073113203495E-4</c:v>
                </c:pt>
                <c:pt idx="766">
                  <c:v>4.18533303747356E-4</c:v>
                </c:pt>
                <c:pt idx="767">
                  <c:v>2.139757604610164E-3</c:v>
                </c:pt>
                <c:pt idx="768">
                  <c:v>6.9212667108250287E-5</c:v>
                </c:pt>
                <c:pt idx="769">
                  <c:v>5.9642779084512231E-4</c:v>
                </c:pt>
                <c:pt idx="770">
                  <c:v>1.9230586264554293E-3</c:v>
                </c:pt>
                <c:pt idx="771">
                  <c:v>6.1423470600484461E-4</c:v>
                </c:pt>
                <c:pt idx="772">
                  <c:v>-6.4541970198641338E-4</c:v>
                </c:pt>
                <c:pt idx="773">
                  <c:v>-1.4042109873553398E-3</c:v>
                </c:pt>
                <c:pt idx="774">
                  <c:v>-3.4181842074268746E-4</c:v>
                </c:pt>
                <c:pt idx="775">
                  <c:v>-5.5838428428936439E-4</c:v>
                </c:pt>
                <c:pt idx="776">
                  <c:v>-1.5690739391764452E-3</c:v>
                </c:pt>
                <c:pt idx="777">
                  <c:v>-6.7474453065156093E-3</c:v>
                </c:pt>
                <c:pt idx="778">
                  <c:v>-9.2929365783180127E-4</c:v>
                </c:pt>
                <c:pt idx="779">
                  <c:v>-8.9574903449313832E-4</c:v>
                </c:pt>
                <c:pt idx="780">
                  <c:v>3.3781470023197145E-4</c:v>
                </c:pt>
                <c:pt idx="781">
                  <c:v>-1.7853006120135352E-3</c:v>
                </c:pt>
                <c:pt idx="782">
                  <c:v>1.4443578291192687E-3</c:v>
                </c:pt>
                <c:pt idx="783">
                  <c:v>6.7809825795492264E-4</c:v>
                </c:pt>
                <c:pt idx="784">
                  <c:v>9.5029632967229101E-5</c:v>
                </c:pt>
                <c:pt idx="785">
                  <c:v>4.8582490478569702E-5</c:v>
                </c:pt>
                <c:pt idx="786">
                  <c:v>-3.3255565933154661E-4</c:v>
                </c:pt>
                <c:pt idx="787">
                  <c:v>1.6823470230794169E-4</c:v>
                </c:pt>
                <c:pt idx="788">
                  <c:v>-9.7269913114191673E-3</c:v>
                </c:pt>
                <c:pt idx="789">
                  <c:v>9.4034963012487463E-4</c:v>
                </c:pt>
                <c:pt idx="790">
                  <c:v>5.7897944389015204E-4</c:v>
                </c:pt>
                <c:pt idx="791">
                  <c:v>7.3185411806460181E-4</c:v>
                </c:pt>
                <c:pt idx="792">
                  <c:v>9.5308405637936427E-4</c:v>
                </c:pt>
                <c:pt idx="793">
                  <c:v>2.7119315486706062E-3</c:v>
                </c:pt>
                <c:pt idx="794">
                  <c:v>2.3538624449600731E-3</c:v>
                </c:pt>
                <c:pt idx="795">
                  <c:v>6.4173402852470498E-4</c:v>
                </c:pt>
                <c:pt idx="796">
                  <c:v>2.7695752057742594E-3</c:v>
                </c:pt>
                <c:pt idx="797">
                  <c:v>2.8259074116911611E-3</c:v>
                </c:pt>
                <c:pt idx="798">
                  <c:v>1.075070692158639E-3</c:v>
                </c:pt>
                <c:pt idx="799">
                  <c:v>1.2054114340948026E-3</c:v>
                </c:pt>
                <c:pt idx="800">
                  <c:v>1.936973244015084E-3</c:v>
                </c:pt>
                <c:pt idx="801">
                  <c:v>-5.8748251604746221E-4</c:v>
                </c:pt>
                <c:pt idx="802">
                  <c:v>-1.7242097235419781E-3</c:v>
                </c:pt>
                <c:pt idx="803">
                  <c:v>9.2601169110892315E-4</c:v>
                </c:pt>
                <c:pt idx="804">
                  <c:v>8.263759038309727E-4</c:v>
                </c:pt>
                <c:pt idx="805">
                  <c:v>-3.9793299011743274E-4</c:v>
                </c:pt>
                <c:pt idx="806">
                  <c:v>2.2749594966404024E-3</c:v>
                </c:pt>
                <c:pt idx="807">
                  <c:v>1.4290195528465781E-3</c:v>
                </c:pt>
                <c:pt idx="808">
                  <c:v>1.480530470389358E-3</c:v>
                </c:pt>
                <c:pt idx="809">
                  <c:v>1.1339577290175101E-3</c:v>
                </c:pt>
                <c:pt idx="810">
                  <c:v>2.122651787001197E-3</c:v>
                </c:pt>
                <c:pt idx="811">
                  <c:v>1.8131512038189177E-3</c:v>
                </c:pt>
                <c:pt idx="812">
                  <c:v>1.0970557834001041E-3</c:v>
                </c:pt>
                <c:pt idx="813">
                  <c:v>1.829740789403365E-4</c:v>
                </c:pt>
                <c:pt idx="814">
                  <c:v>1.1047329806120896E-3</c:v>
                </c:pt>
                <c:pt idx="815">
                  <c:v>1.126459173250609E-3</c:v>
                </c:pt>
                <c:pt idx="816">
                  <c:v>-4.2515806247328753E-3</c:v>
                </c:pt>
                <c:pt idx="817">
                  <c:v>2.2684162941204889E-3</c:v>
                </c:pt>
                <c:pt idx="818">
                  <c:v>-4.4261990148176311E-3</c:v>
                </c:pt>
                <c:pt idx="819">
                  <c:v>7.2688823484454656E-4</c:v>
                </c:pt>
                <c:pt idx="820">
                  <c:v>4.8360650382199121E-3</c:v>
                </c:pt>
                <c:pt idx="821">
                  <c:v>1.3557516403019096E-2</c:v>
                </c:pt>
                <c:pt idx="822">
                  <c:v>3.7599924965687785E-3</c:v>
                </c:pt>
                <c:pt idx="823">
                  <c:v>-3.4181083603217481E-4</c:v>
                </c:pt>
                <c:pt idx="824">
                  <c:v>1.1912339533360244E-3</c:v>
                </c:pt>
                <c:pt idx="825">
                  <c:v>1.0585349470597209E-3</c:v>
                </c:pt>
                <c:pt idx="826">
                  <c:v>7.4515945511631823E-4</c:v>
                </c:pt>
                <c:pt idx="827">
                  <c:v>8.2264211228152495E-4</c:v>
                </c:pt>
                <c:pt idx="828">
                  <c:v>2.8655409961176816E-3</c:v>
                </c:pt>
                <c:pt idx="829">
                  <c:v>1.1216228963983107E-3</c:v>
                </c:pt>
                <c:pt idx="830">
                  <c:v>1.6238023455598678E-4</c:v>
                </c:pt>
                <c:pt idx="831">
                  <c:v>1.0416464223178266E-3</c:v>
                </c:pt>
                <c:pt idx="832">
                  <c:v>2.0457732414650934E-3</c:v>
                </c:pt>
                <c:pt idx="833">
                  <c:v>1.4026671856837616E-3</c:v>
                </c:pt>
                <c:pt idx="834">
                  <c:v>6.5828072038134065E-4</c:v>
                </c:pt>
                <c:pt idx="835">
                  <c:v>2.3811797507990603E-3</c:v>
                </c:pt>
                <c:pt idx="836">
                  <c:v>9.2218831174027379E-4</c:v>
                </c:pt>
                <c:pt idx="837">
                  <c:v>5.1549292270660827E-4</c:v>
                </c:pt>
                <c:pt idx="838">
                  <c:v>5.915433568057343E-4</c:v>
                </c:pt>
                <c:pt idx="839">
                  <c:v>3.5368210314010956E-3</c:v>
                </c:pt>
                <c:pt idx="840">
                  <c:v>1.133392495873538E-3</c:v>
                </c:pt>
                <c:pt idx="841">
                  <c:v>4.2119918321027261E-5</c:v>
                </c:pt>
                <c:pt idx="842">
                  <c:v>1.0656278104544266E-4</c:v>
                </c:pt>
                <c:pt idx="843">
                  <c:v>-8.3201325558347435E-4</c:v>
                </c:pt>
                <c:pt idx="844">
                  <c:v>7.2162226710935752E-4</c:v>
                </c:pt>
                <c:pt idx="845">
                  <c:v>7.4403437621587147E-4</c:v>
                </c:pt>
                <c:pt idx="846">
                  <c:v>-6.2631859337749753E-5</c:v>
                </c:pt>
                <c:pt idx="847">
                  <c:v>3.6832035435994861E-4</c:v>
                </c:pt>
                <c:pt idx="848">
                  <c:v>1.2271022049308911E-3</c:v>
                </c:pt>
                <c:pt idx="849">
                  <c:v>7.1056480071877602E-4</c:v>
                </c:pt>
                <c:pt idx="850">
                  <c:v>4.4852502779191451E-4</c:v>
                </c:pt>
                <c:pt idx="851">
                  <c:v>-4.9121228468405453E-4</c:v>
                </c:pt>
                <c:pt idx="852">
                  <c:v>3.564749825361493E-4</c:v>
                </c:pt>
                <c:pt idx="853">
                  <c:v>-1.0762428863668571E-3</c:v>
                </c:pt>
                <c:pt idx="854">
                  <c:v>-1.2474714581789973E-3</c:v>
                </c:pt>
                <c:pt idx="855">
                  <c:v>2.4476069034167218E-6</c:v>
                </c:pt>
                <c:pt idx="856">
                  <c:v>-4.6742655934953203E-4</c:v>
                </c:pt>
                <c:pt idx="857">
                  <c:v>-5.6160806011358512E-4</c:v>
                </c:pt>
                <c:pt idx="858">
                  <c:v>-1.7827751075423205E-2</c:v>
                </c:pt>
                <c:pt idx="859">
                  <c:v>-7.6260046539006095E-3</c:v>
                </c:pt>
                <c:pt idx="860">
                  <c:v>-8.6683544949703773E-4</c:v>
                </c:pt>
                <c:pt idx="861">
                  <c:v>3.5094496825268805E-5</c:v>
                </c:pt>
                <c:pt idx="862">
                  <c:v>-5.439021620641687E-4</c:v>
                </c:pt>
                <c:pt idx="863">
                  <c:v>-1.0706582344775131E-3</c:v>
                </c:pt>
                <c:pt idx="864">
                  <c:v>-4.5367481166412918E-4</c:v>
                </c:pt>
                <c:pt idx="865">
                  <c:v>-2.172621034588376E-4</c:v>
                </c:pt>
                <c:pt idx="866">
                  <c:v>-1.0484547812438755E-3</c:v>
                </c:pt>
                <c:pt idx="867">
                  <c:v>1.4187719664429102E-3</c:v>
                </c:pt>
                <c:pt idx="868">
                  <c:v>6.1684579545075017E-4</c:v>
                </c:pt>
                <c:pt idx="869">
                  <c:v>6.8385397738453767E-4</c:v>
                </c:pt>
                <c:pt idx="870">
                  <c:v>-3.0686692569411195E-4</c:v>
                </c:pt>
                <c:pt idx="871">
                  <c:v>8.5775238392178503E-4</c:v>
                </c:pt>
                <c:pt idx="872">
                  <c:v>4.7803081851263972E-4</c:v>
                </c:pt>
                <c:pt idx="873">
                  <c:v>-1.5060496285653133E-3</c:v>
                </c:pt>
                <c:pt idx="874">
                  <c:v>-2.3837177639094986E-3</c:v>
                </c:pt>
                <c:pt idx="875">
                  <c:v>7.8804919472002009E-5</c:v>
                </c:pt>
                <c:pt idx="876">
                  <c:v>1.6426461010021804E-3</c:v>
                </c:pt>
                <c:pt idx="877">
                  <c:v>9.1346268079904548E-4</c:v>
                </c:pt>
                <c:pt idx="878">
                  <c:v>-1.0495586514020534E-4</c:v>
                </c:pt>
                <c:pt idx="879">
                  <c:v>6.2220365136523269E-4</c:v>
                </c:pt>
                <c:pt idx="880">
                  <c:v>-1.0616849080058726E-5</c:v>
                </c:pt>
                <c:pt idx="881">
                  <c:v>-8.5944196109525445E-6</c:v>
                </c:pt>
                <c:pt idx="882">
                  <c:v>-1.7612806579946151E-4</c:v>
                </c:pt>
                <c:pt idx="883">
                  <c:v>1.1234885479417906E-3</c:v>
                </c:pt>
                <c:pt idx="884">
                  <c:v>6.883180549161511E-4</c:v>
                </c:pt>
                <c:pt idx="885">
                  <c:v>-3.4654517188095752E-4</c:v>
                </c:pt>
                <c:pt idx="886">
                  <c:v>2.5444436183291968E-4</c:v>
                </c:pt>
                <c:pt idx="887">
                  <c:v>9.9578595215804328E-4</c:v>
                </c:pt>
                <c:pt idx="888">
                  <c:v>6.9293501240580511E-4</c:v>
                </c:pt>
                <c:pt idx="889">
                  <c:v>-3.068146137435694E-4</c:v>
                </c:pt>
                <c:pt idx="890">
                  <c:v>-3.9269753243841693E-4</c:v>
                </c:pt>
                <c:pt idx="891">
                  <c:v>-2.6977479523978729E-4</c:v>
                </c:pt>
                <c:pt idx="892">
                  <c:v>-8.628767787842084E-4</c:v>
                </c:pt>
                <c:pt idx="893">
                  <c:v>1.1278446848617654E-3</c:v>
                </c:pt>
                <c:pt idx="894">
                  <c:v>8.0924998063193791E-4</c:v>
                </c:pt>
                <c:pt idx="895">
                  <c:v>1.5844799135565819E-4</c:v>
                </c:pt>
                <c:pt idx="896">
                  <c:v>5.8639384931941205E-4</c:v>
                </c:pt>
                <c:pt idx="897">
                  <c:v>1.8040602840156531E-3</c:v>
                </c:pt>
                <c:pt idx="898">
                  <c:v>8.3530806645257976E-4</c:v>
                </c:pt>
                <c:pt idx="899">
                  <c:v>6.1862535846759982E-4</c:v>
                </c:pt>
                <c:pt idx="900">
                  <c:v>4.8668176247308444E-4</c:v>
                </c:pt>
                <c:pt idx="901">
                  <c:v>5.0247027281574621E-4</c:v>
                </c:pt>
                <c:pt idx="902">
                  <c:v>1.1195305781040493E-3</c:v>
                </c:pt>
                <c:pt idx="903">
                  <c:v>1.4266214830192456E-4</c:v>
                </c:pt>
                <c:pt idx="904">
                  <c:v>1.9606215687444162E-3</c:v>
                </c:pt>
                <c:pt idx="905">
                  <c:v>9.9935924115226917E-4</c:v>
                </c:pt>
                <c:pt idx="906">
                  <c:v>2.5940826015951571E-4</c:v>
                </c:pt>
                <c:pt idx="907">
                  <c:v>9.4975621772561939E-4</c:v>
                </c:pt>
                <c:pt idx="908">
                  <c:v>1.6512550882673695E-4</c:v>
                </c:pt>
                <c:pt idx="909">
                  <c:v>2.4964357097274703E-3</c:v>
                </c:pt>
                <c:pt idx="910">
                  <c:v>4.9105123563458937E-4</c:v>
                </c:pt>
                <c:pt idx="911">
                  <c:v>4.3557556173086495E-4</c:v>
                </c:pt>
                <c:pt idx="912">
                  <c:v>-5.2074079404754977E-3</c:v>
                </c:pt>
                <c:pt idx="913">
                  <c:v>-1.6063430369377964E-3</c:v>
                </c:pt>
                <c:pt idx="914">
                  <c:v>4.7980173953232792E-4</c:v>
                </c:pt>
                <c:pt idx="915">
                  <c:v>5.489908511148358E-4</c:v>
                </c:pt>
                <c:pt idx="916">
                  <c:v>7.40937047536832E-4</c:v>
                </c:pt>
                <c:pt idx="917">
                  <c:v>2.5711847310218663E-4</c:v>
                </c:pt>
                <c:pt idx="918">
                  <c:v>-7.8540698279974349E-4</c:v>
                </c:pt>
                <c:pt idx="919">
                  <c:v>-1.0865877182233805E-3</c:v>
                </c:pt>
                <c:pt idx="920">
                  <c:v>-8.1686312883946892E-3</c:v>
                </c:pt>
                <c:pt idx="921">
                  <c:v>7.9016322113156074E-4</c:v>
                </c:pt>
                <c:pt idx="922">
                  <c:v>-1.7313314804051868E-3</c:v>
                </c:pt>
                <c:pt idx="923">
                  <c:v>4.9807134611099598E-4</c:v>
                </c:pt>
                <c:pt idx="924">
                  <c:v>1.5368190268623367E-4</c:v>
                </c:pt>
                <c:pt idx="925">
                  <c:v>-7.7200729550082824E-4</c:v>
                </c:pt>
                <c:pt idx="926">
                  <c:v>-1.0826651957145633E-3</c:v>
                </c:pt>
                <c:pt idx="927">
                  <c:v>-3.8147398413464027E-4</c:v>
                </c:pt>
                <c:pt idx="928">
                  <c:v>7.2863093991779146E-4</c:v>
                </c:pt>
                <c:pt idx="929">
                  <c:v>5.8666282216947058E-4</c:v>
                </c:pt>
                <c:pt idx="930">
                  <c:v>2.0708466565203074E-4</c:v>
                </c:pt>
                <c:pt idx="931">
                  <c:v>2.9541016784368726E-4</c:v>
                </c:pt>
                <c:pt idx="932">
                  <c:v>5.9834128104022978E-3</c:v>
                </c:pt>
                <c:pt idx="933">
                  <c:v>4.6959004144766451E-3</c:v>
                </c:pt>
                <c:pt idx="934">
                  <c:v>2.4929389735951894E-3</c:v>
                </c:pt>
                <c:pt idx="935">
                  <c:v>4.0118425224643503E-3</c:v>
                </c:pt>
                <c:pt idx="936">
                  <c:v>1.8440432931236873E-3</c:v>
                </c:pt>
                <c:pt idx="937">
                  <c:v>-2.5090922373432177E-3</c:v>
                </c:pt>
                <c:pt idx="938">
                  <c:v>9.6015408049508017E-4</c:v>
                </c:pt>
                <c:pt idx="939">
                  <c:v>7.907661073739469E-4</c:v>
                </c:pt>
                <c:pt idx="940">
                  <c:v>1.6755350710913408E-3</c:v>
                </c:pt>
                <c:pt idx="941">
                  <c:v>5.0086661287263913E-4</c:v>
                </c:pt>
                <c:pt idx="942">
                  <c:v>4.90613551519396E-4</c:v>
                </c:pt>
                <c:pt idx="943">
                  <c:v>8.3975087717171265E-4</c:v>
                </c:pt>
                <c:pt idx="944">
                  <c:v>5.3945694351637658E-4</c:v>
                </c:pt>
                <c:pt idx="945">
                  <c:v>7.6063569823548425E-4</c:v>
                </c:pt>
                <c:pt idx="946">
                  <c:v>3.7978806665963554E-5</c:v>
                </c:pt>
                <c:pt idx="947">
                  <c:v>1.9202261637433001E-3</c:v>
                </c:pt>
                <c:pt idx="948">
                  <c:v>8.287862521739965E-4</c:v>
                </c:pt>
                <c:pt idx="949">
                  <c:v>1.0286590102410458E-3</c:v>
                </c:pt>
                <c:pt idx="950">
                  <c:v>8.7151116934290683E-4</c:v>
                </c:pt>
                <c:pt idx="951">
                  <c:v>-9.7326101460884344E-4</c:v>
                </c:pt>
                <c:pt idx="952">
                  <c:v>-1.7527844328729864E-4</c:v>
                </c:pt>
                <c:pt idx="953">
                  <c:v>-1.2727262248700927E-3</c:v>
                </c:pt>
                <c:pt idx="954">
                  <c:v>-1.9085435641462919E-3</c:v>
                </c:pt>
                <c:pt idx="955">
                  <c:v>-2.7405125123420794E-3</c:v>
                </c:pt>
                <c:pt idx="956">
                  <c:v>8.7663446080292722E-4</c:v>
                </c:pt>
                <c:pt idx="957">
                  <c:v>1.2322859466386421E-3</c:v>
                </c:pt>
                <c:pt idx="958">
                  <c:v>1.2028530026894852E-4</c:v>
                </c:pt>
                <c:pt idx="959">
                  <c:v>1.4005303947242078E-3</c:v>
                </c:pt>
                <c:pt idx="960">
                  <c:v>3.3138696975580086E-4</c:v>
                </c:pt>
                <c:pt idx="961">
                  <c:v>-4.402988290273936E-4</c:v>
                </c:pt>
                <c:pt idx="962">
                  <c:v>1.5820829706819114E-3</c:v>
                </c:pt>
                <c:pt idx="963">
                  <c:v>2.0706408816178925E-4</c:v>
                </c:pt>
                <c:pt idx="964">
                  <c:v>7.9059231619649532E-4</c:v>
                </c:pt>
                <c:pt idx="965">
                  <c:v>5.4526505442707674E-4</c:v>
                </c:pt>
                <c:pt idx="966">
                  <c:v>4.0697083564260024E-5</c:v>
                </c:pt>
                <c:pt idx="967">
                  <c:v>4.6904745639838518E-3</c:v>
                </c:pt>
                <c:pt idx="968">
                  <c:v>2.4770829745186427E-3</c:v>
                </c:pt>
                <c:pt idx="969">
                  <c:v>1.4863955831554408E-3</c:v>
                </c:pt>
                <c:pt idx="970">
                  <c:v>4.5007647393426531E-4</c:v>
                </c:pt>
                <c:pt idx="971">
                  <c:v>2.0409670285974894E-4</c:v>
                </c:pt>
                <c:pt idx="972">
                  <c:v>-2.8933456068762028E-4</c:v>
                </c:pt>
                <c:pt idx="973">
                  <c:v>6.6053624736596753E-4</c:v>
                </c:pt>
                <c:pt idx="974">
                  <c:v>-1.2280372163980331E-3</c:v>
                </c:pt>
                <c:pt idx="975">
                  <c:v>-1.5495592708707037E-3</c:v>
                </c:pt>
                <c:pt idx="976">
                  <c:v>3.9760635045315977E-4</c:v>
                </c:pt>
                <c:pt idx="977">
                  <c:v>-1.0258852235592601E-3</c:v>
                </c:pt>
                <c:pt idx="978">
                  <c:v>-3.3090522442966983E-4</c:v>
                </c:pt>
                <c:pt idx="979">
                  <c:v>-4.1298309572579422E-4</c:v>
                </c:pt>
                <c:pt idx="980">
                  <c:v>-1.4875703714502784E-3</c:v>
                </c:pt>
                <c:pt idx="981">
                  <c:v>-3.6291400947489281E-4</c:v>
                </c:pt>
                <c:pt idx="982">
                  <c:v>4.7124941481097997E-4</c:v>
                </c:pt>
                <c:pt idx="983">
                  <c:v>1.2859334970930923E-3</c:v>
                </c:pt>
                <c:pt idx="984">
                  <c:v>9.0768533994616072E-5</c:v>
                </c:pt>
                <c:pt idx="985">
                  <c:v>-5.0893132207549291E-4</c:v>
                </c:pt>
                <c:pt idx="986">
                  <c:v>3.180861132069348E-4</c:v>
                </c:pt>
                <c:pt idx="987">
                  <c:v>-2.7221487604753021E-4</c:v>
                </c:pt>
                <c:pt idx="988">
                  <c:v>-4.1865123780128704E-5</c:v>
                </c:pt>
                <c:pt idx="989">
                  <c:v>1.3881367409554561E-4</c:v>
                </c:pt>
                <c:pt idx="990">
                  <c:v>2.0750119356190643E-4</c:v>
                </c:pt>
                <c:pt idx="991">
                  <c:v>1.4131907202442008E-3</c:v>
                </c:pt>
                <c:pt idx="992">
                  <c:v>1.4919674736672784E-3</c:v>
                </c:pt>
                <c:pt idx="993">
                  <c:v>6.6455800788076699E-4</c:v>
                </c:pt>
                <c:pt idx="994">
                  <c:v>1.0299212531755962E-3</c:v>
                </c:pt>
                <c:pt idx="995">
                  <c:v>-6.11243098523618E-4</c:v>
                </c:pt>
                <c:pt idx="996">
                  <c:v>6.7654361547456676E-4</c:v>
                </c:pt>
                <c:pt idx="997">
                  <c:v>-1.9429321170825976E-4</c:v>
                </c:pt>
                <c:pt idx="998">
                  <c:v>9.1820483396446448E-4</c:v>
                </c:pt>
                <c:pt idx="999">
                  <c:v>1.1191734627411878E-3</c:v>
                </c:pt>
                <c:pt idx="1000">
                  <c:v>7.7752799575199765E-4</c:v>
                </c:pt>
                <c:pt idx="1001">
                  <c:v>4.1221421165849406E-4</c:v>
                </c:pt>
                <c:pt idx="1002">
                  <c:v>-1.4785196814666817E-3</c:v>
                </c:pt>
                <c:pt idx="1003">
                  <c:v>-1.9504850348842514E-3</c:v>
                </c:pt>
                <c:pt idx="1004">
                  <c:v>-3.4766717960988372E-3</c:v>
                </c:pt>
                <c:pt idx="1005">
                  <c:v>-1.4780329708543268E-3</c:v>
                </c:pt>
                <c:pt idx="1006">
                  <c:v>-1.5444620917389545E-3</c:v>
                </c:pt>
                <c:pt idx="1007">
                  <c:v>-1.2441637786532371E-3</c:v>
                </c:pt>
                <c:pt idx="1008">
                  <c:v>-1.7324020044484957E-3</c:v>
                </c:pt>
                <c:pt idx="1009">
                  <c:v>-7.4297736577006617E-4</c:v>
                </c:pt>
                <c:pt idx="1010">
                  <c:v>-1.9062977592632529E-3</c:v>
                </c:pt>
                <c:pt idx="1011">
                  <c:v>-3.9347137940119537E-3</c:v>
                </c:pt>
                <c:pt idx="1012">
                  <c:v>-3.7240680697533908E-4</c:v>
                </c:pt>
                <c:pt idx="1013">
                  <c:v>-1.0475146224412404E-4</c:v>
                </c:pt>
                <c:pt idx="1014">
                  <c:v>4.5856735827324126E-4</c:v>
                </c:pt>
                <c:pt idx="1015">
                  <c:v>-4.1502184846474682E-4</c:v>
                </c:pt>
                <c:pt idx="1016">
                  <c:v>3.3490977249464584E-3</c:v>
                </c:pt>
                <c:pt idx="1017">
                  <c:v>1.5336252925818136E-3</c:v>
                </c:pt>
                <c:pt idx="1018">
                  <c:v>-1.923857078829647E-4</c:v>
                </c:pt>
                <c:pt idx="1019">
                  <c:v>-2.8835506932086458E-3</c:v>
                </c:pt>
                <c:pt idx="1020">
                  <c:v>-1.8119689963144209E-3</c:v>
                </c:pt>
                <c:pt idx="1021">
                  <c:v>3.468155967858744E-5</c:v>
                </c:pt>
                <c:pt idx="1022">
                  <c:v>1.0493800087054174E-3</c:v>
                </c:pt>
                <c:pt idx="1023">
                  <c:v>9.3535632430656308E-4</c:v>
                </c:pt>
                <c:pt idx="1024">
                  <c:v>2.5326946698490897E-3</c:v>
                </c:pt>
                <c:pt idx="1025">
                  <c:v>1.9631693630863555E-3</c:v>
                </c:pt>
                <c:pt idx="1026">
                  <c:v>1.1662062122969499E-3</c:v>
                </c:pt>
                <c:pt idx="1027">
                  <c:v>4.9464696594259485E-4</c:v>
                </c:pt>
                <c:pt idx="1028">
                  <c:v>-6.230700217023228E-3</c:v>
                </c:pt>
                <c:pt idx="1029">
                  <c:v>-2.2283366686322863E-3</c:v>
                </c:pt>
                <c:pt idx="1030">
                  <c:v>-1.0726937708911575E-3</c:v>
                </c:pt>
                <c:pt idx="1031">
                  <c:v>-8.9675777746277307E-4</c:v>
                </c:pt>
                <c:pt idx="1032">
                  <c:v>-3.344633408098506E-3</c:v>
                </c:pt>
                <c:pt idx="1033">
                  <c:v>-1.186423032563896E-2</c:v>
                </c:pt>
                <c:pt idx="1034">
                  <c:v>-9.3149314147440796E-3</c:v>
                </c:pt>
                <c:pt idx="1035">
                  <c:v>-3.9241230584559673E-3</c:v>
                </c:pt>
                <c:pt idx="1036">
                  <c:v>-5.7646844439494821E-5</c:v>
                </c:pt>
                <c:pt idx="1037">
                  <c:v>-3.2631008174209635E-3</c:v>
                </c:pt>
                <c:pt idx="1038">
                  <c:v>-5.5254032776300543E-3</c:v>
                </c:pt>
                <c:pt idx="1039">
                  <c:v>-4.2368056286846379E-3</c:v>
                </c:pt>
                <c:pt idx="1040">
                  <c:v>2.8376908577779298E-5</c:v>
                </c:pt>
                <c:pt idx="1041">
                  <c:v>-2.8847332629128292E-5</c:v>
                </c:pt>
                <c:pt idx="1042">
                  <c:v>-2.1163186584070856E-3</c:v>
                </c:pt>
                <c:pt idx="1043">
                  <c:v>-6.809027539007308E-3</c:v>
                </c:pt>
                <c:pt idx="1044">
                  <c:v>-6.3654683591329595E-3</c:v>
                </c:pt>
                <c:pt idx="1045">
                  <c:v>-6.4792771657844186E-3</c:v>
                </c:pt>
                <c:pt idx="1046">
                  <c:v>-8.3229987544530273E-4</c:v>
                </c:pt>
                <c:pt idx="1047">
                  <c:v>-1.2155598183567862E-3</c:v>
                </c:pt>
                <c:pt idx="1048">
                  <c:v>5.7738524372493306E-4</c:v>
                </c:pt>
                <c:pt idx="1049">
                  <c:v>-3.2918682818736372E-4</c:v>
                </c:pt>
                <c:pt idx="1050">
                  <c:v>1.5272150759045581E-4</c:v>
                </c:pt>
                <c:pt idx="1051">
                  <c:v>-8.2375992800760964E-4</c:v>
                </c:pt>
                <c:pt idx="1052">
                  <c:v>-2.2430324219169006E-3</c:v>
                </c:pt>
                <c:pt idx="1053">
                  <c:v>-2.2082648901964484E-3</c:v>
                </c:pt>
                <c:pt idx="1054">
                  <c:v>-3.539473530396282E-4</c:v>
                </c:pt>
                <c:pt idx="1055">
                  <c:v>-1.7444557374934884E-3</c:v>
                </c:pt>
                <c:pt idx="1056">
                  <c:v>-1.4229320135113962E-3</c:v>
                </c:pt>
                <c:pt idx="1057">
                  <c:v>4.7560458066755811E-4</c:v>
                </c:pt>
                <c:pt idx="1058">
                  <c:v>-1.601366669697092E-3</c:v>
                </c:pt>
                <c:pt idx="1059">
                  <c:v>-2.0198305243184825E-3</c:v>
                </c:pt>
                <c:pt idx="1060">
                  <c:v>-1.2905116226968984E-3</c:v>
                </c:pt>
                <c:pt idx="1061">
                  <c:v>1.2042448585112184E-3</c:v>
                </c:pt>
                <c:pt idx="1062">
                  <c:v>2.5956028630462888E-3</c:v>
                </c:pt>
                <c:pt idx="1063">
                  <c:v>-2.9547195858939889E-3</c:v>
                </c:pt>
                <c:pt idx="1064">
                  <c:v>-1.1426274107203547E-3</c:v>
                </c:pt>
                <c:pt idx="1065">
                  <c:v>-5.4173568569079429E-4</c:v>
                </c:pt>
                <c:pt idx="1066">
                  <c:v>-1.1648966181592056E-3</c:v>
                </c:pt>
                <c:pt idx="1067">
                  <c:v>-2.56571535044565E-3</c:v>
                </c:pt>
                <c:pt idx="1068">
                  <c:v>-3.4580935513226631E-3</c:v>
                </c:pt>
                <c:pt idx="1069">
                  <c:v>3.419898608229206E-4</c:v>
                </c:pt>
                <c:pt idx="1070">
                  <c:v>5.1618880502822865E-4</c:v>
                </c:pt>
                <c:pt idx="1071">
                  <c:v>3.6340028040029596E-3</c:v>
                </c:pt>
                <c:pt idx="1072">
                  <c:v>4.0128251251843423E-3</c:v>
                </c:pt>
                <c:pt idx="1073">
                  <c:v>2.6243927367279041E-3</c:v>
                </c:pt>
                <c:pt idx="1074">
                  <c:v>2.2788989981890728E-3</c:v>
                </c:pt>
                <c:pt idx="1075">
                  <c:v>6.8592911412755045E-4</c:v>
                </c:pt>
                <c:pt idx="1076">
                  <c:v>7.9373504158862182E-4</c:v>
                </c:pt>
                <c:pt idx="1077">
                  <c:v>5.8323478333909093E-4</c:v>
                </c:pt>
                <c:pt idx="1078">
                  <c:v>9.6774617728049824E-4</c:v>
                </c:pt>
                <c:pt idx="1079">
                  <c:v>4.1652746835352846E-4</c:v>
                </c:pt>
                <c:pt idx="1080">
                  <c:v>-1.2780528890540067E-4</c:v>
                </c:pt>
                <c:pt idx="1081">
                  <c:v>-6.6470153680986941E-4</c:v>
                </c:pt>
                <c:pt idx="1082">
                  <c:v>3.7419846329209274E-4</c:v>
                </c:pt>
                <c:pt idx="1083">
                  <c:v>1.5807362697496582E-4</c:v>
                </c:pt>
                <c:pt idx="1084">
                  <c:v>-4.1647203624573643E-4</c:v>
                </c:pt>
                <c:pt idx="1085">
                  <c:v>-8.7161209955945304E-4</c:v>
                </c:pt>
                <c:pt idx="1086">
                  <c:v>-3.0778995788920379E-3</c:v>
                </c:pt>
                <c:pt idx="1087">
                  <c:v>-1.357284047884278E-3</c:v>
                </c:pt>
                <c:pt idx="1088">
                  <c:v>-4.8696951416548175E-4</c:v>
                </c:pt>
                <c:pt idx="1089">
                  <c:v>-6.7423769154950554E-4</c:v>
                </c:pt>
                <c:pt idx="1090">
                  <c:v>5.5476557153561661E-4</c:v>
                </c:pt>
                <c:pt idx="1091">
                  <c:v>8.7246022081066037E-4</c:v>
                </c:pt>
                <c:pt idx="1092">
                  <c:v>1.7031265669793642E-3</c:v>
                </c:pt>
                <c:pt idx="1093">
                  <c:v>1.1423895414258475E-3</c:v>
                </c:pt>
                <c:pt idx="1094">
                  <c:v>-4.9067022657639937E-4</c:v>
                </c:pt>
                <c:pt idx="1095">
                  <c:v>6.2055383132114217E-4</c:v>
                </c:pt>
                <c:pt idx="1096">
                  <c:v>-7.4253679682208338E-5</c:v>
                </c:pt>
                <c:pt idx="1097">
                  <c:v>3.119611141304098E-4</c:v>
                </c:pt>
                <c:pt idx="1098">
                  <c:v>-4.7404701941487493E-3</c:v>
                </c:pt>
                <c:pt idx="1099">
                  <c:v>-1.376637918366345E-3</c:v>
                </c:pt>
                <c:pt idx="1100">
                  <c:v>-3.789661546811074E-3</c:v>
                </c:pt>
                <c:pt idx="1101">
                  <c:v>-8.3314581129213527E-3</c:v>
                </c:pt>
                <c:pt idx="1102">
                  <c:v>2.0678830667534101E-3</c:v>
                </c:pt>
                <c:pt idx="1103">
                  <c:v>2.5479574379894247E-3</c:v>
                </c:pt>
                <c:pt idx="1104">
                  <c:v>-1.2629811161791868E-3</c:v>
                </c:pt>
                <c:pt idx="1105">
                  <c:v>2.9506458119969156E-4</c:v>
                </c:pt>
                <c:pt idx="1106">
                  <c:v>7.7800331362331437E-4</c:v>
                </c:pt>
                <c:pt idx="1107">
                  <c:v>2.8756460414476701E-4</c:v>
                </c:pt>
                <c:pt idx="1108">
                  <c:v>1.2543549256467711E-3</c:v>
                </c:pt>
                <c:pt idx="1109">
                  <c:v>1.3388402789099494E-3</c:v>
                </c:pt>
                <c:pt idx="1110">
                  <c:v>3.4010041348678179E-5</c:v>
                </c:pt>
                <c:pt idx="1111">
                  <c:v>8.0887657360386226E-4</c:v>
                </c:pt>
                <c:pt idx="1112">
                  <c:v>-7.3292984362728002E-4</c:v>
                </c:pt>
                <c:pt idx="1113">
                  <c:v>-1.8849757994593773E-3</c:v>
                </c:pt>
                <c:pt idx="1114">
                  <c:v>1.9174614859438169E-3</c:v>
                </c:pt>
                <c:pt idx="1115">
                  <c:v>4.3278535067781763E-3</c:v>
                </c:pt>
                <c:pt idx="1116">
                  <c:v>2.2919687500284579E-3</c:v>
                </c:pt>
                <c:pt idx="1117">
                  <c:v>1.4619682504633275E-3</c:v>
                </c:pt>
                <c:pt idx="1118">
                  <c:v>2.0039324450549182E-3</c:v>
                </c:pt>
                <c:pt idx="1119">
                  <c:v>3.5179715507715245E-4</c:v>
                </c:pt>
                <c:pt idx="1120">
                  <c:v>7.1688766492827719E-4</c:v>
                </c:pt>
                <c:pt idx="1121">
                  <c:v>1.0212460702593879E-3</c:v>
                </c:pt>
                <c:pt idx="1122">
                  <c:v>1.6804723479749836E-3</c:v>
                </c:pt>
                <c:pt idx="1123">
                  <c:v>1.4037222756780818E-4</c:v>
                </c:pt>
                <c:pt idx="1124">
                  <c:v>-2.5250358548832878E-4</c:v>
                </c:pt>
                <c:pt idx="1125">
                  <c:v>1.0315480276656204E-4</c:v>
                </c:pt>
                <c:pt idx="1126">
                  <c:v>5.622035711411687E-6</c:v>
                </c:pt>
                <c:pt idx="1127">
                  <c:v>1.4567916333655718E-4</c:v>
                </c:pt>
                <c:pt idx="1128">
                  <c:v>4.2884191098688728E-4</c:v>
                </c:pt>
                <c:pt idx="1129">
                  <c:v>6.920650224242807E-4</c:v>
                </c:pt>
                <c:pt idx="1130">
                  <c:v>1.8853847339794735E-3</c:v>
                </c:pt>
                <c:pt idx="1131">
                  <c:v>-5.7250216352555281E-4</c:v>
                </c:pt>
                <c:pt idx="1132">
                  <c:v>-8.3784367575680447E-5</c:v>
                </c:pt>
                <c:pt idx="1133">
                  <c:v>-2.9335213890574825E-3</c:v>
                </c:pt>
                <c:pt idx="1134">
                  <c:v>-3.3840069722365532E-4</c:v>
                </c:pt>
                <c:pt idx="1135">
                  <c:v>3.2606521985205509E-3</c:v>
                </c:pt>
                <c:pt idx="1136">
                  <c:v>-1.184675773071653E-3</c:v>
                </c:pt>
                <c:pt idx="1137">
                  <c:v>-2.2617627647193625E-3</c:v>
                </c:pt>
                <c:pt idx="1138">
                  <c:v>6.9100379091491357E-4</c:v>
                </c:pt>
                <c:pt idx="1139">
                  <c:v>4.77887973714355E-4</c:v>
                </c:pt>
                <c:pt idx="1140">
                  <c:v>1.209830530357897E-4</c:v>
                </c:pt>
                <c:pt idx="1141">
                  <c:v>-3.4203616932098206E-5</c:v>
                </c:pt>
                <c:pt idx="1142">
                  <c:v>3.6923862911886858E-4</c:v>
                </c:pt>
                <c:pt idx="1143">
                  <c:v>2.0156859320192835E-3</c:v>
                </c:pt>
                <c:pt idx="1144">
                  <c:v>1.7195935934145585E-4</c:v>
                </c:pt>
                <c:pt idx="1145">
                  <c:v>6.521782399833328E-4</c:v>
                </c:pt>
                <c:pt idx="1146">
                  <c:v>5.5091246399894124E-4</c:v>
                </c:pt>
                <c:pt idx="1147">
                  <c:v>7.3637556517055559E-4</c:v>
                </c:pt>
                <c:pt idx="1148">
                  <c:v>2.7162932911566767E-4</c:v>
                </c:pt>
                <c:pt idx="1149">
                  <c:v>1.3250859705534758E-5</c:v>
                </c:pt>
                <c:pt idx="1150">
                  <c:v>5.4284583605043941E-4</c:v>
                </c:pt>
                <c:pt idx="1151">
                  <c:v>-3.1839845755656556E-4</c:v>
                </c:pt>
                <c:pt idx="1152">
                  <c:v>4.4761105095595603E-4</c:v>
                </c:pt>
                <c:pt idx="1153">
                  <c:v>2.1820449692968571E-4</c:v>
                </c:pt>
                <c:pt idx="1154">
                  <c:v>7.3074980882534735E-4</c:v>
                </c:pt>
                <c:pt idx="1155">
                  <c:v>4.3749013649261334E-4</c:v>
                </c:pt>
                <c:pt idx="1156">
                  <c:v>-4.0119013214287439E-5</c:v>
                </c:pt>
                <c:pt idx="1157">
                  <c:v>7.9631825060810834E-5</c:v>
                </c:pt>
                <c:pt idx="1158">
                  <c:v>5.5116288506475001E-4</c:v>
                </c:pt>
                <c:pt idx="1159">
                  <c:v>-8.3552740944191827E-5</c:v>
                </c:pt>
                <c:pt idx="1160">
                  <c:v>3.4224496640011966E-4</c:v>
                </c:pt>
                <c:pt idx="1161">
                  <c:v>-3.7836593241701716E-6</c:v>
                </c:pt>
                <c:pt idx="1162">
                  <c:v>1.5668547525849168E-4</c:v>
                </c:pt>
                <c:pt idx="1163">
                  <c:v>-2.9167507843516502E-4</c:v>
                </c:pt>
                <c:pt idx="1164">
                  <c:v>2.2544435824572225E-5</c:v>
                </c:pt>
                <c:pt idx="1165">
                  <c:v>-1.2763893816059848E-5</c:v>
                </c:pt>
                <c:pt idx="1166">
                  <c:v>-4.0136151351534378E-4</c:v>
                </c:pt>
                <c:pt idx="1167">
                  <c:v>-1.0391819566869993E-4</c:v>
                </c:pt>
                <c:pt idx="1168">
                  <c:v>3.3049243468712803E-5</c:v>
                </c:pt>
                <c:pt idx="1169">
                  <c:v>1.4770440938702051E-4</c:v>
                </c:pt>
                <c:pt idx="1170">
                  <c:v>1.8893381966829772E-4</c:v>
                </c:pt>
                <c:pt idx="1171">
                  <c:v>9.9935733747275805E-4</c:v>
                </c:pt>
                <c:pt idx="1172">
                  <c:v>2.1770454883538555E-4</c:v>
                </c:pt>
                <c:pt idx="1173">
                  <c:v>-6.6657416033963541E-4</c:v>
                </c:pt>
                <c:pt idx="1174">
                  <c:v>-2.7808288516930962E-4</c:v>
                </c:pt>
                <c:pt idx="1175">
                  <c:v>4.3287558363948461E-4</c:v>
                </c:pt>
                <c:pt idx="1176">
                  <c:v>-1.7000314992972169E-4</c:v>
                </c:pt>
                <c:pt idx="1177">
                  <c:v>-6.5942162194558508E-4</c:v>
                </c:pt>
                <c:pt idx="1178">
                  <c:v>-8.9107635817821005E-4</c:v>
                </c:pt>
                <c:pt idx="1179">
                  <c:v>-9.4387125091830099E-4</c:v>
                </c:pt>
                <c:pt idx="1180">
                  <c:v>7.2655947896123926E-5</c:v>
                </c:pt>
                <c:pt idx="1181">
                  <c:v>-1.5361997731764437E-4</c:v>
                </c:pt>
                <c:pt idx="1182">
                  <c:v>-7.1330567400790126E-5</c:v>
                </c:pt>
                <c:pt idx="1183">
                  <c:v>2.6418327315504283E-4</c:v>
                </c:pt>
                <c:pt idx="1184">
                  <c:v>-5.8797398479602152E-5</c:v>
                </c:pt>
                <c:pt idx="1185">
                  <c:v>1.0262669655444305E-3</c:v>
                </c:pt>
                <c:pt idx="1186">
                  <c:v>3.1028622957641864E-4</c:v>
                </c:pt>
                <c:pt idx="1187">
                  <c:v>2.0400481764855458E-4</c:v>
                </c:pt>
                <c:pt idx="1188">
                  <c:v>8.7453566244113229E-4</c:v>
                </c:pt>
                <c:pt idx="1189">
                  <c:v>-2.1513357648054277E-4</c:v>
                </c:pt>
                <c:pt idx="1190">
                  <c:v>-4.0979596878707987E-4</c:v>
                </c:pt>
                <c:pt idx="1191">
                  <c:v>7.6752568800356939E-4</c:v>
                </c:pt>
                <c:pt idx="1192">
                  <c:v>-5.4449435360165725E-4</c:v>
                </c:pt>
                <c:pt idx="1193">
                  <c:v>5.2947726937067397E-4</c:v>
                </c:pt>
                <c:pt idx="1194">
                  <c:v>-1.6929600086217544E-4</c:v>
                </c:pt>
                <c:pt idx="1195">
                  <c:v>-1.7650134312442146E-3</c:v>
                </c:pt>
                <c:pt idx="1196">
                  <c:v>6.7023834130580185E-5</c:v>
                </c:pt>
                <c:pt idx="1197">
                  <c:v>-3.6657686177566398E-4</c:v>
                </c:pt>
                <c:pt idx="1198">
                  <c:v>7.0643681330776376E-4</c:v>
                </c:pt>
                <c:pt idx="1199">
                  <c:v>4.6949316181975885E-4</c:v>
                </c:pt>
                <c:pt idx="1200">
                  <c:v>2.7453088500639113E-4</c:v>
                </c:pt>
                <c:pt idx="1201">
                  <c:v>-3.927510344788932E-4</c:v>
                </c:pt>
                <c:pt idx="1202">
                  <c:v>4.4023971078157936E-4</c:v>
                </c:pt>
                <c:pt idx="1203">
                  <c:v>-4.0986466008471965E-4</c:v>
                </c:pt>
                <c:pt idx="1204">
                  <c:v>-6.2595165446699473E-4</c:v>
                </c:pt>
                <c:pt idx="1205">
                  <c:v>1.0841414841206349E-4</c:v>
                </c:pt>
                <c:pt idx="1206">
                  <c:v>1.0479166963883514E-3</c:v>
                </c:pt>
                <c:pt idx="1207">
                  <c:v>1.1739628018067631E-3</c:v>
                </c:pt>
                <c:pt idx="1208">
                  <c:v>3.7130759823155986E-4</c:v>
                </c:pt>
                <c:pt idx="1209">
                  <c:v>-1.0258318772319664E-4</c:v>
                </c:pt>
                <c:pt idx="1210">
                  <c:v>-5.2633355239381843E-4</c:v>
                </c:pt>
                <c:pt idx="1211">
                  <c:v>-1.5881140107792556E-3</c:v>
                </c:pt>
                <c:pt idx="1212">
                  <c:v>-1.326984813796379E-3</c:v>
                </c:pt>
                <c:pt idx="1213">
                  <c:v>-1.8406618261190249E-3</c:v>
                </c:pt>
                <c:pt idx="1214">
                  <c:v>-3.2531997917497179E-3</c:v>
                </c:pt>
                <c:pt idx="1215">
                  <c:v>-9.1560689579041473E-4</c:v>
                </c:pt>
                <c:pt idx="1216">
                  <c:v>-1.1897870326350515E-4</c:v>
                </c:pt>
                <c:pt idx="1217">
                  <c:v>2.6106854703967846E-4</c:v>
                </c:pt>
                <c:pt idx="1218">
                  <c:v>-2.1010118832834421E-4</c:v>
                </c:pt>
                <c:pt idx="1219">
                  <c:v>2.6904661015588415E-5</c:v>
                </c:pt>
                <c:pt idx="1220">
                  <c:v>4.7818152929038349E-4</c:v>
                </c:pt>
                <c:pt idx="1221">
                  <c:v>4.4730697852962079E-4</c:v>
                </c:pt>
                <c:pt idx="1222">
                  <c:v>-6.6641897557221915E-4</c:v>
                </c:pt>
                <c:pt idx="1223">
                  <c:v>-1.160673869667874E-3</c:v>
                </c:pt>
                <c:pt idx="1224">
                  <c:v>-7.6711783148133289E-4</c:v>
                </c:pt>
                <c:pt idx="1225">
                  <c:v>-1.2862749709970874E-3</c:v>
                </c:pt>
                <c:pt idx="1226">
                  <c:v>1.08542424297617E-4</c:v>
                </c:pt>
                <c:pt idx="1227">
                  <c:v>2.8878251958205806E-4</c:v>
                </c:pt>
                <c:pt idx="1228">
                  <c:v>4.9869585219811086E-4</c:v>
                </c:pt>
                <c:pt idx="1229">
                  <c:v>-9.4868846388484486E-5</c:v>
                </c:pt>
                <c:pt idx="1230">
                  <c:v>-1.1713840803349065E-4</c:v>
                </c:pt>
                <c:pt idx="1231">
                  <c:v>1.0024807971674394E-4</c:v>
                </c:pt>
                <c:pt idx="1232">
                  <c:v>7.4162550486314303E-4</c:v>
                </c:pt>
                <c:pt idx="1233">
                  <c:v>2.604104547656966E-4</c:v>
                </c:pt>
                <c:pt idx="1234">
                  <c:v>9.4347604396038563E-4</c:v>
                </c:pt>
                <c:pt idx="1235">
                  <c:v>6.2815793541477825E-4</c:v>
                </c:pt>
                <c:pt idx="1236">
                  <c:v>1.9264027437887368E-5</c:v>
                </c:pt>
                <c:pt idx="1237">
                  <c:v>-4.7183518311266531E-5</c:v>
                </c:pt>
                <c:pt idx="1238">
                  <c:v>1.6963245690389635E-4</c:v>
                </c:pt>
                <c:pt idx="1239">
                  <c:v>5.7569434501645212E-4</c:v>
                </c:pt>
                <c:pt idx="1240">
                  <c:v>6.3481581705549721E-5</c:v>
                </c:pt>
                <c:pt idx="1241">
                  <c:v>-6.0976908753807078E-4</c:v>
                </c:pt>
                <c:pt idx="1242">
                  <c:v>-9.4224520662410766E-5</c:v>
                </c:pt>
                <c:pt idx="1243">
                  <c:v>-4.8780364385821889E-4</c:v>
                </c:pt>
                <c:pt idx="1244">
                  <c:v>-1.8824651959767146E-4</c:v>
                </c:pt>
                <c:pt idx="1245">
                  <c:v>1.0839359484301629E-4</c:v>
                </c:pt>
                <c:pt idx="1246">
                  <c:v>1.3271135790733002E-3</c:v>
                </c:pt>
                <c:pt idx="1247">
                  <c:v>1.1618796749629105E-4</c:v>
                </c:pt>
                <c:pt idx="1248">
                  <c:v>4.225880757493971E-4</c:v>
                </c:pt>
                <c:pt idx="1249">
                  <c:v>-4.088919268284112E-4</c:v>
                </c:pt>
                <c:pt idx="1250">
                  <c:v>-5.5170314919879455E-4</c:v>
                </c:pt>
                <c:pt idx="1251">
                  <c:v>-3.9181002852769359E-4</c:v>
                </c:pt>
                <c:pt idx="1252">
                  <c:v>-1.0995029423407476E-3</c:v>
                </c:pt>
                <c:pt idx="1253">
                  <c:v>-5.9325838358090385E-4</c:v>
                </c:pt>
                <c:pt idx="1254">
                  <c:v>8.1270396221169174E-4</c:v>
                </c:pt>
                <c:pt idx="1255">
                  <c:v>3.196957549715184E-4</c:v>
                </c:pt>
                <c:pt idx="1256">
                  <c:v>1.3006445445020039E-5</c:v>
                </c:pt>
                <c:pt idx="1257">
                  <c:v>3.8228831945643786E-4</c:v>
                </c:pt>
                <c:pt idx="1258">
                  <c:v>-4.0203401296807573E-5</c:v>
                </c:pt>
                <c:pt idx="1259">
                  <c:v>7.6759695245139212E-5</c:v>
                </c:pt>
                <c:pt idx="1260">
                  <c:v>-6.4754761141975299E-4</c:v>
                </c:pt>
                <c:pt idx="1261">
                  <c:v>-1.1113724115081175E-4</c:v>
                </c:pt>
                <c:pt idx="1262">
                  <c:v>8.721204089587732E-6</c:v>
                </c:pt>
                <c:pt idx="1263">
                  <c:v>-1.7541213172144059E-4</c:v>
                </c:pt>
                <c:pt idx="1264">
                  <c:v>6.5863054291155762E-5</c:v>
                </c:pt>
                <c:pt idx="1265">
                  <c:v>4.6184065846991573E-4</c:v>
                </c:pt>
                <c:pt idx="1266">
                  <c:v>-4.6936497073655001E-4</c:v>
                </c:pt>
                <c:pt idx="1267">
                  <c:v>7.3583205916889229E-5</c:v>
                </c:pt>
                <c:pt idx="1268">
                  <c:v>6.263105201062552E-4</c:v>
                </c:pt>
                <c:pt idx="1269">
                  <c:v>5.0989749843056184E-4</c:v>
                </c:pt>
                <c:pt idx="1270">
                  <c:v>7.5522322111492538E-4</c:v>
                </c:pt>
                <c:pt idx="1271">
                  <c:v>2.1364471235572175E-4</c:v>
                </c:pt>
                <c:pt idx="1272">
                  <c:v>-2.1690271066947687E-5</c:v>
                </c:pt>
                <c:pt idx="1273">
                  <c:v>2.3237691523047752E-4</c:v>
                </c:pt>
                <c:pt idx="1274">
                  <c:v>-7.7215113312468376E-3</c:v>
                </c:pt>
                <c:pt idx="1275">
                  <c:v>-5.9202492618442614E-3</c:v>
                </c:pt>
                <c:pt idx="1276">
                  <c:v>-7.4518368330151793E-3</c:v>
                </c:pt>
                <c:pt idx="1277">
                  <c:v>-4.0876721609488268E-3</c:v>
                </c:pt>
                <c:pt idx="1278">
                  <c:v>-1.4763994136442579E-3</c:v>
                </c:pt>
                <c:pt idx="1279">
                  <c:v>-5.3033875893948926E-4</c:v>
                </c:pt>
                <c:pt idx="1280">
                  <c:v>-4.1786691967728303E-4</c:v>
                </c:pt>
                <c:pt idx="1281">
                  <c:v>-1.2813191037329295E-3</c:v>
                </c:pt>
                <c:pt idx="1282">
                  <c:v>-1.3966001600301651E-3</c:v>
                </c:pt>
                <c:pt idx="1283">
                  <c:v>-9.2938368721685741E-4</c:v>
                </c:pt>
                <c:pt idx="1284">
                  <c:v>-6.299548361932692E-4</c:v>
                </c:pt>
                <c:pt idx="1285">
                  <c:v>-1.8918799937619752E-4</c:v>
                </c:pt>
                <c:pt idx="1286">
                  <c:v>-4.8022516945664932E-4</c:v>
                </c:pt>
                <c:pt idx="1287">
                  <c:v>-1.7296186829730421E-4</c:v>
                </c:pt>
                <c:pt idx="1288">
                  <c:v>-2.5344415523872055E-4</c:v>
                </c:pt>
                <c:pt idx="1289">
                  <c:v>-8.9310248031424107E-4</c:v>
                </c:pt>
                <c:pt idx="1290">
                  <c:v>-1.0272920041899721E-3</c:v>
                </c:pt>
                <c:pt idx="1291">
                  <c:v>-9.7931476144656445E-4</c:v>
                </c:pt>
                <c:pt idx="1292">
                  <c:v>-9.2365231135304899E-4</c:v>
                </c:pt>
                <c:pt idx="1293">
                  <c:v>2.5970285099163052E-4</c:v>
                </c:pt>
                <c:pt idx="1294">
                  <c:v>-3.9525254242952612E-4</c:v>
                </c:pt>
                <c:pt idx="1295">
                  <c:v>4.8807783135020912E-4</c:v>
                </c:pt>
                <c:pt idx="1296">
                  <c:v>9.1896643676775977E-4</c:v>
                </c:pt>
                <c:pt idx="1297">
                  <c:v>3.5059180535743214E-4</c:v>
                </c:pt>
                <c:pt idx="1298">
                  <c:v>7.3047636125093312E-4</c:v>
                </c:pt>
                <c:pt idx="1299">
                  <c:v>3.3066466108476743E-4</c:v>
                </c:pt>
                <c:pt idx="1300">
                  <c:v>7.3015776638114393E-5</c:v>
                </c:pt>
                <c:pt idx="1301">
                  <c:v>1.4871696107293729E-5</c:v>
                </c:pt>
                <c:pt idx="1302">
                  <c:v>-3.3519928375863432E-4</c:v>
                </c:pt>
                <c:pt idx="1303">
                  <c:v>-1.5431548628703044E-3</c:v>
                </c:pt>
                <c:pt idx="1304">
                  <c:v>-4.9606822612962443E-3</c:v>
                </c:pt>
                <c:pt idx="1305">
                  <c:v>-2.1178315739660814E-3</c:v>
                </c:pt>
                <c:pt idx="1306">
                  <c:v>-1.8397727555897103E-4</c:v>
                </c:pt>
                <c:pt idx="1307">
                  <c:v>-1.1434681052561132E-3</c:v>
                </c:pt>
                <c:pt idx="1308">
                  <c:v>-4.6899084635390522E-3</c:v>
                </c:pt>
                <c:pt idx="1309">
                  <c:v>-1.3462398331752886E-4</c:v>
                </c:pt>
                <c:pt idx="1310">
                  <c:v>8.4696804206115298E-4</c:v>
                </c:pt>
                <c:pt idx="1311">
                  <c:v>1.316129131379914E-3</c:v>
                </c:pt>
                <c:pt idx="1312">
                  <c:v>-9.5872213743758796E-5</c:v>
                </c:pt>
                <c:pt idx="1313">
                  <c:v>2.5089111645289501E-4</c:v>
                </c:pt>
                <c:pt idx="1314">
                  <c:v>2.6894869066468845E-4</c:v>
                </c:pt>
                <c:pt idx="1315">
                  <c:v>4.2232326330692341E-4</c:v>
                </c:pt>
                <c:pt idx="1316">
                  <c:v>-2.752335131441513E-4</c:v>
                </c:pt>
                <c:pt idx="1317">
                  <c:v>-6.6496859318212224E-3</c:v>
                </c:pt>
                <c:pt idx="1318">
                  <c:v>-6.3493248115171156E-3</c:v>
                </c:pt>
                <c:pt idx="1319">
                  <c:v>-1.5812493120059134E-3</c:v>
                </c:pt>
                <c:pt idx="1320">
                  <c:v>7.9443578335138074E-4</c:v>
                </c:pt>
                <c:pt idx="1321">
                  <c:v>-2.9720275736003628E-4</c:v>
                </c:pt>
                <c:pt idx="1322">
                  <c:v>9.3479503991545645E-5</c:v>
                </c:pt>
                <c:pt idx="1323">
                  <c:v>-1.5829005883577767E-4</c:v>
                </c:pt>
                <c:pt idx="1324">
                  <c:v>1.5619463042580478E-4</c:v>
                </c:pt>
                <c:pt idx="1325">
                  <c:v>5.1856130598704241E-4</c:v>
                </c:pt>
                <c:pt idx="1326">
                  <c:v>-7.6925537540086918E-5</c:v>
                </c:pt>
                <c:pt idx="1327">
                  <c:v>2.3244746920920073E-4</c:v>
                </c:pt>
                <c:pt idx="1328">
                  <c:v>-5.6092069652571809E-4</c:v>
                </c:pt>
                <c:pt idx="1329">
                  <c:v>-2.010387796923754E-4</c:v>
                </c:pt>
                <c:pt idx="1330">
                  <c:v>3.6268036559797929E-4</c:v>
                </c:pt>
                <c:pt idx="1331">
                  <c:v>-8.6637104101427922E-5</c:v>
                </c:pt>
                <c:pt idx="1332">
                  <c:v>4.0836249219497342E-4</c:v>
                </c:pt>
                <c:pt idx="1333">
                  <c:v>-1.4124414082207341E-5</c:v>
                </c:pt>
                <c:pt idx="1334">
                  <c:v>-6.7955059748356947E-5</c:v>
                </c:pt>
                <c:pt idx="1335">
                  <c:v>-2.6049663870880669E-4</c:v>
                </c:pt>
                <c:pt idx="1336">
                  <c:v>-4.5235037481382209E-4</c:v>
                </c:pt>
                <c:pt idx="1337">
                  <c:v>-7.3043137546607905E-5</c:v>
                </c:pt>
                <c:pt idx="1338">
                  <c:v>-1.3108772917393328E-3</c:v>
                </c:pt>
                <c:pt idx="1339">
                  <c:v>-3.0907130862324653E-3</c:v>
                </c:pt>
                <c:pt idx="1340">
                  <c:v>-1.3980904439313654E-4</c:v>
                </c:pt>
                <c:pt idx="1341">
                  <c:v>3.5795520708465761E-4</c:v>
                </c:pt>
                <c:pt idx="1342">
                  <c:v>2.0209138421652801E-4</c:v>
                </c:pt>
                <c:pt idx="1343">
                  <c:v>-3.8345663813216816E-4</c:v>
                </c:pt>
                <c:pt idx="1344">
                  <c:v>-3.9229633168795248E-4</c:v>
                </c:pt>
                <c:pt idx="1345">
                  <c:v>8.4685987258335252E-4</c:v>
                </c:pt>
                <c:pt idx="1346">
                  <c:v>9.1258066781534932E-4</c:v>
                </c:pt>
                <c:pt idx="1347">
                  <c:v>1.9842774859589457E-4</c:v>
                </c:pt>
                <c:pt idx="1348">
                  <c:v>6.0478655868822714E-4</c:v>
                </c:pt>
                <c:pt idx="1349">
                  <c:v>2.3478660512347982E-4</c:v>
                </c:pt>
                <c:pt idx="1350">
                  <c:v>-7.0396308041561465E-5</c:v>
                </c:pt>
                <c:pt idx="1351">
                  <c:v>1.5343752831835188E-4</c:v>
                </c:pt>
                <c:pt idx="1352">
                  <c:v>4.2545774597342438E-4</c:v>
                </c:pt>
                <c:pt idx="1353">
                  <c:v>9.6822388871880063E-4</c:v>
                </c:pt>
                <c:pt idx="1354">
                  <c:v>3.001783714608121E-4</c:v>
                </c:pt>
                <c:pt idx="1355">
                  <c:v>2.4803050518435111E-4</c:v>
                </c:pt>
                <c:pt idx="1356">
                  <c:v>-5.0082884478573457E-5</c:v>
                </c:pt>
                <c:pt idx="1357">
                  <c:v>-1.3760931451101692E-3</c:v>
                </c:pt>
                <c:pt idx="1358">
                  <c:v>-1.0050972789367287E-3</c:v>
                </c:pt>
                <c:pt idx="1359">
                  <c:v>-1.8412018924826214E-3</c:v>
                </c:pt>
                <c:pt idx="1360">
                  <c:v>-2.9248811661715126E-3</c:v>
                </c:pt>
                <c:pt idx="1361">
                  <c:v>-4.5940403837925843E-3</c:v>
                </c:pt>
                <c:pt idx="1362">
                  <c:v>-2.7742418804071311E-3</c:v>
                </c:pt>
                <c:pt idx="1363">
                  <c:v>-1.6897717835220034E-4</c:v>
                </c:pt>
                <c:pt idx="1364">
                  <c:v>-3.3826698936843504E-4</c:v>
                </c:pt>
                <c:pt idx="1365">
                  <c:v>-6.5121082748061023E-4</c:v>
                </c:pt>
                <c:pt idx="1366">
                  <c:v>1.3992398642087503E-2</c:v>
                </c:pt>
                <c:pt idx="1367">
                  <c:v>1.5181333650662623E-2</c:v>
                </c:pt>
                <c:pt idx="1368">
                  <c:v>1.6000470067898214E-3</c:v>
                </c:pt>
                <c:pt idx="1369">
                  <c:v>5.827728912655959E-4</c:v>
                </c:pt>
                <c:pt idx="1370">
                  <c:v>1.4092592039048092E-4</c:v>
                </c:pt>
                <c:pt idx="1371">
                  <c:v>-2.2383552691498736E-4</c:v>
                </c:pt>
                <c:pt idx="1372">
                  <c:v>5.3228932258819327E-4</c:v>
                </c:pt>
                <c:pt idx="1373">
                  <c:v>6.9804690892317416E-4</c:v>
                </c:pt>
                <c:pt idx="1374">
                  <c:v>1.2119918700386981E-3</c:v>
                </c:pt>
                <c:pt idx="1375">
                  <c:v>5.6133027364288859E-4</c:v>
                </c:pt>
                <c:pt idx="1376">
                  <c:v>-7.1609264502827882E-6</c:v>
                </c:pt>
                <c:pt idx="1377">
                  <c:v>-5.1913612670419934E-4</c:v>
                </c:pt>
                <c:pt idx="1378">
                  <c:v>1.8288424123432106E-4</c:v>
                </c:pt>
                <c:pt idx="1379">
                  <c:v>4.1365854855793108E-5</c:v>
                </c:pt>
                <c:pt idx="1380">
                  <c:v>-2.0573431915996002E-4</c:v>
                </c:pt>
                <c:pt idx="1381">
                  <c:v>-6.5800344399094839E-4</c:v>
                </c:pt>
                <c:pt idx="1382">
                  <c:v>-5.1013599282867083E-4</c:v>
                </c:pt>
                <c:pt idx="1383">
                  <c:v>-2.7446994114511784E-4</c:v>
                </c:pt>
                <c:pt idx="1384">
                  <c:v>4.8049999609648173E-4</c:v>
                </c:pt>
                <c:pt idx="1385">
                  <c:v>2.9979816585521931E-5</c:v>
                </c:pt>
                <c:pt idx="1386">
                  <c:v>3.0504376164955241E-4</c:v>
                </c:pt>
                <c:pt idx="1387">
                  <c:v>-9.7230787072793241E-4</c:v>
                </c:pt>
                <c:pt idx="1388">
                  <c:v>-1.225019123158682E-3</c:v>
                </c:pt>
                <c:pt idx="1389">
                  <c:v>-9.9583928052189173E-5</c:v>
                </c:pt>
                <c:pt idx="1390">
                  <c:v>-4.042104128591928E-4</c:v>
                </c:pt>
                <c:pt idx="1391">
                  <c:v>6.1258758052696585E-5</c:v>
                </c:pt>
                <c:pt idx="1392">
                  <c:v>2.9681835499261979E-4</c:v>
                </c:pt>
                <c:pt idx="1393">
                  <c:v>3.4019175990020526E-4</c:v>
                </c:pt>
                <c:pt idx="1394">
                  <c:v>-7.6807270240222283E-4</c:v>
                </c:pt>
                <c:pt idx="1395">
                  <c:v>-4.7140091809042434E-4</c:v>
                </c:pt>
                <c:pt idx="1396">
                  <c:v>-5.4812389028082407E-4</c:v>
                </c:pt>
                <c:pt idx="1397">
                  <c:v>-6.189848550608052E-4</c:v>
                </c:pt>
                <c:pt idx="1398">
                  <c:v>2.8698412908151615E-4</c:v>
                </c:pt>
                <c:pt idx="1399">
                  <c:v>4.4986395662255732E-4</c:v>
                </c:pt>
                <c:pt idx="1400">
                  <c:v>5.8616172145118121E-4</c:v>
                </c:pt>
                <c:pt idx="1401">
                  <c:v>-3.4790247479920893E-4</c:v>
                </c:pt>
                <c:pt idx="1402">
                  <c:v>2.8586769560103357E-4</c:v>
                </c:pt>
                <c:pt idx="1403">
                  <c:v>-9.3865071579744483E-4</c:v>
                </c:pt>
                <c:pt idx="1404">
                  <c:v>-8.1550644399806284E-4</c:v>
                </c:pt>
                <c:pt idx="1405">
                  <c:v>-2.1388077150978212E-4</c:v>
                </c:pt>
                <c:pt idx="1406">
                  <c:v>1.943328277267698E-4</c:v>
                </c:pt>
                <c:pt idx="1407">
                  <c:v>1.7279409941264011E-4</c:v>
                </c:pt>
                <c:pt idx="1408">
                  <c:v>3.6213856198665754E-4</c:v>
                </c:pt>
                <c:pt idx="1409">
                  <c:v>8.1806987509572434E-4</c:v>
                </c:pt>
                <c:pt idx="1410">
                  <c:v>6.8374946336343995E-4</c:v>
                </c:pt>
                <c:pt idx="1411">
                  <c:v>8.0994095890342551E-4</c:v>
                </c:pt>
                <c:pt idx="1412">
                  <c:v>3.6689837142366824E-4</c:v>
                </c:pt>
                <c:pt idx="1413">
                  <c:v>3.4639765011052951E-4</c:v>
                </c:pt>
                <c:pt idx="1414">
                  <c:v>1.9429926954794776E-4</c:v>
                </c:pt>
                <c:pt idx="1415">
                  <c:v>4.2934562153831434E-4</c:v>
                </c:pt>
                <c:pt idx="1416">
                  <c:v>7.3916334726606653E-4</c:v>
                </c:pt>
                <c:pt idx="1417">
                  <c:v>4.5256646851129877E-4</c:v>
                </c:pt>
                <c:pt idx="1418">
                  <c:v>-1.5215343429956488E-4</c:v>
                </c:pt>
                <c:pt idx="1419">
                  <c:v>-3.8550030507852315E-4</c:v>
                </c:pt>
                <c:pt idx="1420">
                  <c:v>-2.4984260138112362E-5</c:v>
                </c:pt>
                <c:pt idx="1421">
                  <c:v>3.4194163524515365E-3</c:v>
                </c:pt>
                <c:pt idx="1422">
                  <c:v>-8.238483089010424E-4</c:v>
                </c:pt>
                <c:pt idx="1423">
                  <c:v>-3.0564499777364364E-4</c:v>
                </c:pt>
                <c:pt idx="1424">
                  <c:v>-7.4878233874328183E-4</c:v>
                </c:pt>
                <c:pt idx="1425">
                  <c:v>2.4904844573459364E-4</c:v>
                </c:pt>
                <c:pt idx="1426">
                  <c:v>-2.0750833832736316E-4</c:v>
                </c:pt>
                <c:pt idx="1427">
                  <c:v>-9.0607994324483387E-4</c:v>
                </c:pt>
                <c:pt idx="1428">
                  <c:v>-5.1990617290195934E-4</c:v>
                </c:pt>
                <c:pt idx="1429">
                  <c:v>4.6409591521626669E-4</c:v>
                </c:pt>
                <c:pt idx="1430">
                  <c:v>-1.8210951835663026E-4</c:v>
                </c:pt>
                <c:pt idx="1431">
                  <c:v>4.9794576703865467E-4</c:v>
                </c:pt>
                <c:pt idx="1432">
                  <c:v>5.1962342726514967E-4</c:v>
                </c:pt>
                <c:pt idx="1433">
                  <c:v>1.0832133837369742E-5</c:v>
                </c:pt>
                <c:pt idx="1434">
                  <c:v>-2.4622626966501718E-3</c:v>
                </c:pt>
                <c:pt idx="1435">
                  <c:v>-8.3478818752427187E-6</c:v>
                </c:pt>
                <c:pt idx="1436">
                  <c:v>1.3233335262502451E-3</c:v>
                </c:pt>
                <c:pt idx="1437">
                  <c:v>5.1566455802899128E-4</c:v>
                </c:pt>
                <c:pt idx="1438">
                  <c:v>-2.1054089522236953E-3</c:v>
                </c:pt>
                <c:pt idx="1439">
                  <c:v>-4.258998586531979E-4</c:v>
                </c:pt>
                <c:pt idx="1440">
                  <c:v>-2.2447262728068061E-3</c:v>
                </c:pt>
                <c:pt idx="1441">
                  <c:v>6.6818756672908401E-4</c:v>
                </c:pt>
                <c:pt idx="1442">
                  <c:v>2.8065810962496599E-4</c:v>
                </c:pt>
                <c:pt idx="1443">
                  <c:v>1.0804985567633733E-4</c:v>
                </c:pt>
                <c:pt idx="1444">
                  <c:v>3.8326522354077978E-4</c:v>
                </c:pt>
                <c:pt idx="1445">
                  <c:v>-2.7702990584480111E-3</c:v>
                </c:pt>
                <c:pt idx="1446">
                  <c:v>6.2427000713103395E-4</c:v>
                </c:pt>
                <c:pt idx="1447">
                  <c:v>4.5687710057436704E-4</c:v>
                </c:pt>
                <c:pt idx="1448">
                  <c:v>1.9752297475442924E-4</c:v>
                </c:pt>
                <c:pt idx="1449">
                  <c:v>-1.2889333045271894E-4</c:v>
                </c:pt>
                <c:pt idx="1450">
                  <c:v>-3.9594184709845694E-4</c:v>
                </c:pt>
                <c:pt idx="1451">
                  <c:v>2.752583529081051E-5</c:v>
                </c:pt>
                <c:pt idx="1452">
                  <c:v>8.9572202164730163E-4</c:v>
                </c:pt>
                <c:pt idx="1453">
                  <c:v>7.3165630563783624E-5</c:v>
                </c:pt>
                <c:pt idx="1454">
                  <c:v>1.5752729936627501E-4</c:v>
                </c:pt>
                <c:pt idx="1455">
                  <c:v>4.3716154334442147E-4</c:v>
                </c:pt>
                <c:pt idx="1456">
                  <c:v>-1.711441554039044E-5</c:v>
                </c:pt>
                <c:pt idx="1457">
                  <c:v>2.2726386799929148E-4</c:v>
                </c:pt>
                <c:pt idx="1458">
                  <c:v>1.5842241128274248E-4</c:v>
                </c:pt>
                <c:pt idx="1459">
                  <c:v>-4.0224609694674814E-4</c:v>
                </c:pt>
                <c:pt idx="1460">
                  <c:v>2.0649268454140361E-4</c:v>
                </c:pt>
                <c:pt idx="1461">
                  <c:v>-7.0776142086723993E-5</c:v>
                </c:pt>
                <c:pt idx="1462">
                  <c:v>4.7354172922609722E-4</c:v>
                </c:pt>
                <c:pt idx="1463">
                  <c:v>-2.3439682268030349E-4</c:v>
                </c:pt>
                <c:pt idx="1464">
                  <c:v>-1.0263571007387688E-5</c:v>
                </c:pt>
                <c:pt idx="1465">
                  <c:v>3.6448284901578005E-4</c:v>
                </c:pt>
                <c:pt idx="1466">
                  <c:v>4.3436901236857165E-5</c:v>
                </c:pt>
                <c:pt idx="1467">
                  <c:v>5.6041039371913554E-4</c:v>
                </c:pt>
                <c:pt idx="1468">
                  <c:v>5.2017428164838992E-4</c:v>
                </c:pt>
                <c:pt idx="1469">
                  <c:v>6.3234350841058994E-4</c:v>
                </c:pt>
                <c:pt idx="1470">
                  <c:v>-2.1837506462240813E-4</c:v>
                </c:pt>
                <c:pt idx="1471">
                  <c:v>2.08470704366778E-4</c:v>
                </c:pt>
                <c:pt idx="1472">
                  <c:v>2.8656195178689025E-4</c:v>
                </c:pt>
                <c:pt idx="1473">
                  <c:v>-2.2882718977177362E-4</c:v>
                </c:pt>
                <c:pt idx="1474">
                  <c:v>5.7037701695360655E-4</c:v>
                </c:pt>
                <c:pt idx="1475">
                  <c:v>2.5383059954834378E-4</c:v>
                </c:pt>
                <c:pt idx="1476">
                  <c:v>1.6127977584146422E-4</c:v>
                </c:pt>
                <c:pt idx="1477">
                  <c:v>1.5919597852332411E-3</c:v>
                </c:pt>
                <c:pt idx="1478">
                  <c:v>1.5247029517783159E-4</c:v>
                </c:pt>
                <c:pt idx="1479">
                  <c:v>-8.6805455123796147E-4</c:v>
                </c:pt>
                <c:pt idx="1480">
                  <c:v>1.5328346155741228E-3</c:v>
                </c:pt>
                <c:pt idx="1481">
                  <c:v>-1.8701366959927943E-4</c:v>
                </c:pt>
                <c:pt idx="1482">
                  <c:v>-4.7911644260569198E-4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2-4743-B248-F5AFEE0F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70560"/>
        <c:axId val="298372272"/>
      </c:lineChart>
      <c:catAx>
        <c:axId val="29837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72272"/>
        <c:crosses val="autoZero"/>
        <c:auto val="1"/>
        <c:lblAlgn val="ctr"/>
        <c:lblOffset val="100"/>
        <c:noMultiLvlLbl val="0"/>
      </c:catAx>
      <c:valAx>
        <c:axId val="2983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7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'usdc '!$L$1:$L$9</c:f>
              <c:strCache>
                <c:ptCount val="9"/>
                <c:pt idx="8">
                  <c:v>maybe cheapening of forwards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'usdc '!$K$10:$K$1492</c:f>
              <c:strCache>
                <c:ptCount val="1483"/>
                <c:pt idx="0">
                  <c:v>time</c:v>
                </c:pt>
                <c:pt idx="1">
                  <c:v>14/1/2022</c:v>
                </c:pt>
                <c:pt idx="2">
                  <c:v>15/1/2022</c:v>
                </c:pt>
                <c:pt idx="3">
                  <c:v>16/1/2022</c:v>
                </c:pt>
                <c:pt idx="4">
                  <c:v>17/1/2022</c:v>
                </c:pt>
                <c:pt idx="5">
                  <c:v>18/1/2022</c:v>
                </c:pt>
                <c:pt idx="6">
                  <c:v>19/1/2022</c:v>
                </c:pt>
                <c:pt idx="7">
                  <c:v>20/1/2022</c:v>
                </c:pt>
                <c:pt idx="8">
                  <c:v>21/1/2022</c:v>
                </c:pt>
                <c:pt idx="9">
                  <c:v>22/1/2022</c:v>
                </c:pt>
                <c:pt idx="10">
                  <c:v>23/1/2022</c:v>
                </c:pt>
                <c:pt idx="11">
                  <c:v>24/1/2022</c:v>
                </c:pt>
                <c:pt idx="12">
                  <c:v>25/1/2022</c:v>
                </c:pt>
                <c:pt idx="13">
                  <c:v>26/1/2022</c:v>
                </c:pt>
                <c:pt idx="14">
                  <c:v>27/1/2022</c:v>
                </c:pt>
                <c:pt idx="15">
                  <c:v>28/1/2022</c:v>
                </c:pt>
                <c:pt idx="16">
                  <c:v>29/1/2022</c:v>
                </c:pt>
                <c:pt idx="17">
                  <c:v>30/1/2022</c:v>
                </c:pt>
                <c:pt idx="18">
                  <c:v>31/1/2022</c:v>
                </c:pt>
                <c:pt idx="19">
                  <c:v>1/2/2022</c:v>
                </c:pt>
                <c:pt idx="20">
                  <c:v>2/2/2022</c:v>
                </c:pt>
                <c:pt idx="21">
                  <c:v>3/2/2022</c:v>
                </c:pt>
                <c:pt idx="22">
                  <c:v>4/2/2022</c:v>
                </c:pt>
                <c:pt idx="23">
                  <c:v>5/2/2022</c:v>
                </c:pt>
                <c:pt idx="24">
                  <c:v>6/2/2022</c:v>
                </c:pt>
                <c:pt idx="25">
                  <c:v>7/2/2022</c:v>
                </c:pt>
                <c:pt idx="26">
                  <c:v>8/2/2022</c:v>
                </c:pt>
                <c:pt idx="27">
                  <c:v>9/2/2022</c:v>
                </c:pt>
                <c:pt idx="28">
                  <c:v>10/2/2022</c:v>
                </c:pt>
                <c:pt idx="29">
                  <c:v>11/2/2022</c:v>
                </c:pt>
                <c:pt idx="30">
                  <c:v>12/2/2022</c:v>
                </c:pt>
                <c:pt idx="31">
                  <c:v>13/2/2022</c:v>
                </c:pt>
                <c:pt idx="32">
                  <c:v>14/2/2022</c:v>
                </c:pt>
                <c:pt idx="33">
                  <c:v>15/2/2022</c:v>
                </c:pt>
                <c:pt idx="34">
                  <c:v>16/2/2022</c:v>
                </c:pt>
                <c:pt idx="35">
                  <c:v>17/2/2022</c:v>
                </c:pt>
                <c:pt idx="36">
                  <c:v>18/2/2022</c:v>
                </c:pt>
                <c:pt idx="37">
                  <c:v>19/2/2022</c:v>
                </c:pt>
                <c:pt idx="38">
                  <c:v>20/2/2022</c:v>
                </c:pt>
                <c:pt idx="39">
                  <c:v>21/2/2022</c:v>
                </c:pt>
                <c:pt idx="40">
                  <c:v>22/2/2022</c:v>
                </c:pt>
                <c:pt idx="41">
                  <c:v>23/2/2022</c:v>
                </c:pt>
                <c:pt idx="42">
                  <c:v>24/2/2022</c:v>
                </c:pt>
                <c:pt idx="43">
                  <c:v>25/2/2022</c:v>
                </c:pt>
                <c:pt idx="44">
                  <c:v>26/2/2022</c:v>
                </c:pt>
                <c:pt idx="45">
                  <c:v>27/2/2022</c:v>
                </c:pt>
                <c:pt idx="46">
                  <c:v>28/2/2022</c:v>
                </c:pt>
                <c:pt idx="47">
                  <c:v>1/3/2022</c:v>
                </c:pt>
                <c:pt idx="48">
                  <c:v>2/3/2022</c:v>
                </c:pt>
                <c:pt idx="49">
                  <c:v>3/3/2022</c:v>
                </c:pt>
                <c:pt idx="50">
                  <c:v>4/3/2022</c:v>
                </c:pt>
                <c:pt idx="51">
                  <c:v>5/3/2022</c:v>
                </c:pt>
                <c:pt idx="52">
                  <c:v>6/3/2022</c:v>
                </c:pt>
                <c:pt idx="53">
                  <c:v>7/3/2022</c:v>
                </c:pt>
                <c:pt idx="54">
                  <c:v>8/3/2022</c:v>
                </c:pt>
                <c:pt idx="55">
                  <c:v>9/3/2022</c:v>
                </c:pt>
                <c:pt idx="56">
                  <c:v>10/3/2022</c:v>
                </c:pt>
                <c:pt idx="57">
                  <c:v>11/3/2022</c:v>
                </c:pt>
                <c:pt idx="58">
                  <c:v>12/3/2022</c:v>
                </c:pt>
                <c:pt idx="59">
                  <c:v>13/3/2022</c:v>
                </c:pt>
                <c:pt idx="60">
                  <c:v>14/3/2022</c:v>
                </c:pt>
                <c:pt idx="61">
                  <c:v>15/3/2022</c:v>
                </c:pt>
                <c:pt idx="62">
                  <c:v>16/3/2022</c:v>
                </c:pt>
                <c:pt idx="63">
                  <c:v>17/3/2022</c:v>
                </c:pt>
                <c:pt idx="64">
                  <c:v>18/3/2022</c:v>
                </c:pt>
                <c:pt idx="65">
                  <c:v>19/3/2022</c:v>
                </c:pt>
                <c:pt idx="66">
                  <c:v>20/3/2022</c:v>
                </c:pt>
                <c:pt idx="67">
                  <c:v>21/3/2022</c:v>
                </c:pt>
                <c:pt idx="68">
                  <c:v>22/3/2022</c:v>
                </c:pt>
                <c:pt idx="69">
                  <c:v>23/3/2022</c:v>
                </c:pt>
                <c:pt idx="70">
                  <c:v>24/3/2022</c:v>
                </c:pt>
                <c:pt idx="71">
                  <c:v>25/3/2022</c:v>
                </c:pt>
                <c:pt idx="72">
                  <c:v>26/3/2022</c:v>
                </c:pt>
                <c:pt idx="73">
                  <c:v>27/3/2022</c:v>
                </c:pt>
                <c:pt idx="74">
                  <c:v>28/3/2022</c:v>
                </c:pt>
                <c:pt idx="75">
                  <c:v>29/3/2022</c:v>
                </c:pt>
                <c:pt idx="76">
                  <c:v>30/3/2022</c:v>
                </c:pt>
                <c:pt idx="77">
                  <c:v>31/3/2022</c:v>
                </c:pt>
                <c:pt idx="78">
                  <c:v>1/4/2022</c:v>
                </c:pt>
                <c:pt idx="79">
                  <c:v>2/4/2022</c:v>
                </c:pt>
                <c:pt idx="80">
                  <c:v>3/4/2022</c:v>
                </c:pt>
                <c:pt idx="81">
                  <c:v>4/4/2022</c:v>
                </c:pt>
                <c:pt idx="82">
                  <c:v>5/4/2022</c:v>
                </c:pt>
                <c:pt idx="83">
                  <c:v>6/4/2022</c:v>
                </c:pt>
                <c:pt idx="84">
                  <c:v>7/4/2022</c:v>
                </c:pt>
                <c:pt idx="85">
                  <c:v>8/4/2022</c:v>
                </c:pt>
                <c:pt idx="86">
                  <c:v>9/4/2022</c:v>
                </c:pt>
                <c:pt idx="87">
                  <c:v>10/4/2022</c:v>
                </c:pt>
                <c:pt idx="88">
                  <c:v>11/4/2022</c:v>
                </c:pt>
                <c:pt idx="89">
                  <c:v>12/4/2022</c:v>
                </c:pt>
                <c:pt idx="90">
                  <c:v>13/4/2022</c:v>
                </c:pt>
                <c:pt idx="91">
                  <c:v>14/4/2022</c:v>
                </c:pt>
                <c:pt idx="92">
                  <c:v>15/4/2022</c:v>
                </c:pt>
                <c:pt idx="93">
                  <c:v>16/4/2022</c:v>
                </c:pt>
                <c:pt idx="94">
                  <c:v>17/4/2022</c:v>
                </c:pt>
                <c:pt idx="95">
                  <c:v>18/4/2022</c:v>
                </c:pt>
                <c:pt idx="96">
                  <c:v>19/4/2022</c:v>
                </c:pt>
                <c:pt idx="97">
                  <c:v>20/4/2022</c:v>
                </c:pt>
                <c:pt idx="98">
                  <c:v>21/4/2022</c:v>
                </c:pt>
                <c:pt idx="99">
                  <c:v>22/4/2022</c:v>
                </c:pt>
                <c:pt idx="100">
                  <c:v>23/4/2022</c:v>
                </c:pt>
                <c:pt idx="101">
                  <c:v>24/4/2022</c:v>
                </c:pt>
                <c:pt idx="102">
                  <c:v>25/4/2022</c:v>
                </c:pt>
                <c:pt idx="103">
                  <c:v>26/4/2022</c:v>
                </c:pt>
                <c:pt idx="104">
                  <c:v>27/4/2022</c:v>
                </c:pt>
                <c:pt idx="105">
                  <c:v>28/4/2022</c:v>
                </c:pt>
                <c:pt idx="106">
                  <c:v>29/4/2022</c:v>
                </c:pt>
                <c:pt idx="107">
                  <c:v>30/4/2022</c:v>
                </c:pt>
                <c:pt idx="108">
                  <c:v>1/5/2022</c:v>
                </c:pt>
                <c:pt idx="109">
                  <c:v>2/5/2022</c:v>
                </c:pt>
                <c:pt idx="110">
                  <c:v>3/5/2022</c:v>
                </c:pt>
                <c:pt idx="111">
                  <c:v>4/5/2022</c:v>
                </c:pt>
                <c:pt idx="112">
                  <c:v>5/5/2022</c:v>
                </c:pt>
                <c:pt idx="113">
                  <c:v>6/5/2022</c:v>
                </c:pt>
                <c:pt idx="114">
                  <c:v>7/5/2022</c:v>
                </c:pt>
                <c:pt idx="115">
                  <c:v>8/5/2022</c:v>
                </c:pt>
                <c:pt idx="116">
                  <c:v>9/5/2022</c:v>
                </c:pt>
                <c:pt idx="117">
                  <c:v>10/5/2022</c:v>
                </c:pt>
                <c:pt idx="118">
                  <c:v>11/5/2022</c:v>
                </c:pt>
                <c:pt idx="119">
                  <c:v>12/5/2022</c:v>
                </c:pt>
                <c:pt idx="120">
                  <c:v>13/5/2022</c:v>
                </c:pt>
                <c:pt idx="121">
                  <c:v>14/5/2022</c:v>
                </c:pt>
                <c:pt idx="122">
                  <c:v>15/5/2022</c:v>
                </c:pt>
                <c:pt idx="123">
                  <c:v>16/5/2022</c:v>
                </c:pt>
                <c:pt idx="124">
                  <c:v>17/5/2022</c:v>
                </c:pt>
                <c:pt idx="125">
                  <c:v>18/5/2022</c:v>
                </c:pt>
                <c:pt idx="126">
                  <c:v>19/5/2022</c:v>
                </c:pt>
                <c:pt idx="127">
                  <c:v>20/5/2022</c:v>
                </c:pt>
                <c:pt idx="128">
                  <c:v>21/5/2022</c:v>
                </c:pt>
                <c:pt idx="129">
                  <c:v>22/5/2022</c:v>
                </c:pt>
                <c:pt idx="130">
                  <c:v>23/5/2022</c:v>
                </c:pt>
                <c:pt idx="131">
                  <c:v>24/5/2022</c:v>
                </c:pt>
                <c:pt idx="132">
                  <c:v>25/5/2022</c:v>
                </c:pt>
                <c:pt idx="133">
                  <c:v>26/5/2022</c:v>
                </c:pt>
                <c:pt idx="134">
                  <c:v>27/5/2022</c:v>
                </c:pt>
                <c:pt idx="135">
                  <c:v>28/5/2022</c:v>
                </c:pt>
                <c:pt idx="136">
                  <c:v>29/5/2022</c:v>
                </c:pt>
                <c:pt idx="137">
                  <c:v>30/5/2022</c:v>
                </c:pt>
                <c:pt idx="138">
                  <c:v>31/5/2022</c:v>
                </c:pt>
                <c:pt idx="139">
                  <c:v>1/6/2022</c:v>
                </c:pt>
                <c:pt idx="140">
                  <c:v>2/6/2022</c:v>
                </c:pt>
                <c:pt idx="141">
                  <c:v>3/6/2022</c:v>
                </c:pt>
                <c:pt idx="142">
                  <c:v>4/6/2022</c:v>
                </c:pt>
                <c:pt idx="143">
                  <c:v>5/6/2022</c:v>
                </c:pt>
                <c:pt idx="144">
                  <c:v>6/6/2022</c:v>
                </c:pt>
                <c:pt idx="145">
                  <c:v>7/6/2022</c:v>
                </c:pt>
                <c:pt idx="146">
                  <c:v>8/6/2022</c:v>
                </c:pt>
                <c:pt idx="147">
                  <c:v>9/6/2022</c:v>
                </c:pt>
                <c:pt idx="148">
                  <c:v>10/6/2022</c:v>
                </c:pt>
                <c:pt idx="149">
                  <c:v>11/6/2022</c:v>
                </c:pt>
                <c:pt idx="150">
                  <c:v>12/6/2022</c:v>
                </c:pt>
                <c:pt idx="151">
                  <c:v>13/6/2022</c:v>
                </c:pt>
                <c:pt idx="152">
                  <c:v>14/6/2022</c:v>
                </c:pt>
                <c:pt idx="153">
                  <c:v>15/6/2022</c:v>
                </c:pt>
                <c:pt idx="154">
                  <c:v>16/6/2022</c:v>
                </c:pt>
                <c:pt idx="155">
                  <c:v>17/6/2022</c:v>
                </c:pt>
                <c:pt idx="156">
                  <c:v>18/6/2022</c:v>
                </c:pt>
                <c:pt idx="157">
                  <c:v>19/6/2022</c:v>
                </c:pt>
                <c:pt idx="158">
                  <c:v>20/6/2022</c:v>
                </c:pt>
                <c:pt idx="159">
                  <c:v>21/6/2022</c:v>
                </c:pt>
                <c:pt idx="160">
                  <c:v>22/6/2022</c:v>
                </c:pt>
                <c:pt idx="161">
                  <c:v>23/6/2022</c:v>
                </c:pt>
                <c:pt idx="162">
                  <c:v>24/6/2022</c:v>
                </c:pt>
                <c:pt idx="163">
                  <c:v>25/6/2022</c:v>
                </c:pt>
                <c:pt idx="164">
                  <c:v>26/6/2022</c:v>
                </c:pt>
                <c:pt idx="165">
                  <c:v>27/6/2022</c:v>
                </c:pt>
                <c:pt idx="166">
                  <c:v>28/6/2022</c:v>
                </c:pt>
                <c:pt idx="167">
                  <c:v>29/6/2022</c:v>
                </c:pt>
                <c:pt idx="168">
                  <c:v>30/6/2022</c:v>
                </c:pt>
                <c:pt idx="169">
                  <c:v>1/7/2022</c:v>
                </c:pt>
                <c:pt idx="170">
                  <c:v>2/7/2022</c:v>
                </c:pt>
                <c:pt idx="171">
                  <c:v>3/7/2022</c:v>
                </c:pt>
                <c:pt idx="172">
                  <c:v>4/7/2022</c:v>
                </c:pt>
                <c:pt idx="173">
                  <c:v>5/7/2022</c:v>
                </c:pt>
                <c:pt idx="174">
                  <c:v>6/7/2022</c:v>
                </c:pt>
                <c:pt idx="175">
                  <c:v>7/7/2022</c:v>
                </c:pt>
                <c:pt idx="176">
                  <c:v>8/7/2022</c:v>
                </c:pt>
                <c:pt idx="177">
                  <c:v>9/7/2022</c:v>
                </c:pt>
                <c:pt idx="178">
                  <c:v>10/7/2022</c:v>
                </c:pt>
                <c:pt idx="179">
                  <c:v>11/7/2022</c:v>
                </c:pt>
                <c:pt idx="180">
                  <c:v>12/7/2022</c:v>
                </c:pt>
                <c:pt idx="181">
                  <c:v>13/7/2022</c:v>
                </c:pt>
                <c:pt idx="182">
                  <c:v>14/7/2022</c:v>
                </c:pt>
                <c:pt idx="183">
                  <c:v>15/7/2022</c:v>
                </c:pt>
                <c:pt idx="184">
                  <c:v>16/7/2022</c:v>
                </c:pt>
                <c:pt idx="185">
                  <c:v>17/7/2022</c:v>
                </c:pt>
                <c:pt idx="186">
                  <c:v>18/7/2022</c:v>
                </c:pt>
                <c:pt idx="187">
                  <c:v>19/7/2022</c:v>
                </c:pt>
                <c:pt idx="188">
                  <c:v>20/7/2022</c:v>
                </c:pt>
                <c:pt idx="189">
                  <c:v>21/7/2022</c:v>
                </c:pt>
                <c:pt idx="190">
                  <c:v>22/7/2022</c:v>
                </c:pt>
                <c:pt idx="191">
                  <c:v>23/7/2022</c:v>
                </c:pt>
                <c:pt idx="192">
                  <c:v>24/7/2022</c:v>
                </c:pt>
                <c:pt idx="193">
                  <c:v>25/7/2022</c:v>
                </c:pt>
                <c:pt idx="194">
                  <c:v>26/7/2022</c:v>
                </c:pt>
                <c:pt idx="195">
                  <c:v>27/7/2022</c:v>
                </c:pt>
                <c:pt idx="196">
                  <c:v>28/7/2022</c:v>
                </c:pt>
                <c:pt idx="197">
                  <c:v>29/7/2022</c:v>
                </c:pt>
                <c:pt idx="198">
                  <c:v>30/7/2022</c:v>
                </c:pt>
                <c:pt idx="199">
                  <c:v>31/7/2022</c:v>
                </c:pt>
                <c:pt idx="200">
                  <c:v>1/8/2022</c:v>
                </c:pt>
                <c:pt idx="201">
                  <c:v>2/8/2022</c:v>
                </c:pt>
                <c:pt idx="202">
                  <c:v>3/8/2022</c:v>
                </c:pt>
                <c:pt idx="203">
                  <c:v>4/8/2022</c:v>
                </c:pt>
                <c:pt idx="204">
                  <c:v>5/8/2022</c:v>
                </c:pt>
                <c:pt idx="205">
                  <c:v>6/8/2022</c:v>
                </c:pt>
                <c:pt idx="206">
                  <c:v>7/8/2022</c:v>
                </c:pt>
                <c:pt idx="207">
                  <c:v>8/8/2022</c:v>
                </c:pt>
                <c:pt idx="208">
                  <c:v>9/8/2022</c:v>
                </c:pt>
                <c:pt idx="209">
                  <c:v>10/8/2022</c:v>
                </c:pt>
                <c:pt idx="210">
                  <c:v>11/8/2022</c:v>
                </c:pt>
                <c:pt idx="211">
                  <c:v>12/8/2022</c:v>
                </c:pt>
                <c:pt idx="212">
                  <c:v>13/8/2022</c:v>
                </c:pt>
                <c:pt idx="213">
                  <c:v>14/8/2022</c:v>
                </c:pt>
                <c:pt idx="214">
                  <c:v>15/8/2022</c:v>
                </c:pt>
                <c:pt idx="215">
                  <c:v>16/8/2022</c:v>
                </c:pt>
                <c:pt idx="216">
                  <c:v>17/8/2022</c:v>
                </c:pt>
                <c:pt idx="217">
                  <c:v>18/8/2022</c:v>
                </c:pt>
                <c:pt idx="218">
                  <c:v>19/8/2022</c:v>
                </c:pt>
                <c:pt idx="219">
                  <c:v>20/8/2022</c:v>
                </c:pt>
                <c:pt idx="220">
                  <c:v>21/8/2022</c:v>
                </c:pt>
                <c:pt idx="221">
                  <c:v>22/8/2022</c:v>
                </c:pt>
                <c:pt idx="222">
                  <c:v>23/8/2022</c:v>
                </c:pt>
                <c:pt idx="223">
                  <c:v>24/8/2022</c:v>
                </c:pt>
                <c:pt idx="224">
                  <c:v>25/8/2022</c:v>
                </c:pt>
                <c:pt idx="225">
                  <c:v>26/8/2022</c:v>
                </c:pt>
                <c:pt idx="226">
                  <c:v>27/8/2022</c:v>
                </c:pt>
                <c:pt idx="227">
                  <c:v>28/8/2022</c:v>
                </c:pt>
                <c:pt idx="228">
                  <c:v>29/8/2022</c:v>
                </c:pt>
                <c:pt idx="229">
                  <c:v>30/8/2022</c:v>
                </c:pt>
                <c:pt idx="230">
                  <c:v>31/8/2022</c:v>
                </c:pt>
                <c:pt idx="231">
                  <c:v>1/9/2022</c:v>
                </c:pt>
                <c:pt idx="232">
                  <c:v>2/9/2022</c:v>
                </c:pt>
                <c:pt idx="233">
                  <c:v>3/9/2022</c:v>
                </c:pt>
                <c:pt idx="234">
                  <c:v>4/9/2022</c:v>
                </c:pt>
                <c:pt idx="235">
                  <c:v>5/9/2022</c:v>
                </c:pt>
                <c:pt idx="236">
                  <c:v>6/9/2022</c:v>
                </c:pt>
                <c:pt idx="237">
                  <c:v>7/9/2022</c:v>
                </c:pt>
                <c:pt idx="238">
                  <c:v>8/9/2022</c:v>
                </c:pt>
                <c:pt idx="239">
                  <c:v>9/9/2022</c:v>
                </c:pt>
                <c:pt idx="240">
                  <c:v>10/9/2022</c:v>
                </c:pt>
                <c:pt idx="241">
                  <c:v>11/9/2022</c:v>
                </c:pt>
                <c:pt idx="242">
                  <c:v>12/9/2022</c:v>
                </c:pt>
                <c:pt idx="243">
                  <c:v>13/9/2022</c:v>
                </c:pt>
                <c:pt idx="244">
                  <c:v>14/9/2022</c:v>
                </c:pt>
                <c:pt idx="245">
                  <c:v>15/9/2022</c:v>
                </c:pt>
                <c:pt idx="246">
                  <c:v>16/9/2022</c:v>
                </c:pt>
                <c:pt idx="247">
                  <c:v>17/9/2022</c:v>
                </c:pt>
                <c:pt idx="248">
                  <c:v>18/9/2022</c:v>
                </c:pt>
                <c:pt idx="249">
                  <c:v>19/9/2022</c:v>
                </c:pt>
                <c:pt idx="250">
                  <c:v>20/9/2022</c:v>
                </c:pt>
                <c:pt idx="251">
                  <c:v>21/9/2022</c:v>
                </c:pt>
                <c:pt idx="252">
                  <c:v>22/9/2022</c:v>
                </c:pt>
                <c:pt idx="253">
                  <c:v>23/9/2022</c:v>
                </c:pt>
                <c:pt idx="254">
                  <c:v>24/9/2022</c:v>
                </c:pt>
                <c:pt idx="255">
                  <c:v>25/9/2022</c:v>
                </c:pt>
                <c:pt idx="256">
                  <c:v>26/9/2022</c:v>
                </c:pt>
                <c:pt idx="257">
                  <c:v>27/9/2022</c:v>
                </c:pt>
                <c:pt idx="258">
                  <c:v>28/9/2022</c:v>
                </c:pt>
                <c:pt idx="259">
                  <c:v>29/9/2022</c:v>
                </c:pt>
                <c:pt idx="260">
                  <c:v>30/9/2022</c:v>
                </c:pt>
                <c:pt idx="261">
                  <c:v>1/10/2022</c:v>
                </c:pt>
                <c:pt idx="262">
                  <c:v>2/10/2022</c:v>
                </c:pt>
                <c:pt idx="263">
                  <c:v>3/10/2022</c:v>
                </c:pt>
                <c:pt idx="264">
                  <c:v>4/10/2022</c:v>
                </c:pt>
                <c:pt idx="265">
                  <c:v>5/10/2022</c:v>
                </c:pt>
                <c:pt idx="266">
                  <c:v>6/10/2022</c:v>
                </c:pt>
                <c:pt idx="267">
                  <c:v>7/10/2022</c:v>
                </c:pt>
                <c:pt idx="268">
                  <c:v>8/10/2022</c:v>
                </c:pt>
                <c:pt idx="269">
                  <c:v>9/10/2022</c:v>
                </c:pt>
                <c:pt idx="270">
                  <c:v>10/10/2022</c:v>
                </c:pt>
                <c:pt idx="271">
                  <c:v>11/10/2022</c:v>
                </c:pt>
                <c:pt idx="272">
                  <c:v>12/10/2022</c:v>
                </c:pt>
                <c:pt idx="273">
                  <c:v>13/10/2022</c:v>
                </c:pt>
                <c:pt idx="274">
                  <c:v>14/10/2022</c:v>
                </c:pt>
                <c:pt idx="275">
                  <c:v>15/10/2022</c:v>
                </c:pt>
                <c:pt idx="276">
                  <c:v>16/10/2022</c:v>
                </c:pt>
                <c:pt idx="277">
                  <c:v>17/10/2022</c:v>
                </c:pt>
                <c:pt idx="278">
                  <c:v>18/10/2022</c:v>
                </c:pt>
                <c:pt idx="279">
                  <c:v>19/10/2022</c:v>
                </c:pt>
                <c:pt idx="280">
                  <c:v>20/10/2022</c:v>
                </c:pt>
                <c:pt idx="281">
                  <c:v>21/10/2022</c:v>
                </c:pt>
                <c:pt idx="282">
                  <c:v>22/10/2022</c:v>
                </c:pt>
                <c:pt idx="283">
                  <c:v>23/10/2022</c:v>
                </c:pt>
                <c:pt idx="284">
                  <c:v>24/10/2022</c:v>
                </c:pt>
                <c:pt idx="285">
                  <c:v>25/10/2022</c:v>
                </c:pt>
                <c:pt idx="286">
                  <c:v>26/10/2022</c:v>
                </c:pt>
                <c:pt idx="287">
                  <c:v>27/10/2022</c:v>
                </c:pt>
                <c:pt idx="288">
                  <c:v>28/10/2022</c:v>
                </c:pt>
                <c:pt idx="289">
                  <c:v>29/10/2022</c:v>
                </c:pt>
                <c:pt idx="290">
                  <c:v>30/10/2022</c:v>
                </c:pt>
                <c:pt idx="291">
                  <c:v>31/10/2022</c:v>
                </c:pt>
                <c:pt idx="292">
                  <c:v>1/11/2022</c:v>
                </c:pt>
                <c:pt idx="293">
                  <c:v>2/11/2022</c:v>
                </c:pt>
                <c:pt idx="294">
                  <c:v>3/11/2022</c:v>
                </c:pt>
                <c:pt idx="295">
                  <c:v>4/11/2022</c:v>
                </c:pt>
                <c:pt idx="296">
                  <c:v>5/11/2022</c:v>
                </c:pt>
                <c:pt idx="297">
                  <c:v>6/11/2022</c:v>
                </c:pt>
                <c:pt idx="298">
                  <c:v>7/11/2022</c:v>
                </c:pt>
                <c:pt idx="299">
                  <c:v>8/11/2022</c:v>
                </c:pt>
                <c:pt idx="300">
                  <c:v>9/11/2022</c:v>
                </c:pt>
                <c:pt idx="301">
                  <c:v>10/11/2022</c:v>
                </c:pt>
                <c:pt idx="302">
                  <c:v>11/11/2022</c:v>
                </c:pt>
                <c:pt idx="303">
                  <c:v>12/11/2022</c:v>
                </c:pt>
                <c:pt idx="304">
                  <c:v>13/11/2022</c:v>
                </c:pt>
                <c:pt idx="305">
                  <c:v>14/11/2022</c:v>
                </c:pt>
                <c:pt idx="306">
                  <c:v>15/11/2022</c:v>
                </c:pt>
                <c:pt idx="307">
                  <c:v>16/11/2022</c:v>
                </c:pt>
                <c:pt idx="308">
                  <c:v>17/11/2022</c:v>
                </c:pt>
                <c:pt idx="309">
                  <c:v>18/11/2022</c:v>
                </c:pt>
                <c:pt idx="310">
                  <c:v>19/11/2022</c:v>
                </c:pt>
                <c:pt idx="311">
                  <c:v>20/11/2022</c:v>
                </c:pt>
                <c:pt idx="312">
                  <c:v>21/11/2022</c:v>
                </c:pt>
                <c:pt idx="313">
                  <c:v>22/11/2022</c:v>
                </c:pt>
                <c:pt idx="314">
                  <c:v>23/11/2022</c:v>
                </c:pt>
                <c:pt idx="315">
                  <c:v>24/11/2022</c:v>
                </c:pt>
                <c:pt idx="316">
                  <c:v>25/11/2022</c:v>
                </c:pt>
                <c:pt idx="317">
                  <c:v>26/11/2022</c:v>
                </c:pt>
                <c:pt idx="318">
                  <c:v>27/11/2022</c:v>
                </c:pt>
                <c:pt idx="319">
                  <c:v>28/11/2022</c:v>
                </c:pt>
                <c:pt idx="320">
                  <c:v>29/11/2022</c:v>
                </c:pt>
                <c:pt idx="321">
                  <c:v>30/11/2022</c:v>
                </c:pt>
                <c:pt idx="322">
                  <c:v>1/12/2022</c:v>
                </c:pt>
                <c:pt idx="323">
                  <c:v>2/12/2022</c:v>
                </c:pt>
                <c:pt idx="324">
                  <c:v>3/12/2022</c:v>
                </c:pt>
                <c:pt idx="325">
                  <c:v>4/12/2022</c:v>
                </c:pt>
                <c:pt idx="326">
                  <c:v>5/12/2022</c:v>
                </c:pt>
                <c:pt idx="327">
                  <c:v>6/12/2022</c:v>
                </c:pt>
                <c:pt idx="328">
                  <c:v>7/12/2022</c:v>
                </c:pt>
                <c:pt idx="329">
                  <c:v>8/12/2022</c:v>
                </c:pt>
                <c:pt idx="330">
                  <c:v>9/12/2022</c:v>
                </c:pt>
                <c:pt idx="331">
                  <c:v>10/12/2022</c:v>
                </c:pt>
                <c:pt idx="332">
                  <c:v>11/12/2022</c:v>
                </c:pt>
                <c:pt idx="333">
                  <c:v>12/12/2022</c:v>
                </c:pt>
                <c:pt idx="334">
                  <c:v>13/12/2022</c:v>
                </c:pt>
                <c:pt idx="335">
                  <c:v>14/12/2022</c:v>
                </c:pt>
                <c:pt idx="336">
                  <c:v>15/12/2022</c:v>
                </c:pt>
                <c:pt idx="337">
                  <c:v>16/12/2022</c:v>
                </c:pt>
                <c:pt idx="338">
                  <c:v>17/12/2022</c:v>
                </c:pt>
                <c:pt idx="339">
                  <c:v>18/12/2022</c:v>
                </c:pt>
                <c:pt idx="340">
                  <c:v>19/12/2022</c:v>
                </c:pt>
                <c:pt idx="341">
                  <c:v>20/12/2022</c:v>
                </c:pt>
                <c:pt idx="342">
                  <c:v>21/12/2022</c:v>
                </c:pt>
                <c:pt idx="343">
                  <c:v>22/12/2022</c:v>
                </c:pt>
                <c:pt idx="344">
                  <c:v>23/12/2022</c:v>
                </c:pt>
                <c:pt idx="345">
                  <c:v>24/12/2022</c:v>
                </c:pt>
                <c:pt idx="346">
                  <c:v>25/12/2022</c:v>
                </c:pt>
                <c:pt idx="347">
                  <c:v>26/12/2022</c:v>
                </c:pt>
                <c:pt idx="348">
                  <c:v>27/12/2022</c:v>
                </c:pt>
                <c:pt idx="349">
                  <c:v>28/12/2022</c:v>
                </c:pt>
                <c:pt idx="350">
                  <c:v>29/12/2022</c:v>
                </c:pt>
                <c:pt idx="351">
                  <c:v>30/12/2022</c:v>
                </c:pt>
                <c:pt idx="352">
                  <c:v>31/12/2022</c:v>
                </c:pt>
                <c:pt idx="353">
                  <c:v>1/1/2023</c:v>
                </c:pt>
                <c:pt idx="354">
                  <c:v>2/1/2023</c:v>
                </c:pt>
                <c:pt idx="355">
                  <c:v>3/1/2023</c:v>
                </c:pt>
                <c:pt idx="356">
                  <c:v>4/1/2023</c:v>
                </c:pt>
                <c:pt idx="357">
                  <c:v>5/1/2023</c:v>
                </c:pt>
                <c:pt idx="358">
                  <c:v>6/1/2023</c:v>
                </c:pt>
                <c:pt idx="359">
                  <c:v>7/1/2023</c:v>
                </c:pt>
                <c:pt idx="360">
                  <c:v>8/1/2023</c:v>
                </c:pt>
                <c:pt idx="361">
                  <c:v>9/1/2023</c:v>
                </c:pt>
                <c:pt idx="362">
                  <c:v>10/1/2023</c:v>
                </c:pt>
                <c:pt idx="363">
                  <c:v>11/1/2023</c:v>
                </c:pt>
                <c:pt idx="364">
                  <c:v>12/1/2023</c:v>
                </c:pt>
                <c:pt idx="365">
                  <c:v>13/1/2023</c:v>
                </c:pt>
                <c:pt idx="366">
                  <c:v>14/1/2023</c:v>
                </c:pt>
                <c:pt idx="367">
                  <c:v>15/1/2023</c:v>
                </c:pt>
                <c:pt idx="368">
                  <c:v>16/1/2023</c:v>
                </c:pt>
                <c:pt idx="369">
                  <c:v>17/1/2023</c:v>
                </c:pt>
                <c:pt idx="370">
                  <c:v>18/1/2023</c:v>
                </c:pt>
                <c:pt idx="371">
                  <c:v>19/1/2023</c:v>
                </c:pt>
                <c:pt idx="372">
                  <c:v>20/1/2023</c:v>
                </c:pt>
                <c:pt idx="373">
                  <c:v>21/1/2023</c:v>
                </c:pt>
                <c:pt idx="374">
                  <c:v>22/1/2023</c:v>
                </c:pt>
                <c:pt idx="375">
                  <c:v>23/1/2023</c:v>
                </c:pt>
                <c:pt idx="376">
                  <c:v>24/1/2023</c:v>
                </c:pt>
                <c:pt idx="377">
                  <c:v>25/1/2023</c:v>
                </c:pt>
                <c:pt idx="378">
                  <c:v>26/1/2023</c:v>
                </c:pt>
                <c:pt idx="379">
                  <c:v>27/1/2023</c:v>
                </c:pt>
                <c:pt idx="380">
                  <c:v>28/1/2023</c:v>
                </c:pt>
                <c:pt idx="381">
                  <c:v>29/1/2023</c:v>
                </c:pt>
                <c:pt idx="382">
                  <c:v>30/1/2023</c:v>
                </c:pt>
                <c:pt idx="383">
                  <c:v>31/1/2023</c:v>
                </c:pt>
                <c:pt idx="384">
                  <c:v>1/2/2023</c:v>
                </c:pt>
                <c:pt idx="385">
                  <c:v>2/2/2023</c:v>
                </c:pt>
                <c:pt idx="386">
                  <c:v>3/2/2023</c:v>
                </c:pt>
                <c:pt idx="387">
                  <c:v>4/2/2023</c:v>
                </c:pt>
                <c:pt idx="388">
                  <c:v>5/2/2023</c:v>
                </c:pt>
                <c:pt idx="389">
                  <c:v>6/2/2023</c:v>
                </c:pt>
                <c:pt idx="390">
                  <c:v>7/2/2023</c:v>
                </c:pt>
                <c:pt idx="391">
                  <c:v>8/2/2023</c:v>
                </c:pt>
                <c:pt idx="392">
                  <c:v>9/2/2023</c:v>
                </c:pt>
                <c:pt idx="393">
                  <c:v>10/2/2023</c:v>
                </c:pt>
                <c:pt idx="394">
                  <c:v>11/2/2023</c:v>
                </c:pt>
                <c:pt idx="395">
                  <c:v>12/2/2023</c:v>
                </c:pt>
                <c:pt idx="396">
                  <c:v>13/2/2023</c:v>
                </c:pt>
                <c:pt idx="397">
                  <c:v>14/2/2023</c:v>
                </c:pt>
                <c:pt idx="398">
                  <c:v>15/2/2023</c:v>
                </c:pt>
                <c:pt idx="399">
                  <c:v>16/2/2023</c:v>
                </c:pt>
                <c:pt idx="400">
                  <c:v>17/2/2023</c:v>
                </c:pt>
                <c:pt idx="401">
                  <c:v>18/2/2023</c:v>
                </c:pt>
                <c:pt idx="402">
                  <c:v>19/2/2023</c:v>
                </c:pt>
                <c:pt idx="403">
                  <c:v>20/2/2023</c:v>
                </c:pt>
                <c:pt idx="404">
                  <c:v>21/2/2023</c:v>
                </c:pt>
                <c:pt idx="405">
                  <c:v>22/2/2023</c:v>
                </c:pt>
                <c:pt idx="406">
                  <c:v>23/2/2023</c:v>
                </c:pt>
                <c:pt idx="407">
                  <c:v>24/2/2023</c:v>
                </c:pt>
                <c:pt idx="408">
                  <c:v>25/2/2023</c:v>
                </c:pt>
                <c:pt idx="409">
                  <c:v>26/2/2023</c:v>
                </c:pt>
                <c:pt idx="410">
                  <c:v>27/2/2023</c:v>
                </c:pt>
                <c:pt idx="411">
                  <c:v>28/2/2023</c:v>
                </c:pt>
                <c:pt idx="412">
                  <c:v>1/3/2023</c:v>
                </c:pt>
                <c:pt idx="413">
                  <c:v>2/3/2023</c:v>
                </c:pt>
                <c:pt idx="414">
                  <c:v>3/3/2023</c:v>
                </c:pt>
                <c:pt idx="415">
                  <c:v>4/3/2023</c:v>
                </c:pt>
                <c:pt idx="416">
                  <c:v>5/3/2023</c:v>
                </c:pt>
                <c:pt idx="417">
                  <c:v>6/3/2023</c:v>
                </c:pt>
                <c:pt idx="418">
                  <c:v>7/3/2023</c:v>
                </c:pt>
                <c:pt idx="419">
                  <c:v>8/3/2023</c:v>
                </c:pt>
                <c:pt idx="420">
                  <c:v>9/3/2023</c:v>
                </c:pt>
                <c:pt idx="421">
                  <c:v>10/3/2023</c:v>
                </c:pt>
                <c:pt idx="422">
                  <c:v>11/3/2023</c:v>
                </c:pt>
                <c:pt idx="423">
                  <c:v>12/3/2023</c:v>
                </c:pt>
                <c:pt idx="424">
                  <c:v>13/3/2023</c:v>
                </c:pt>
                <c:pt idx="425">
                  <c:v>14/3/2023</c:v>
                </c:pt>
                <c:pt idx="426">
                  <c:v>15/3/2023</c:v>
                </c:pt>
                <c:pt idx="427">
                  <c:v>16/3/2023</c:v>
                </c:pt>
                <c:pt idx="428">
                  <c:v>17/3/2023</c:v>
                </c:pt>
                <c:pt idx="429">
                  <c:v>18/3/2023</c:v>
                </c:pt>
                <c:pt idx="430">
                  <c:v>19/3/2023</c:v>
                </c:pt>
                <c:pt idx="431">
                  <c:v>20/3/2023</c:v>
                </c:pt>
                <c:pt idx="432">
                  <c:v>21/3/2023</c:v>
                </c:pt>
                <c:pt idx="433">
                  <c:v>22/3/2023</c:v>
                </c:pt>
                <c:pt idx="434">
                  <c:v>23/3/2023</c:v>
                </c:pt>
                <c:pt idx="435">
                  <c:v>24/3/2023</c:v>
                </c:pt>
                <c:pt idx="436">
                  <c:v>25/3/2023</c:v>
                </c:pt>
                <c:pt idx="437">
                  <c:v>26/3/2023</c:v>
                </c:pt>
                <c:pt idx="438">
                  <c:v>27/3/2023</c:v>
                </c:pt>
                <c:pt idx="439">
                  <c:v>28/3/2023</c:v>
                </c:pt>
                <c:pt idx="440">
                  <c:v>29/3/2023</c:v>
                </c:pt>
                <c:pt idx="441">
                  <c:v>30/3/2023</c:v>
                </c:pt>
                <c:pt idx="442">
                  <c:v>31/3/2023</c:v>
                </c:pt>
                <c:pt idx="443">
                  <c:v>1/4/2023</c:v>
                </c:pt>
                <c:pt idx="444">
                  <c:v>2/4/2023</c:v>
                </c:pt>
                <c:pt idx="445">
                  <c:v>3/4/2023</c:v>
                </c:pt>
                <c:pt idx="446">
                  <c:v>4/4/2023</c:v>
                </c:pt>
                <c:pt idx="447">
                  <c:v>5/4/2023</c:v>
                </c:pt>
                <c:pt idx="448">
                  <c:v>6/4/2023</c:v>
                </c:pt>
                <c:pt idx="449">
                  <c:v>7/4/2023</c:v>
                </c:pt>
                <c:pt idx="450">
                  <c:v>8/4/2023</c:v>
                </c:pt>
                <c:pt idx="451">
                  <c:v>9/4/2023</c:v>
                </c:pt>
                <c:pt idx="452">
                  <c:v>10/4/2023</c:v>
                </c:pt>
                <c:pt idx="453">
                  <c:v>11/4/2023</c:v>
                </c:pt>
                <c:pt idx="454">
                  <c:v>12/4/2023</c:v>
                </c:pt>
                <c:pt idx="455">
                  <c:v>13/4/2023</c:v>
                </c:pt>
                <c:pt idx="456">
                  <c:v>14/4/2023</c:v>
                </c:pt>
                <c:pt idx="457">
                  <c:v>15/4/2023</c:v>
                </c:pt>
                <c:pt idx="458">
                  <c:v>16/4/2023</c:v>
                </c:pt>
                <c:pt idx="459">
                  <c:v>17/4/2023</c:v>
                </c:pt>
                <c:pt idx="460">
                  <c:v>18/4/2023</c:v>
                </c:pt>
                <c:pt idx="461">
                  <c:v>19/4/2023</c:v>
                </c:pt>
                <c:pt idx="462">
                  <c:v>20/4/2023</c:v>
                </c:pt>
                <c:pt idx="463">
                  <c:v>21/4/2023</c:v>
                </c:pt>
                <c:pt idx="464">
                  <c:v>22/4/2023</c:v>
                </c:pt>
                <c:pt idx="465">
                  <c:v>23/4/2023</c:v>
                </c:pt>
                <c:pt idx="466">
                  <c:v>24/4/2023</c:v>
                </c:pt>
                <c:pt idx="467">
                  <c:v>25/4/2023</c:v>
                </c:pt>
                <c:pt idx="468">
                  <c:v>26/4/2023</c:v>
                </c:pt>
                <c:pt idx="469">
                  <c:v>27/4/2023</c:v>
                </c:pt>
                <c:pt idx="470">
                  <c:v>28/4/2023</c:v>
                </c:pt>
                <c:pt idx="471">
                  <c:v>29/4/2023</c:v>
                </c:pt>
                <c:pt idx="472">
                  <c:v>30/4/2023</c:v>
                </c:pt>
                <c:pt idx="473">
                  <c:v>1/5/2023</c:v>
                </c:pt>
                <c:pt idx="474">
                  <c:v>2/5/2023</c:v>
                </c:pt>
                <c:pt idx="475">
                  <c:v>3/5/2023</c:v>
                </c:pt>
                <c:pt idx="476">
                  <c:v>4/5/2023</c:v>
                </c:pt>
                <c:pt idx="477">
                  <c:v>5/5/2023</c:v>
                </c:pt>
                <c:pt idx="478">
                  <c:v>6/5/2023</c:v>
                </c:pt>
                <c:pt idx="479">
                  <c:v>7/5/2023</c:v>
                </c:pt>
                <c:pt idx="480">
                  <c:v>8/5/2023</c:v>
                </c:pt>
                <c:pt idx="481">
                  <c:v>9/5/2023</c:v>
                </c:pt>
                <c:pt idx="482">
                  <c:v>10/5/2023</c:v>
                </c:pt>
                <c:pt idx="483">
                  <c:v>11/5/2023</c:v>
                </c:pt>
                <c:pt idx="484">
                  <c:v>12/5/2023</c:v>
                </c:pt>
                <c:pt idx="485">
                  <c:v>13/5/2023</c:v>
                </c:pt>
                <c:pt idx="486">
                  <c:v>14/5/2023</c:v>
                </c:pt>
                <c:pt idx="487">
                  <c:v>15/5/2023</c:v>
                </c:pt>
                <c:pt idx="488">
                  <c:v>16/5/2023</c:v>
                </c:pt>
                <c:pt idx="489">
                  <c:v>17/5/2023</c:v>
                </c:pt>
                <c:pt idx="490">
                  <c:v>18/5/2023</c:v>
                </c:pt>
                <c:pt idx="491">
                  <c:v>19/5/2023</c:v>
                </c:pt>
                <c:pt idx="492">
                  <c:v>20/5/2023</c:v>
                </c:pt>
                <c:pt idx="493">
                  <c:v>21/5/2023</c:v>
                </c:pt>
                <c:pt idx="494">
                  <c:v>22/5/2023</c:v>
                </c:pt>
                <c:pt idx="495">
                  <c:v>23/5/2023</c:v>
                </c:pt>
                <c:pt idx="496">
                  <c:v>24/5/2023</c:v>
                </c:pt>
                <c:pt idx="497">
                  <c:v>25/5/2023</c:v>
                </c:pt>
                <c:pt idx="498">
                  <c:v>26/5/2023</c:v>
                </c:pt>
                <c:pt idx="499">
                  <c:v>27/5/2023</c:v>
                </c:pt>
                <c:pt idx="500">
                  <c:v>28/5/2023</c:v>
                </c:pt>
                <c:pt idx="501">
                  <c:v>29/5/2023</c:v>
                </c:pt>
                <c:pt idx="502">
                  <c:v>30/5/2023</c:v>
                </c:pt>
                <c:pt idx="503">
                  <c:v>31/5/2023</c:v>
                </c:pt>
                <c:pt idx="504">
                  <c:v>1/6/2023</c:v>
                </c:pt>
                <c:pt idx="505">
                  <c:v>2/6/2023</c:v>
                </c:pt>
                <c:pt idx="506">
                  <c:v>3/6/2023</c:v>
                </c:pt>
                <c:pt idx="507">
                  <c:v>4/6/2023</c:v>
                </c:pt>
                <c:pt idx="508">
                  <c:v>5/6/2023</c:v>
                </c:pt>
                <c:pt idx="509">
                  <c:v>6/6/2023</c:v>
                </c:pt>
                <c:pt idx="510">
                  <c:v>7/6/2023</c:v>
                </c:pt>
                <c:pt idx="511">
                  <c:v>8/6/2023</c:v>
                </c:pt>
                <c:pt idx="512">
                  <c:v>9/6/2023</c:v>
                </c:pt>
                <c:pt idx="513">
                  <c:v>10/6/2023</c:v>
                </c:pt>
                <c:pt idx="514">
                  <c:v>11/6/2023</c:v>
                </c:pt>
                <c:pt idx="515">
                  <c:v>12/6/2023</c:v>
                </c:pt>
                <c:pt idx="516">
                  <c:v>13/6/2023</c:v>
                </c:pt>
                <c:pt idx="517">
                  <c:v>14/6/2023</c:v>
                </c:pt>
                <c:pt idx="518">
                  <c:v>15/6/2023</c:v>
                </c:pt>
                <c:pt idx="519">
                  <c:v>16/6/2023</c:v>
                </c:pt>
                <c:pt idx="520">
                  <c:v>17/6/2023</c:v>
                </c:pt>
                <c:pt idx="521">
                  <c:v>18/6/2023</c:v>
                </c:pt>
                <c:pt idx="522">
                  <c:v>19/6/2023</c:v>
                </c:pt>
                <c:pt idx="523">
                  <c:v>20/6/2023</c:v>
                </c:pt>
                <c:pt idx="524">
                  <c:v>21/6/2023</c:v>
                </c:pt>
                <c:pt idx="525">
                  <c:v>22/6/2023</c:v>
                </c:pt>
                <c:pt idx="526">
                  <c:v>23/6/2023</c:v>
                </c:pt>
                <c:pt idx="527">
                  <c:v>24/6/2023</c:v>
                </c:pt>
                <c:pt idx="528">
                  <c:v>25/6/2023</c:v>
                </c:pt>
                <c:pt idx="529">
                  <c:v>26/6/2023</c:v>
                </c:pt>
                <c:pt idx="530">
                  <c:v>27/6/2023</c:v>
                </c:pt>
                <c:pt idx="531">
                  <c:v>28/6/2023</c:v>
                </c:pt>
                <c:pt idx="532">
                  <c:v>29/6/2023</c:v>
                </c:pt>
                <c:pt idx="533">
                  <c:v>30/6/2023</c:v>
                </c:pt>
                <c:pt idx="534">
                  <c:v>1/7/2023</c:v>
                </c:pt>
                <c:pt idx="535">
                  <c:v>2/7/2023</c:v>
                </c:pt>
                <c:pt idx="536">
                  <c:v>3/7/2023</c:v>
                </c:pt>
                <c:pt idx="537">
                  <c:v>4/7/2023</c:v>
                </c:pt>
                <c:pt idx="538">
                  <c:v>5/7/2023</c:v>
                </c:pt>
                <c:pt idx="539">
                  <c:v>6/7/2023</c:v>
                </c:pt>
                <c:pt idx="540">
                  <c:v>7/7/2023</c:v>
                </c:pt>
                <c:pt idx="541">
                  <c:v>8/7/2023</c:v>
                </c:pt>
                <c:pt idx="542">
                  <c:v>9/7/2023</c:v>
                </c:pt>
                <c:pt idx="543">
                  <c:v>10/7/2023</c:v>
                </c:pt>
                <c:pt idx="544">
                  <c:v>11/7/2023</c:v>
                </c:pt>
                <c:pt idx="545">
                  <c:v>12/7/2023</c:v>
                </c:pt>
                <c:pt idx="546">
                  <c:v>13/7/2023</c:v>
                </c:pt>
                <c:pt idx="547">
                  <c:v>14/7/2023</c:v>
                </c:pt>
                <c:pt idx="548">
                  <c:v>15/7/2023</c:v>
                </c:pt>
                <c:pt idx="549">
                  <c:v>16/7/2023</c:v>
                </c:pt>
                <c:pt idx="550">
                  <c:v>17/7/2023</c:v>
                </c:pt>
                <c:pt idx="551">
                  <c:v>18/7/2023</c:v>
                </c:pt>
                <c:pt idx="552">
                  <c:v>19/7/2023</c:v>
                </c:pt>
                <c:pt idx="553">
                  <c:v>20/7/2023</c:v>
                </c:pt>
                <c:pt idx="554">
                  <c:v>21/7/2023</c:v>
                </c:pt>
                <c:pt idx="555">
                  <c:v>22/7/2023</c:v>
                </c:pt>
                <c:pt idx="556">
                  <c:v>23/7/2023</c:v>
                </c:pt>
                <c:pt idx="557">
                  <c:v>24/7/2023</c:v>
                </c:pt>
                <c:pt idx="558">
                  <c:v>25/7/2023</c:v>
                </c:pt>
                <c:pt idx="559">
                  <c:v>26/7/2023</c:v>
                </c:pt>
                <c:pt idx="560">
                  <c:v>27/7/2023</c:v>
                </c:pt>
                <c:pt idx="561">
                  <c:v>28/7/2023</c:v>
                </c:pt>
                <c:pt idx="562">
                  <c:v>29/7/2023</c:v>
                </c:pt>
                <c:pt idx="563">
                  <c:v>30/7/2023</c:v>
                </c:pt>
                <c:pt idx="564">
                  <c:v>31/7/2023</c:v>
                </c:pt>
                <c:pt idx="565">
                  <c:v>1/8/2023</c:v>
                </c:pt>
                <c:pt idx="566">
                  <c:v>2/8/2023</c:v>
                </c:pt>
                <c:pt idx="567">
                  <c:v>3/8/2023</c:v>
                </c:pt>
                <c:pt idx="568">
                  <c:v>4/8/2023</c:v>
                </c:pt>
                <c:pt idx="569">
                  <c:v>5/8/2023</c:v>
                </c:pt>
                <c:pt idx="570">
                  <c:v>6/8/2023</c:v>
                </c:pt>
                <c:pt idx="571">
                  <c:v>7/8/2023</c:v>
                </c:pt>
                <c:pt idx="572">
                  <c:v>8/8/2023</c:v>
                </c:pt>
                <c:pt idx="573">
                  <c:v>9/8/2023</c:v>
                </c:pt>
                <c:pt idx="574">
                  <c:v>10/8/2023</c:v>
                </c:pt>
                <c:pt idx="575">
                  <c:v>11/8/2023</c:v>
                </c:pt>
                <c:pt idx="576">
                  <c:v>12/8/2023</c:v>
                </c:pt>
                <c:pt idx="577">
                  <c:v>13/8/2023</c:v>
                </c:pt>
                <c:pt idx="578">
                  <c:v>14/8/2023</c:v>
                </c:pt>
                <c:pt idx="579">
                  <c:v>15/8/2023</c:v>
                </c:pt>
                <c:pt idx="580">
                  <c:v>16/8/2023</c:v>
                </c:pt>
                <c:pt idx="581">
                  <c:v>17/8/2023</c:v>
                </c:pt>
                <c:pt idx="582">
                  <c:v>18/8/2023</c:v>
                </c:pt>
                <c:pt idx="583">
                  <c:v>19/8/2023</c:v>
                </c:pt>
                <c:pt idx="584">
                  <c:v>20/8/2023</c:v>
                </c:pt>
                <c:pt idx="585">
                  <c:v>21/8/2023</c:v>
                </c:pt>
                <c:pt idx="586">
                  <c:v>22/8/2023</c:v>
                </c:pt>
                <c:pt idx="587">
                  <c:v>23/8/2023</c:v>
                </c:pt>
                <c:pt idx="588">
                  <c:v>24/8/2023</c:v>
                </c:pt>
                <c:pt idx="589">
                  <c:v>25/8/2023</c:v>
                </c:pt>
                <c:pt idx="590">
                  <c:v>26/8/2023</c:v>
                </c:pt>
                <c:pt idx="591">
                  <c:v>27/8/2023</c:v>
                </c:pt>
                <c:pt idx="592">
                  <c:v>28/8/2023</c:v>
                </c:pt>
                <c:pt idx="593">
                  <c:v>29/8/2023</c:v>
                </c:pt>
                <c:pt idx="594">
                  <c:v>30/8/2023</c:v>
                </c:pt>
                <c:pt idx="595">
                  <c:v>31/8/2023</c:v>
                </c:pt>
                <c:pt idx="596">
                  <c:v>1/9/2023</c:v>
                </c:pt>
                <c:pt idx="597">
                  <c:v>2/9/2023</c:v>
                </c:pt>
                <c:pt idx="598">
                  <c:v>3/9/2023</c:v>
                </c:pt>
                <c:pt idx="599">
                  <c:v>4/9/2023</c:v>
                </c:pt>
                <c:pt idx="600">
                  <c:v>5/9/2023</c:v>
                </c:pt>
                <c:pt idx="601">
                  <c:v>6/9/2023</c:v>
                </c:pt>
                <c:pt idx="602">
                  <c:v>7/9/2023</c:v>
                </c:pt>
                <c:pt idx="603">
                  <c:v>8/9/2023</c:v>
                </c:pt>
                <c:pt idx="604">
                  <c:v>9/9/2023</c:v>
                </c:pt>
                <c:pt idx="605">
                  <c:v>10/9/2023</c:v>
                </c:pt>
                <c:pt idx="606">
                  <c:v>11/9/2023</c:v>
                </c:pt>
                <c:pt idx="607">
                  <c:v>12/9/2023</c:v>
                </c:pt>
                <c:pt idx="608">
                  <c:v>13/9/2023</c:v>
                </c:pt>
                <c:pt idx="609">
                  <c:v>14/9/2023</c:v>
                </c:pt>
                <c:pt idx="610">
                  <c:v>15/9/2023</c:v>
                </c:pt>
                <c:pt idx="611">
                  <c:v>16/9/2023</c:v>
                </c:pt>
                <c:pt idx="612">
                  <c:v>17/9/2023</c:v>
                </c:pt>
                <c:pt idx="613">
                  <c:v>18/9/2023</c:v>
                </c:pt>
                <c:pt idx="614">
                  <c:v>19/9/2023</c:v>
                </c:pt>
                <c:pt idx="615">
                  <c:v>20/9/2023</c:v>
                </c:pt>
                <c:pt idx="616">
                  <c:v>21/9/2023</c:v>
                </c:pt>
                <c:pt idx="617">
                  <c:v>22/9/2023</c:v>
                </c:pt>
                <c:pt idx="618">
                  <c:v>23/9/2023</c:v>
                </c:pt>
                <c:pt idx="619">
                  <c:v>24/9/2023</c:v>
                </c:pt>
                <c:pt idx="620">
                  <c:v>25/9/2023</c:v>
                </c:pt>
                <c:pt idx="621">
                  <c:v>26/9/2023</c:v>
                </c:pt>
                <c:pt idx="622">
                  <c:v>27/9/2023</c:v>
                </c:pt>
                <c:pt idx="623">
                  <c:v>28/9/2023</c:v>
                </c:pt>
                <c:pt idx="624">
                  <c:v>29/9/2023</c:v>
                </c:pt>
                <c:pt idx="625">
                  <c:v>30/9/2023</c:v>
                </c:pt>
                <c:pt idx="626">
                  <c:v>1/10/2023</c:v>
                </c:pt>
                <c:pt idx="627">
                  <c:v>2/10/2023</c:v>
                </c:pt>
                <c:pt idx="628">
                  <c:v>3/10/2023</c:v>
                </c:pt>
                <c:pt idx="629">
                  <c:v>4/10/2023</c:v>
                </c:pt>
                <c:pt idx="630">
                  <c:v>5/10/2023</c:v>
                </c:pt>
                <c:pt idx="631">
                  <c:v>6/10/2023</c:v>
                </c:pt>
                <c:pt idx="632">
                  <c:v>7/10/2023</c:v>
                </c:pt>
                <c:pt idx="633">
                  <c:v>8/10/2023</c:v>
                </c:pt>
                <c:pt idx="634">
                  <c:v>9/10/2023</c:v>
                </c:pt>
                <c:pt idx="635">
                  <c:v>10/10/2023</c:v>
                </c:pt>
                <c:pt idx="636">
                  <c:v>11/10/2023</c:v>
                </c:pt>
                <c:pt idx="637">
                  <c:v>12/10/2023</c:v>
                </c:pt>
                <c:pt idx="638">
                  <c:v>13/10/2023</c:v>
                </c:pt>
                <c:pt idx="639">
                  <c:v>14/10/2023</c:v>
                </c:pt>
                <c:pt idx="640">
                  <c:v>15/10/2023</c:v>
                </c:pt>
                <c:pt idx="641">
                  <c:v>16/10/2023</c:v>
                </c:pt>
                <c:pt idx="642">
                  <c:v>17/10/2023</c:v>
                </c:pt>
                <c:pt idx="643">
                  <c:v>18/10/2023</c:v>
                </c:pt>
                <c:pt idx="644">
                  <c:v>19/10/2023</c:v>
                </c:pt>
                <c:pt idx="645">
                  <c:v>20/10/2023</c:v>
                </c:pt>
                <c:pt idx="646">
                  <c:v>21/10/2023</c:v>
                </c:pt>
                <c:pt idx="647">
                  <c:v>22/10/2023</c:v>
                </c:pt>
                <c:pt idx="648">
                  <c:v>23/10/2023</c:v>
                </c:pt>
                <c:pt idx="649">
                  <c:v>24/10/2023</c:v>
                </c:pt>
                <c:pt idx="650">
                  <c:v>25/10/2023</c:v>
                </c:pt>
                <c:pt idx="651">
                  <c:v>26/10/2023</c:v>
                </c:pt>
                <c:pt idx="652">
                  <c:v>27/10/2023</c:v>
                </c:pt>
                <c:pt idx="653">
                  <c:v>28/10/2023</c:v>
                </c:pt>
                <c:pt idx="654">
                  <c:v>29/10/2023</c:v>
                </c:pt>
                <c:pt idx="655">
                  <c:v>30/10/2023</c:v>
                </c:pt>
                <c:pt idx="656">
                  <c:v>31/10/2023</c:v>
                </c:pt>
                <c:pt idx="657">
                  <c:v>1/11/2023</c:v>
                </c:pt>
                <c:pt idx="658">
                  <c:v>2/11/2023</c:v>
                </c:pt>
                <c:pt idx="659">
                  <c:v>3/11/2023</c:v>
                </c:pt>
                <c:pt idx="660">
                  <c:v>4/11/2023</c:v>
                </c:pt>
                <c:pt idx="661">
                  <c:v>5/11/2023</c:v>
                </c:pt>
                <c:pt idx="662">
                  <c:v>6/11/2023</c:v>
                </c:pt>
                <c:pt idx="663">
                  <c:v>7/11/2023</c:v>
                </c:pt>
                <c:pt idx="664">
                  <c:v>8/11/2023</c:v>
                </c:pt>
                <c:pt idx="665">
                  <c:v>9/11/2023</c:v>
                </c:pt>
                <c:pt idx="666">
                  <c:v>10/11/2023</c:v>
                </c:pt>
                <c:pt idx="667">
                  <c:v>11/11/2023</c:v>
                </c:pt>
                <c:pt idx="668">
                  <c:v>12/11/2023</c:v>
                </c:pt>
                <c:pt idx="669">
                  <c:v>13/11/2023</c:v>
                </c:pt>
                <c:pt idx="670">
                  <c:v>14/11/2023</c:v>
                </c:pt>
                <c:pt idx="671">
                  <c:v>15/11/2023</c:v>
                </c:pt>
                <c:pt idx="672">
                  <c:v>16/11/2023</c:v>
                </c:pt>
                <c:pt idx="673">
                  <c:v>17/11/2023</c:v>
                </c:pt>
                <c:pt idx="674">
                  <c:v>18/11/2023</c:v>
                </c:pt>
                <c:pt idx="675">
                  <c:v>19/11/2023</c:v>
                </c:pt>
                <c:pt idx="676">
                  <c:v>20/11/2023</c:v>
                </c:pt>
                <c:pt idx="677">
                  <c:v>21/11/2023</c:v>
                </c:pt>
                <c:pt idx="678">
                  <c:v>22/11/2023</c:v>
                </c:pt>
                <c:pt idx="679">
                  <c:v>23/11/2023</c:v>
                </c:pt>
                <c:pt idx="680">
                  <c:v>24/11/2023</c:v>
                </c:pt>
                <c:pt idx="681">
                  <c:v>25/11/2023</c:v>
                </c:pt>
                <c:pt idx="682">
                  <c:v>26/11/2023</c:v>
                </c:pt>
                <c:pt idx="683">
                  <c:v>27/11/2023</c:v>
                </c:pt>
                <c:pt idx="684">
                  <c:v>28/11/2023</c:v>
                </c:pt>
                <c:pt idx="685">
                  <c:v>29/11/2023</c:v>
                </c:pt>
                <c:pt idx="686">
                  <c:v>30/11/2023</c:v>
                </c:pt>
                <c:pt idx="687">
                  <c:v>1/12/2023</c:v>
                </c:pt>
                <c:pt idx="688">
                  <c:v>2/12/2023</c:v>
                </c:pt>
                <c:pt idx="689">
                  <c:v>3/12/2023</c:v>
                </c:pt>
                <c:pt idx="690">
                  <c:v>4/12/2023</c:v>
                </c:pt>
                <c:pt idx="691">
                  <c:v>5/12/2023</c:v>
                </c:pt>
                <c:pt idx="692">
                  <c:v>6/12/2023</c:v>
                </c:pt>
                <c:pt idx="693">
                  <c:v>7/12/2023</c:v>
                </c:pt>
                <c:pt idx="694">
                  <c:v>8/12/2023</c:v>
                </c:pt>
                <c:pt idx="695">
                  <c:v>9/12/2023</c:v>
                </c:pt>
                <c:pt idx="696">
                  <c:v>10/12/2023</c:v>
                </c:pt>
                <c:pt idx="697">
                  <c:v>11/12/2023</c:v>
                </c:pt>
                <c:pt idx="698">
                  <c:v>12/12/2023</c:v>
                </c:pt>
                <c:pt idx="699">
                  <c:v>13/12/2023</c:v>
                </c:pt>
                <c:pt idx="700">
                  <c:v>14/12/2023</c:v>
                </c:pt>
                <c:pt idx="701">
                  <c:v>15/12/2023</c:v>
                </c:pt>
                <c:pt idx="702">
                  <c:v>16/12/2023</c:v>
                </c:pt>
                <c:pt idx="703">
                  <c:v>17/12/2023</c:v>
                </c:pt>
                <c:pt idx="704">
                  <c:v>18/12/2023</c:v>
                </c:pt>
                <c:pt idx="705">
                  <c:v>19/12/2023</c:v>
                </c:pt>
                <c:pt idx="706">
                  <c:v>20/12/2023</c:v>
                </c:pt>
                <c:pt idx="707">
                  <c:v>21/12/2023</c:v>
                </c:pt>
                <c:pt idx="708">
                  <c:v>22/12/2023</c:v>
                </c:pt>
                <c:pt idx="709">
                  <c:v>23/12/2023</c:v>
                </c:pt>
                <c:pt idx="710">
                  <c:v>24/12/2023</c:v>
                </c:pt>
                <c:pt idx="711">
                  <c:v>25/12/2023</c:v>
                </c:pt>
                <c:pt idx="712">
                  <c:v>26/12/2023</c:v>
                </c:pt>
                <c:pt idx="713">
                  <c:v>27/12/2023</c:v>
                </c:pt>
                <c:pt idx="714">
                  <c:v>28/12/2023</c:v>
                </c:pt>
                <c:pt idx="715">
                  <c:v>29/12/2023</c:v>
                </c:pt>
                <c:pt idx="716">
                  <c:v>30/12/2023</c:v>
                </c:pt>
                <c:pt idx="717">
                  <c:v>31/12/2023</c:v>
                </c:pt>
                <c:pt idx="718">
                  <c:v>1/1/2024</c:v>
                </c:pt>
                <c:pt idx="719">
                  <c:v>2/1/2024</c:v>
                </c:pt>
                <c:pt idx="720">
                  <c:v>3/1/2024</c:v>
                </c:pt>
                <c:pt idx="721">
                  <c:v>4/1/2024</c:v>
                </c:pt>
                <c:pt idx="722">
                  <c:v>5/1/2024</c:v>
                </c:pt>
                <c:pt idx="723">
                  <c:v>6/1/2024</c:v>
                </c:pt>
                <c:pt idx="724">
                  <c:v>7/1/2024</c:v>
                </c:pt>
                <c:pt idx="725">
                  <c:v>8/1/2024</c:v>
                </c:pt>
                <c:pt idx="726">
                  <c:v>9/1/2024</c:v>
                </c:pt>
                <c:pt idx="727">
                  <c:v>10/1/2024</c:v>
                </c:pt>
                <c:pt idx="728">
                  <c:v>11/1/2024</c:v>
                </c:pt>
                <c:pt idx="729">
                  <c:v>12/1/2024</c:v>
                </c:pt>
                <c:pt idx="730">
                  <c:v>13/1/2024</c:v>
                </c:pt>
                <c:pt idx="731">
                  <c:v>14/1/2024</c:v>
                </c:pt>
                <c:pt idx="732">
                  <c:v>15/1/2024</c:v>
                </c:pt>
                <c:pt idx="733">
                  <c:v>16/1/2024</c:v>
                </c:pt>
                <c:pt idx="734">
                  <c:v>17/1/2024</c:v>
                </c:pt>
                <c:pt idx="735">
                  <c:v>18/1/2024</c:v>
                </c:pt>
                <c:pt idx="736">
                  <c:v>19/1/2024</c:v>
                </c:pt>
                <c:pt idx="737">
                  <c:v>20/1/2024</c:v>
                </c:pt>
                <c:pt idx="738">
                  <c:v>21/1/2024</c:v>
                </c:pt>
                <c:pt idx="739">
                  <c:v>22/1/2024</c:v>
                </c:pt>
                <c:pt idx="740">
                  <c:v>23/1/2024</c:v>
                </c:pt>
                <c:pt idx="741">
                  <c:v>24/1/2024</c:v>
                </c:pt>
                <c:pt idx="742">
                  <c:v>25/1/2024</c:v>
                </c:pt>
                <c:pt idx="743">
                  <c:v>26/1/2024</c:v>
                </c:pt>
                <c:pt idx="744">
                  <c:v>27/1/2024</c:v>
                </c:pt>
                <c:pt idx="745">
                  <c:v>28/1/2024</c:v>
                </c:pt>
                <c:pt idx="746">
                  <c:v>29/1/2024</c:v>
                </c:pt>
                <c:pt idx="747">
                  <c:v>30/1/2024</c:v>
                </c:pt>
                <c:pt idx="748">
                  <c:v>31/1/2024</c:v>
                </c:pt>
                <c:pt idx="749">
                  <c:v>1/2/2024</c:v>
                </c:pt>
                <c:pt idx="750">
                  <c:v>2/2/2024</c:v>
                </c:pt>
                <c:pt idx="751">
                  <c:v>3/2/2024</c:v>
                </c:pt>
                <c:pt idx="752">
                  <c:v>4/2/2024</c:v>
                </c:pt>
                <c:pt idx="753">
                  <c:v>5/2/2024</c:v>
                </c:pt>
                <c:pt idx="754">
                  <c:v>6/2/2024</c:v>
                </c:pt>
                <c:pt idx="755">
                  <c:v>7/2/2024</c:v>
                </c:pt>
                <c:pt idx="756">
                  <c:v>8/2/2024</c:v>
                </c:pt>
                <c:pt idx="757">
                  <c:v>9/2/2024</c:v>
                </c:pt>
                <c:pt idx="758">
                  <c:v>10/2/2024</c:v>
                </c:pt>
                <c:pt idx="759">
                  <c:v>11/2/2024</c:v>
                </c:pt>
                <c:pt idx="760">
                  <c:v>12/2/2024</c:v>
                </c:pt>
                <c:pt idx="761">
                  <c:v>13/2/2024</c:v>
                </c:pt>
                <c:pt idx="762">
                  <c:v>14/2/2024</c:v>
                </c:pt>
                <c:pt idx="763">
                  <c:v>15/2/2024</c:v>
                </c:pt>
                <c:pt idx="764">
                  <c:v>16/2/2024</c:v>
                </c:pt>
                <c:pt idx="765">
                  <c:v>17/2/2024</c:v>
                </c:pt>
                <c:pt idx="766">
                  <c:v>18/2/2024</c:v>
                </c:pt>
                <c:pt idx="767">
                  <c:v>19/2/2024</c:v>
                </c:pt>
                <c:pt idx="768">
                  <c:v>20/2/2024</c:v>
                </c:pt>
                <c:pt idx="769">
                  <c:v>21/2/2024</c:v>
                </c:pt>
                <c:pt idx="770">
                  <c:v>22/2/2024</c:v>
                </c:pt>
                <c:pt idx="771">
                  <c:v>23/2/2024</c:v>
                </c:pt>
                <c:pt idx="772">
                  <c:v>24/2/2024</c:v>
                </c:pt>
                <c:pt idx="773">
                  <c:v>25/2/2024</c:v>
                </c:pt>
                <c:pt idx="774">
                  <c:v>26/2/2024</c:v>
                </c:pt>
                <c:pt idx="775">
                  <c:v>27/2/2024</c:v>
                </c:pt>
                <c:pt idx="776">
                  <c:v>28/2/2024</c:v>
                </c:pt>
                <c:pt idx="777">
                  <c:v>29/2/2024</c:v>
                </c:pt>
                <c:pt idx="778">
                  <c:v>1/3/2024</c:v>
                </c:pt>
                <c:pt idx="779">
                  <c:v>2/3/2024</c:v>
                </c:pt>
                <c:pt idx="780">
                  <c:v>3/3/2024</c:v>
                </c:pt>
                <c:pt idx="781">
                  <c:v>4/3/2024</c:v>
                </c:pt>
                <c:pt idx="782">
                  <c:v>5/3/2024</c:v>
                </c:pt>
                <c:pt idx="783">
                  <c:v>6/3/2024</c:v>
                </c:pt>
                <c:pt idx="784">
                  <c:v>7/3/2024</c:v>
                </c:pt>
                <c:pt idx="785">
                  <c:v>8/3/2024</c:v>
                </c:pt>
                <c:pt idx="786">
                  <c:v>9/3/2024</c:v>
                </c:pt>
                <c:pt idx="787">
                  <c:v>10/3/2024</c:v>
                </c:pt>
                <c:pt idx="788">
                  <c:v>11/3/2024</c:v>
                </c:pt>
                <c:pt idx="789">
                  <c:v>12/3/2024</c:v>
                </c:pt>
                <c:pt idx="790">
                  <c:v>13/3/2024</c:v>
                </c:pt>
                <c:pt idx="791">
                  <c:v>14/3/2024</c:v>
                </c:pt>
                <c:pt idx="792">
                  <c:v>15/3/2024</c:v>
                </c:pt>
                <c:pt idx="793">
                  <c:v>16/3/2024</c:v>
                </c:pt>
                <c:pt idx="794">
                  <c:v>17/3/2024</c:v>
                </c:pt>
                <c:pt idx="795">
                  <c:v>18/3/2024</c:v>
                </c:pt>
                <c:pt idx="796">
                  <c:v>19/3/2024</c:v>
                </c:pt>
                <c:pt idx="797">
                  <c:v>20/3/2024</c:v>
                </c:pt>
                <c:pt idx="798">
                  <c:v>21/3/2024</c:v>
                </c:pt>
                <c:pt idx="799">
                  <c:v>22/3/2024</c:v>
                </c:pt>
                <c:pt idx="800">
                  <c:v>23/3/2024</c:v>
                </c:pt>
                <c:pt idx="801">
                  <c:v>24/3/2024</c:v>
                </c:pt>
                <c:pt idx="802">
                  <c:v>25/3/2024</c:v>
                </c:pt>
                <c:pt idx="803">
                  <c:v>26/3/2024</c:v>
                </c:pt>
                <c:pt idx="804">
                  <c:v>27/3/2024</c:v>
                </c:pt>
                <c:pt idx="805">
                  <c:v>28/3/2024</c:v>
                </c:pt>
                <c:pt idx="806">
                  <c:v>29/3/2024</c:v>
                </c:pt>
                <c:pt idx="807">
                  <c:v>30/3/2024</c:v>
                </c:pt>
                <c:pt idx="808">
                  <c:v>31/3/2024</c:v>
                </c:pt>
                <c:pt idx="809">
                  <c:v>1/4/2024</c:v>
                </c:pt>
                <c:pt idx="810">
                  <c:v>2/4/2024</c:v>
                </c:pt>
                <c:pt idx="811">
                  <c:v>3/4/2024</c:v>
                </c:pt>
                <c:pt idx="812">
                  <c:v>4/4/2024</c:v>
                </c:pt>
                <c:pt idx="813">
                  <c:v>5/4/2024</c:v>
                </c:pt>
                <c:pt idx="814">
                  <c:v>6/4/2024</c:v>
                </c:pt>
                <c:pt idx="815">
                  <c:v>7/4/2024</c:v>
                </c:pt>
                <c:pt idx="816">
                  <c:v>8/4/2024</c:v>
                </c:pt>
                <c:pt idx="817">
                  <c:v>9/4/2024</c:v>
                </c:pt>
                <c:pt idx="818">
                  <c:v>10/4/2024</c:v>
                </c:pt>
                <c:pt idx="819">
                  <c:v>11/4/2024</c:v>
                </c:pt>
                <c:pt idx="820">
                  <c:v>12/4/2024</c:v>
                </c:pt>
                <c:pt idx="821">
                  <c:v>13/4/2024</c:v>
                </c:pt>
                <c:pt idx="822">
                  <c:v>14/4/2024</c:v>
                </c:pt>
                <c:pt idx="823">
                  <c:v>15/4/2024</c:v>
                </c:pt>
                <c:pt idx="824">
                  <c:v>16/4/2024</c:v>
                </c:pt>
                <c:pt idx="825">
                  <c:v>17/4/2024</c:v>
                </c:pt>
                <c:pt idx="826">
                  <c:v>18/4/2024</c:v>
                </c:pt>
                <c:pt idx="827">
                  <c:v>19/4/2024</c:v>
                </c:pt>
                <c:pt idx="828">
                  <c:v>20/4/2024</c:v>
                </c:pt>
                <c:pt idx="829">
                  <c:v>21/4/2024</c:v>
                </c:pt>
                <c:pt idx="830">
                  <c:v>22/4/2024</c:v>
                </c:pt>
                <c:pt idx="831">
                  <c:v>23/4/2024</c:v>
                </c:pt>
                <c:pt idx="832">
                  <c:v>24/4/2024</c:v>
                </c:pt>
                <c:pt idx="833">
                  <c:v>25/4/2024</c:v>
                </c:pt>
                <c:pt idx="834">
                  <c:v>26/4/2024</c:v>
                </c:pt>
                <c:pt idx="835">
                  <c:v>27/4/2024</c:v>
                </c:pt>
                <c:pt idx="836">
                  <c:v>28/4/2024</c:v>
                </c:pt>
                <c:pt idx="837">
                  <c:v>29/4/2024</c:v>
                </c:pt>
                <c:pt idx="838">
                  <c:v>30/4/2024</c:v>
                </c:pt>
                <c:pt idx="839">
                  <c:v>1/5/2024</c:v>
                </c:pt>
                <c:pt idx="840">
                  <c:v>2/5/2024</c:v>
                </c:pt>
                <c:pt idx="841">
                  <c:v>3/5/2024</c:v>
                </c:pt>
                <c:pt idx="842">
                  <c:v>4/5/2024</c:v>
                </c:pt>
                <c:pt idx="843">
                  <c:v>5/5/2024</c:v>
                </c:pt>
                <c:pt idx="844">
                  <c:v>6/5/2024</c:v>
                </c:pt>
                <c:pt idx="845">
                  <c:v>7/5/2024</c:v>
                </c:pt>
                <c:pt idx="846">
                  <c:v>8/5/2024</c:v>
                </c:pt>
                <c:pt idx="847">
                  <c:v>9/5/2024</c:v>
                </c:pt>
                <c:pt idx="848">
                  <c:v>10/5/2024</c:v>
                </c:pt>
                <c:pt idx="849">
                  <c:v>11/5/2024</c:v>
                </c:pt>
                <c:pt idx="850">
                  <c:v>12/5/2024</c:v>
                </c:pt>
                <c:pt idx="851">
                  <c:v>13/5/2024</c:v>
                </c:pt>
                <c:pt idx="852">
                  <c:v>14/5/2024</c:v>
                </c:pt>
                <c:pt idx="853">
                  <c:v>15/5/2024</c:v>
                </c:pt>
                <c:pt idx="854">
                  <c:v>16/5/2024</c:v>
                </c:pt>
                <c:pt idx="855">
                  <c:v>17/5/2024</c:v>
                </c:pt>
                <c:pt idx="856">
                  <c:v>18/5/2024</c:v>
                </c:pt>
                <c:pt idx="857">
                  <c:v>19/5/2024</c:v>
                </c:pt>
                <c:pt idx="858">
                  <c:v>20/5/2024</c:v>
                </c:pt>
                <c:pt idx="859">
                  <c:v>21/5/2024</c:v>
                </c:pt>
                <c:pt idx="860">
                  <c:v>22/5/2024</c:v>
                </c:pt>
                <c:pt idx="861">
                  <c:v>23/5/2024</c:v>
                </c:pt>
                <c:pt idx="862">
                  <c:v>24/5/2024</c:v>
                </c:pt>
                <c:pt idx="863">
                  <c:v>25/5/2024</c:v>
                </c:pt>
                <c:pt idx="864">
                  <c:v>26/5/2024</c:v>
                </c:pt>
                <c:pt idx="865">
                  <c:v>27/5/2024</c:v>
                </c:pt>
                <c:pt idx="866">
                  <c:v>28/5/2024</c:v>
                </c:pt>
                <c:pt idx="867">
                  <c:v>29/5/2024</c:v>
                </c:pt>
                <c:pt idx="868">
                  <c:v>30/5/2024</c:v>
                </c:pt>
                <c:pt idx="869">
                  <c:v>31/5/2024</c:v>
                </c:pt>
                <c:pt idx="870">
                  <c:v>1/6/2024</c:v>
                </c:pt>
                <c:pt idx="871">
                  <c:v>2/6/2024</c:v>
                </c:pt>
                <c:pt idx="872">
                  <c:v>3/6/2024</c:v>
                </c:pt>
                <c:pt idx="873">
                  <c:v>4/6/2024</c:v>
                </c:pt>
                <c:pt idx="874">
                  <c:v>5/6/2024</c:v>
                </c:pt>
                <c:pt idx="875">
                  <c:v>6/6/2024</c:v>
                </c:pt>
                <c:pt idx="876">
                  <c:v>7/6/2024</c:v>
                </c:pt>
                <c:pt idx="877">
                  <c:v>8/6/2024</c:v>
                </c:pt>
                <c:pt idx="878">
                  <c:v>9/6/2024</c:v>
                </c:pt>
                <c:pt idx="879">
                  <c:v>10/6/2024</c:v>
                </c:pt>
                <c:pt idx="880">
                  <c:v>11/6/2024</c:v>
                </c:pt>
                <c:pt idx="881">
                  <c:v>12/6/2024</c:v>
                </c:pt>
                <c:pt idx="882">
                  <c:v>13/6/2024</c:v>
                </c:pt>
                <c:pt idx="883">
                  <c:v>14/6/2024</c:v>
                </c:pt>
                <c:pt idx="884">
                  <c:v>15/6/2024</c:v>
                </c:pt>
                <c:pt idx="885">
                  <c:v>16/6/2024</c:v>
                </c:pt>
                <c:pt idx="886">
                  <c:v>17/6/2024</c:v>
                </c:pt>
                <c:pt idx="887">
                  <c:v>18/6/2024</c:v>
                </c:pt>
                <c:pt idx="888">
                  <c:v>19/6/2024</c:v>
                </c:pt>
                <c:pt idx="889">
                  <c:v>20/6/2024</c:v>
                </c:pt>
                <c:pt idx="890">
                  <c:v>21/6/2024</c:v>
                </c:pt>
                <c:pt idx="891">
                  <c:v>22/6/2024</c:v>
                </c:pt>
                <c:pt idx="892">
                  <c:v>23/6/2024</c:v>
                </c:pt>
                <c:pt idx="893">
                  <c:v>24/6/2024</c:v>
                </c:pt>
                <c:pt idx="894">
                  <c:v>25/6/2024</c:v>
                </c:pt>
                <c:pt idx="895">
                  <c:v>26/6/2024</c:v>
                </c:pt>
                <c:pt idx="896">
                  <c:v>27/6/2024</c:v>
                </c:pt>
                <c:pt idx="897">
                  <c:v>28/6/2024</c:v>
                </c:pt>
                <c:pt idx="898">
                  <c:v>29/6/2024</c:v>
                </c:pt>
                <c:pt idx="899">
                  <c:v>30/6/2024</c:v>
                </c:pt>
                <c:pt idx="900">
                  <c:v>1/7/2024</c:v>
                </c:pt>
                <c:pt idx="901">
                  <c:v>2/7/2024</c:v>
                </c:pt>
                <c:pt idx="902">
                  <c:v>3/7/2024</c:v>
                </c:pt>
                <c:pt idx="903">
                  <c:v>4/7/2024</c:v>
                </c:pt>
                <c:pt idx="904">
                  <c:v>5/7/2024</c:v>
                </c:pt>
                <c:pt idx="905">
                  <c:v>6/7/2024</c:v>
                </c:pt>
                <c:pt idx="906">
                  <c:v>7/7/2024</c:v>
                </c:pt>
                <c:pt idx="907">
                  <c:v>8/7/2024</c:v>
                </c:pt>
                <c:pt idx="908">
                  <c:v>9/7/2024</c:v>
                </c:pt>
                <c:pt idx="909">
                  <c:v>10/7/2024</c:v>
                </c:pt>
                <c:pt idx="910">
                  <c:v>11/7/2024</c:v>
                </c:pt>
                <c:pt idx="911">
                  <c:v>12/7/2024</c:v>
                </c:pt>
                <c:pt idx="912">
                  <c:v>13/7/2024</c:v>
                </c:pt>
                <c:pt idx="913">
                  <c:v>14/7/2024</c:v>
                </c:pt>
                <c:pt idx="914">
                  <c:v>15/7/2024</c:v>
                </c:pt>
                <c:pt idx="915">
                  <c:v>16/7/2024</c:v>
                </c:pt>
                <c:pt idx="916">
                  <c:v>17/7/2024</c:v>
                </c:pt>
                <c:pt idx="917">
                  <c:v>18/7/2024</c:v>
                </c:pt>
                <c:pt idx="918">
                  <c:v>19/7/2024</c:v>
                </c:pt>
                <c:pt idx="919">
                  <c:v>20/7/2024</c:v>
                </c:pt>
                <c:pt idx="920">
                  <c:v>21/7/2024</c:v>
                </c:pt>
                <c:pt idx="921">
                  <c:v>22/7/2024</c:v>
                </c:pt>
                <c:pt idx="922">
                  <c:v>23/7/2024</c:v>
                </c:pt>
                <c:pt idx="923">
                  <c:v>24/7/2024</c:v>
                </c:pt>
                <c:pt idx="924">
                  <c:v>25/7/2024</c:v>
                </c:pt>
                <c:pt idx="925">
                  <c:v>26/7/2024</c:v>
                </c:pt>
                <c:pt idx="926">
                  <c:v>27/7/2024</c:v>
                </c:pt>
                <c:pt idx="927">
                  <c:v>28/7/2024</c:v>
                </c:pt>
                <c:pt idx="928">
                  <c:v>29/7/2024</c:v>
                </c:pt>
                <c:pt idx="929">
                  <c:v>30/7/2024</c:v>
                </c:pt>
                <c:pt idx="930">
                  <c:v>31/7/2024</c:v>
                </c:pt>
                <c:pt idx="931">
                  <c:v>1/8/2024</c:v>
                </c:pt>
                <c:pt idx="932">
                  <c:v>2/8/2024</c:v>
                </c:pt>
                <c:pt idx="933">
                  <c:v>3/8/2024</c:v>
                </c:pt>
                <c:pt idx="934">
                  <c:v>4/8/2024</c:v>
                </c:pt>
                <c:pt idx="935">
                  <c:v>5/8/2024</c:v>
                </c:pt>
                <c:pt idx="936">
                  <c:v>6/8/2024</c:v>
                </c:pt>
                <c:pt idx="937">
                  <c:v>7/8/2024</c:v>
                </c:pt>
                <c:pt idx="938">
                  <c:v>8/8/2024</c:v>
                </c:pt>
                <c:pt idx="939">
                  <c:v>9/8/2024</c:v>
                </c:pt>
                <c:pt idx="940">
                  <c:v>10/8/2024</c:v>
                </c:pt>
                <c:pt idx="941">
                  <c:v>11/8/2024</c:v>
                </c:pt>
                <c:pt idx="942">
                  <c:v>12/8/2024</c:v>
                </c:pt>
                <c:pt idx="943">
                  <c:v>13/8/2024</c:v>
                </c:pt>
                <c:pt idx="944">
                  <c:v>14/8/2024</c:v>
                </c:pt>
                <c:pt idx="945">
                  <c:v>15/8/2024</c:v>
                </c:pt>
                <c:pt idx="946">
                  <c:v>16/8/2024</c:v>
                </c:pt>
                <c:pt idx="947">
                  <c:v>17/8/2024</c:v>
                </c:pt>
                <c:pt idx="948">
                  <c:v>18/8/2024</c:v>
                </c:pt>
                <c:pt idx="949">
                  <c:v>19/8/2024</c:v>
                </c:pt>
                <c:pt idx="950">
                  <c:v>20/8/2024</c:v>
                </c:pt>
                <c:pt idx="951">
                  <c:v>21/8/2024</c:v>
                </c:pt>
                <c:pt idx="952">
                  <c:v>22/8/2024</c:v>
                </c:pt>
                <c:pt idx="953">
                  <c:v>23/8/2024</c:v>
                </c:pt>
                <c:pt idx="954">
                  <c:v>24/8/2024</c:v>
                </c:pt>
                <c:pt idx="955">
                  <c:v>25/8/2024</c:v>
                </c:pt>
                <c:pt idx="956">
                  <c:v>26/8/2024</c:v>
                </c:pt>
                <c:pt idx="957">
                  <c:v>27/8/2024</c:v>
                </c:pt>
                <c:pt idx="958">
                  <c:v>28/8/2024</c:v>
                </c:pt>
                <c:pt idx="959">
                  <c:v>29/8/2024</c:v>
                </c:pt>
                <c:pt idx="960">
                  <c:v>30/8/2024</c:v>
                </c:pt>
                <c:pt idx="961">
                  <c:v>31/8/2024</c:v>
                </c:pt>
                <c:pt idx="962">
                  <c:v>1/9/2024</c:v>
                </c:pt>
                <c:pt idx="963">
                  <c:v>2/9/2024</c:v>
                </c:pt>
                <c:pt idx="964">
                  <c:v>3/9/2024</c:v>
                </c:pt>
                <c:pt idx="965">
                  <c:v>4/9/2024</c:v>
                </c:pt>
                <c:pt idx="966">
                  <c:v>5/9/2024</c:v>
                </c:pt>
                <c:pt idx="967">
                  <c:v>6/9/2024</c:v>
                </c:pt>
                <c:pt idx="968">
                  <c:v>7/9/2024</c:v>
                </c:pt>
                <c:pt idx="969">
                  <c:v>8/9/2024</c:v>
                </c:pt>
                <c:pt idx="970">
                  <c:v>9/9/2024</c:v>
                </c:pt>
                <c:pt idx="971">
                  <c:v>10/9/2024</c:v>
                </c:pt>
                <c:pt idx="972">
                  <c:v>11/9/2024</c:v>
                </c:pt>
                <c:pt idx="973">
                  <c:v>12/9/2024</c:v>
                </c:pt>
                <c:pt idx="974">
                  <c:v>13/9/2024</c:v>
                </c:pt>
                <c:pt idx="975">
                  <c:v>14/9/2024</c:v>
                </c:pt>
                <c:pt idx="976">
                  <c:v>15/9/2024</c:v>
                </c:pt>
                <c:pt idx="977">
                  <c:v>16/9/2024</c:v>
                </c:pt>
                <c:pt idx="978">
                  <c:v>17/9/2024</c:v>
                </c:pt>
                <c:pt idx="979">
                  <c:v>18/9/2024</c:v>
                </c:pt>
                <c:pt idx="980">
                  <c:v>19/9/2024</c:v>
                </c:pt>
                <c:pt idx="981">
                  <c:v>20/9/2024</c:v>
                </c:pt>
                <c:pt idx="982">
                  <c:v>21/9/2024</c:v>
                </c:pt>
                <c:pt idx="983">
                  <c:v>22/9/2024</c:v>
                </c:pt>
                <c:pt idx="984">
                  <c:v>23/9/2024</c:v>
                </c:pt>
                <c:pt idx="985">
                  <c:v>24/9/2024</c:v>
                </c:pt>
                <c:pt idx="986">
                  <c:v>25/9/2024</c:v>
                </c:pt>
                <c:pt idx="987">
                  <c:v>26/9/2024</c:v>
                </c:pt>
                <c:pt idx="988">
                  <c:v>27/9/2024</c:v>
                </c:pt>
                <c:pt idx="989">
                  <c:v>28/9/2024</c:v>
                </c:pt>
                <c:pt idx="990">
                  <c:v>29/9/2024</c:v>
                </c:pt>
                <c:pt idx="991">
                  <c:v>30/9/2024</c:v>
                </c:pt>
                <c:pt idx="992">
                  <c:v>1/10/2024</c:v>
                </c:pt>
                <c:pt idx="993">
                  <c:v>2/10/2024</c:v>
                </c:pt>
                <c:pt idx="994">
                  <c:v>3/10/2024</c:v>
                </c:pt>
                <c:pt idx="995">
                  <c:v>4/10/2024</c:v>
                </c:pt>
                <c:pt idx="996">
                  <c:v>5/10/2024</c:v>
                </c:pt>
                <c:pt idx="997">
                  <c:v>6/10/2024</c:v>
                </c:pt>
                <c:pt idx="998">
                  <c:v>7/10/2024</c:v>
                </c:pt>
                <c:pt idx="999">
                  <c:v>8/10/2024</c:v>
                </c:pt>
                <c:pt idx="1000">
                  <c:v>9/10/2024</c:v>
                </c:pt>
                <c:pt idx="1001">
                  <c:v>10/10/2024</c:v>
                </c:pt>
                <c:pt idx="1002">
                  <c:v>11/10/2024</c:v>
                </c:pt>
                <c:pt idx="1003">
                  <c:v>12/10/2024</c:v>
                </c:pt>
                <c:pt idx="1004">
                  <c:v>13/10/2024</c:v>
                </c:pt>
                <c:pt idx="1005">
                  <c:v>14/10/2024</c:v>
                </c:pt>
                <c:pt idx="1006">
                  <c:v>15/10/2024</c:v>
                </c:pt>
                <c:pt idx="1007">
                  <c:v>16/10/2024</c:v>
                </c:pt>
                <c:pt idx="1008">
                  <c:v>17/10/2024</c:v>
                </c:pt>
                <c:pt idx="1009">
                  <c:v>18/10/2024</c:v>
                </c:pt>
                <c:pt idx="1010">
                  <c:v>19/10/2024</c:v>
                </c:pt>
                <c:pt idx="1011">
                  <c:v>20/10/2024</c:v>
                </c:pt>
                <c:pt idx="1012">
                  <c:v>21/10/2024</c:v>
                </c:pt>
                <c:pt idx="1013">
                  <c:v>22/10/2024</c:v>
                </c:pt>
                <c:pt idx="1014">
                  <c:v>23/10/2024</c:v>
                </c:pt>
                <c:pt idx="1015">
                  <c:v>24/10/2024</c:v>
                </c:pt>
                <c:pt idx="1016">
                  <c:v>25/10/2024</c:v>
                </c:pt>
                <c:pt idx="1017">
                  <c:v>26/10/2024</c:v>
                </c:pt>
                <c:pt idx="1018">
                  <c:v>27/10/2024</c:v>
                </c:pt>
                <c:pt idx="1019">
                  <c:v>28/10/2024</c:v>
                </c:pt>
                <c:pt idx="1020">
                  <c:v>29/10/2024</c:v>
                </c:pt>
                <c:pt idx="1021">
                  <c:v>30/10/2024</c:v>
                </c:pt>
                <c:pt idx="1022">
                  <c:v>31/10/2024</c:v>
                </c:pt>
                <c:pt idx="1023">
                  <c:v>1/11/2024</c:v>
                </c:pt>
                <c:pt idx="1024">
                  <c:v>2/11/2024</c:v>
                </c:pt>
                <c:pt idx="1025">
                  <c:v>3/11/2024</c:v>
                </c:pt>
                <c:pt idx="1026">
                  <c:v>4/11/2024</c:v>
                </c:pt>
                <c:pt idx="1027">
                  <c:v>5/11/2024</c:v>
                </c:pt>
                <c:pt idx="1028">
                  <c:v>6/11/2024</c:v>
                </c:pt>
                <c:pt idx="1029">
                  <c:v>7/11/2024</c:v>
                </c:pt>
                <c:pt idx="1030">
                  <c:v>8/11/2024</c:v>
                </c:pt>
                <c:pt idx="1031">
                  <c:v>9/11/2024</c:v>
                </c:pt>
                <c:pt idx="1032">
                  <c:v>10/11/2024</c:v>
                </c:pt>
                <c:pt idx="1033">
                  <c:v>11/11/2024</c:v>
                </c:pt>
                <c:pt idx="1034">
                  <c:v>12/11/2024</c:v>
                </c:pt>
                <c:pt idx="1035">
                  <c:v>13/11/2024</c:v>
                </c:pt>
                <c:pt idx="1036">
                  <c:v>14/11/2024</c:v>
                </c:pt>
                <c:pt idx="1037">
                  <c:v>15/11/2024</c:v>
                </c:pt>
                <c:pt idx="1038">
                  <c:v>16/11/2024</c:v>
                </c:pt>
                <c:pt idx="1039">
                  <c:v>17/11/2024</c:v>
                </c:pt>
                <c:pt idx="1040">
                  <c:v>18/11/2024</c:v>
                </c:pt>
                <c:pt idx="1041">
                  <c:v>19/11/2024</c:v>
                </c:pt>
                <c:pt idx="1042">
                  <c:v>20/11/2024</c:v>
                </c:pt>
                <c:pt idx="1043">
                  <c:v>21/11/2024</c:v>
                </c:pt>
                <c:pt idx="1044">
                  <c:v>22/11/2024</c:v>
                </c:pt>
                <c:pt idx="1045">
                  <c:v>23/11/2024</c:v>
                </c:pt>
                <c:pt idx="1046">
                  <c:v>24/11/2024</c:v>
                </c:pt>
                <c:pt idx="1047">
                  <c:v>25/11/2024</c:v>
                </c:pt>
                <c:pt idx="1048">
                  <c:v>26/11/2024</c:v>
                </c:pt>
                <c:pt idx="1049">
                  <c:v>27/11/2024</c:v>
                </c:pt>
                <c:pt idx="1050">
                  <c:v>28/11/2024</c:v>
                </c:pt>
                <c:pt idx="1051">
                  <c:v>29/11/2024</c:v>
                </c:pt>
                <c:pt idx="1052">
                  <c:v>30/11/2024</c:v>
                </c:pt>
                <c:pt idx="1053">
                  <c:v>1/12/2024</c:v>
                </c:pt>
                <c:pt idx="1054">
                  <c:v>2/12/2024</c:v>
                </c:pt>
                <c:pt idx="1055">
                  <c:v>3/12/2024</c:v>
                </c:pt>
                <c:pt idx="1056">
                  <c:v>4/12/2024</c:v>
                </c:pt>
                <c:pt idx="1057">
                  <c:v>5/12/2024</c:v>
                </c:pt>
                <c:pt idx="1058">
                  <c:v>6/12/2024</c:v>
                </c:pt>
                <c:pt idx="1059">
                  <c:v>7/12/2024</c:v>
                </c:pt>
                <c:pt idx="1060">
                  <c:v>8/12/2024</c:v>
                </c:pt>
                <c:pt idx="1061">
                  <c:v>9/12/2024</c:v>
                </c:pt>
                <c:pt idx="1062">
                  <c:v>10/12/2024</c:v>
                </c:pt>
                <c:pt idx="1063">
                  <c:v>11/12/2024</c:v>
                </c:pt>
                <c:pt idx="1064">
                  <c:v>12/12/2024</c:v>
                </c:pt>
                <c:pt idx="1065">
                  <c:v>13/12/2024</c:v>
                </c:pt>
                <c:pt idx="1066">
                  <c:v>14/12/2024</c:v>
                </c:pt>
                <c:pt idx="1067">
                  <c:v>15/12/2024</c:v>
                </c:pt>
                <c:pt idx="1068">
                  <c:v>16/12/2024</c:v>
                </c:pt>
                <c:pt idx="1069">
                  <c:v>17/12/2024</c:v>
                </c:pt>
                <c:pt idx="1070">
                  <c:v>18/12/2024</c:v>
                </c:pt>
                <c:pt idx="1071">
                  <c:v>19/12/2024</c:v>
                </c:pt>
                <c:pt idx="1072">
                  <c:v>20/12/2024</c:v>
                </c:pt>
                <c:pt idx="1073">
                  <c:v>21/12/2024</c:v>
                </c:pt>
                <c:pt idx="1074">
                  <c:v>22/12/2024</c:v>
                </c:pt>
                <c:pt idx="1075">
                  <c:v>23/12/2024</c:v>
                </c:pt>
                <c:pt idx="1076">
                  <c:v>24/12/2024</c:v>
                </c:pt>
                <c:pt idx="1077">
                  <c:v>25/12/2024</c:v>
                </c:pt>
                <c:pt idx="1078">
                  <c:v>26/12/2024</c:v>
                </c:pt>
                <c:pt idx="1079">
                  <c:v>27/12/2024</c:v>
                </c:pt>
                <c:pt idx="1080">
                  <c:v>28/12/2024</c:v>
                </c:pt>
                <c:pt idx="1081">
                  <c:v>29/12/2024</c:v>
                </c:pt>
                <c:pt idx="1082">
                  <c:v>30/12/2024</c:v>
                </c:pt>
                <c:pt idx="1083">
                  <c:v>31/12/2024</c:v>
                </c:pt>
                <c:pt idx="1084">
                  <c:v>1/1/2025</c:v>
                </c:pt>
                <c:pt idx="1085">
                  <c:v>2/1/2025</c:v>
                </c:pt>
                <c:pt idx="1086">
                  <c:v>3/1/2025</c:v>
                </c:pt>
                <c:pt idx="1087">
                  <c:v>4/1/2025</c:v>
                </c:pt>
                <c:pt idx="1088">
                  <c:v>5/1/2025</c:v>
                </c:pt>
                <c:pt idx="1089">
                  <c:v>6/1/2025</c:v>
                </c:pt>
                <c:pt idx="1090">
                  <c:v>7/1/2025</c:v>
                </c:pt>
                <c:pt idx="1091">
                  <c:v>8/1/2025</c:v>
                </c:pt>
                <c:pt idx="1092">
                  <c:v>9/1/2025</c:v>
                </c:pt>
                <c:pt idx="1093">
                  <c:v>10/1/2025</c:v>
                </c:pt>
                <c:pt idx="1094">
                  <c:v>11/1/2025</c:v>
                </c:pt>
                <c:pt idx="1095">
                  <c:v>12/1/2025</c:v>
                </c:pt>
                <c:pt idx="1096">
                  <c:v>13/1/2025</c:v>
                </c:pt>
                <c:pt idx="1097">
                  <c:v>14/1/2025</c:v>
                </c:pt>
                <c:pt idx="1098">
                  <c:v>15/1/2025</c:v>
                </c:pt>
                <c:pt idx="1099">
                  <c:v>16/1/2025</c:v>
                </c:pt>
                <c:pt idx="1100">
                  <c:v>17/1/2025</c:v>
                </c:pt>
                <c:pt idx="1101">
                  <c:v>18/1/2025</c:v>
                </c:pt>
                <c:pt idx="1102">
                  <c:v>19/1/2025</c:v>
                </c:pt>
                <c:pt idx="1103">
                  <c:v>20/1/2025</c:v>
                </c:pt>
                <c:pt idx="1104">
                  <c:v>21/1/2025</c:v>
                </c:pt>
                <c:pt idx="1105">
                  <c:v>22/1/2025</c:v>
                </c:pt>
                <c:pt idx="1106">
                  <c:v>23/1/2025</c:v>
                </c:pt>
                <c:pt idx="1107">
                  <c:v>24/1/2025</c:v>
                </c:pt>
                <c:pt idx="1108">
                  <c:v>25/1/2025</c:v>
                </c:pt>
                <c:pt idx="1109">
                  <c:v>26/1/2025</c:v>
                </c:pt>
                <c:pt idx="1110">
                  <c:v>27/1/2025</c:v>
                </c:pt>
                <c:pt idx="1111">
                  <c:v>28/1/2025</c:v>
                </c:pt>
                <c:pt idx="1112">
                  <c:v>29/1/2025</c:v>
                </c:pt>
                <c:pt idx="1113">
                  <c:v>30/1/2025</c:v>
                </c:pt>
                <c:pt idx="1114">
                  <c:v>31/1/2025</c:v>
                </c:pt>
                <c:pt idx="1115">
                  <c:v>1/2/2025</c:v>
                </c:pt>
                <c:pt idx="1116">
                  <c:v>2/2/2025</c:v>
                </c:pt>
                <c:pt idx="1117">
                  <c:v>3/2/2025</c:v>
                </c:pt>
                <c:pt idx="1118">
                  <c:v>4/2/2025</c:v>
                </c:pt>
                <c:pt idx="1119">
                  <c:v>5/2/2025</c:v>
                </c:pt>
                <c:pt idx="1120">
                  <c:v>6/2/2025</c:v>
                </c:pt>
                <c:pt idx="1121">
                  <c:v>7/2/2025</c:v>
                </c:pt>
                <c:pt idx="1122">
                  <c:v>8/2/2025</c:v>
                </c:pt>
                <c:pt idx="1123">
                  <c:v>9/2/2025</c:v>
                </c:pt>
                <c:pt idx="1124">
                  <c:v>10/2/2025</c:v>
                </c:pt>
                <c:pt idx="1125">
                  <c:v>11/2/2025</c:v>
                </c:pt>
                <c:pt idx="1126">
                  <c:v>12/2/2025</c:v>
                </c:pt>
                <c:pt idx="1127">
                  <c:v>13/2/2025</c:v>
                </c:pt>
                <c:pt idx="1128">
                  <c:v>14/2/2025</c:v>
                </c:pt>
                <c:pt idx="1129">
                  <c:v>15/2/2025</c:v>
                </c:pt>
                <c:pt idx="1130">
                  <c:v>16/2/2025</c:v>
                </c:pt>
                <c:pt idx="1131">
                  <c:v>17/2/2025</c:v>
                </c:pt>
                <c:pt idx="1132">
                  <c:v>18/2/2025</c:v>
                </c:pt>
                <c:pt idx="1133">
                  <c:v>19/2/2025</c:v>
                </c:pt>
                <c:pt idx="1134">
                  <c:v>20/2/2025</c:v>
                </c:pt>
                <c:pt idx="1135">
                  <c:v>21/2/2025</c:v>
                </c:pt>
                <c:pt idx="1136">
                  <c:v>22/2/2025</c:v>
                </c:pt>
                <c:pt idx="1137">
                  <c:v>23/2/2025</c:v>
                </c:pt>
                <c:pt idx="1138">
                  <c:v>24/2/2025</c:v>
                </c:pt>
                <c:pt idx="1139">
                  <c:v>25/2/2025</c:v>
                </c:pt>
                <c:pt idx="1140">
                  <c:v>26/2/2025</c:v>
                </c:pt>
                <c:pt idx="1141">
                  <c:v>27/2/2025</c:v>
                </c:pt>
                <c:pt idx="1142">
                  <c:v>28/2/2025</c:v>
                </c:pt>
                <c:pt idx="1143">
                  <c:v>1/3/2025</c:v>
                </c:pt>
                <c:pt idx="1144">
                  <c:v>2/3/2025</c:v>
                </c:pt>
                <c:pt idx="1145">
                  <c:v>3/3/2025</c:v>
                </c:pt>
                <c:pt idx="1146">
                  <c:v>4/3/2025</c:v>
                </c:pt>
                <c:pt idx="1147">
                  <c:v>5/3/2025</c:v>
                </c:pt>
                <c:pt idx="1148">
                  <c:v>6/3/2025</c:v>
                </c:pt>
                <c:pt idx="1149">
                  <c:v>7/3/2025</c:v>
                </c:pt>
                <c:pt idx="1150">
                  <c:v>8/3/2025</c:v>
                </c:pt>
                <c:pt idx="1151">
                  <c:v>9/3/2025</c:v>
                </c:pt>
                <c:pt idx="1152">
                  <c:v>10/3/2025</c:v>
                </c:pt>
                <c:pt idx="1153">
                  <c:v>11/3/2025</c:v>
                </c:pt>
                <c:pt idx="1154">
                  <c:v>12/3/2025</c:v>
                </c:pt>
                <c:pt idx="1155">
                  <c:v>13/3/2025</c:v>
                </c:pt>
                <c:pt idx="1156">
                  <c:v>14/3/2025</c:v>
                </c:pt>
                <c:pt idx="1157">
                  <c:v>15/3/2025</c:v>
                </c:pt>
                <c:pt idx="1158">
                  <c:v>16/3/2025</c:v>
                </c:pt>
                <c:pt idx="1159">
                  <c:v>17/3/2025</c:v>
                </c:pt>
                <c:pt idx="1160">
                  <c:v>18/3/2025</c:v>
                </c:pt>
                <c:pt idx="1161">
                  <c:v>19/3/2025</c:v>
                </c:pt>
                <c:pt idx="1162">
                  <c:v>20/3/2025</c:v>
                </c:pt>
                <c:pt idx="1163">
                  <c:v>21/3/2025</c:v>
                </c:pt>
                <c:pt idx="1164">
                  <c:v>22/3/2025</c:v>
                </c:pt>
                <c:pt idx="1165">
                  <c:v>23/3/2025</c:v>
                </c:pt>
                <c:pt idx="1166">
                  <c:v>24/3/2025</c:v>
                </c:pt>
                <c:pt idx="1167">
                  <c:v>25/3/2025</c:v>
                </c:pt>
                <c:pt idx="1168">
                  <c:v>26/3/2025</c:v>
                </c:pt>
                <c:pt idx="1169">
                  <c:v>27/3/2025</c:v>
                </c:pt>
                <c:pt idx="1170">
                  <c:v>28/3/2025</c:v>
                </c:pt>
                <c:pt idx="1171">
                  <c:v>29/3/2025</c:v>
                </c:pt>
                <c:pt idx="1172">
                  <c:v>30/3/2025</c:v>
                </c:pt>
                <c:pt idx="1173">
                  <c:v>31/3/2025</c:v>
                </c:pt>
                <c:pt idx="1174">
                  <c:v>1/4/2025</c:v>
                </c:pt>
                <c:pt idx="1175">
                  <c:v>2/4/2025</c:v>
                </c:pt>
                <c:pt idx="1176">
                  <c:v>3/4/2025</c:v>
                </c:pt>
                <c:pt idx="1177">
                  <c:v>4/4/2025</c:v>
                </c:pt>
                <c:pt idx="1178">
                  <c:v>5/4/2025</c:v>
                </c:pt>
                <c:pt idx="1179">
                  <c:v>6/4/2025</c:v>
                </c:pt>
                <c:pt idx="1180">
                  <c:v>7/4/2025</c:v>
                </c:pt>
                <c:pt idx="1181">
                  <c:v>8/4/2025</c:v>
                </c:pt>
                <c:pt idx="1182">
                  <c:v>9/4/2025</c:v>
                </c:pt>
                <c:pt idx="1183">
                  <c:v>10/4/2025</c:v>
                </c:pt>
                <c:pt idx="1184">
                  <c:v>11/4/2025</c:v>
                </c:pt>
                <c:pt idx="1185">
                  <c:v>12/4/2025</c:v>
                </c:pt>
                <c:pt idx="1186">
                  <c:v>13/4/2025</c:v>
                </c:pt>
                <c:pt idx="1187">
                  <c:v>14/4/2025</c:v>
                </c:pt>
                <c:pt idx="1188">
                  <c:v>15/4/2025</c:v>
                </c:pt>
                <c:pt idx="1189">
                  <c:v>16/4/2025</c:v>
                </c:pt>
                <c:pt idx="1190">
                  <c:v>17/4/2025</c:v>
                </c:pt>
                <c:pt idx="1191">
                  <c:v>18/4/2025</c:v>
                </c:pt>
                <c:pt idx="1192">
                  <c:v>19/4/2025</c:v>
                </c:pt>
                <c:pt idx="1193">
                  <c:v>20/4/2025</c:v>
                </c:pt>
                <c:pt idx="1194">
                  <c:v>21/4/2025</c:v>
                </c:pt>
                <c:pt idx="1195">
                  <c:v>22/4/2025</c:v>
                </c:pt>
                <c:pt idx="1196">
                  <c:v>23/4/2025</c:v>
                </c:pt>
                <c:pt idx="1197">
                  <c:v>24/4/2025</c:v>
                </c:pt>
                <c:pt idx="1198">
                  <c:v>25/4/2025</c:v>
                </c:pt>
                <c:pt idx="1199">
                  <c:v>26/4/2025</c:v>
                </c:pt>
                <c:pt idx="1200">
                  <c:v>27/4/2025</c:v>
                </c:pt>
                <c:pt idx="1201">
                  <c:v>28/4/2025</c:v>
                </c:pt>
                <c:pt idx="1202">
                  <c:v>29/4/2025</c:v>
                </c:pt>
                <c:pt idx="1203">
                  <c:v>30/4/2025</c:v>
                </c:pt>
                <c:pt idx="1204">
                  <c:v>1/5/2025</c:v>
                </c:pt>
                <c:pt idx="1205">
                  <c:v>2/5/2025</c:v>
                </c:pt>
                <c:pt idx="1206">
                  <c:v>3/5/2025</c:v>
                </c:pt>
                <c:pt idx="1207">
                  <c:v>4/5/2025</c:v>
                </c:pt>
                <c:pt idx="1208">
                  <c:v>5/5/2025</c:v>
                </c:pt>
                <c:pt idx="1209">
                  <c:v>6/5/2025</c:v>
                </c:pt>
                <c:pt idx="1210">
                  <c:v>7/5/2025</c:v>
                </c:pt>
                <c:pt idx="1211">
                  <c:v>8/5/2025</c:v>
                </c:pt>
                <c:pt idx="1212">
                  <c:v>9/5/2025</c:v>
                </c:pt>
                <c:pt idx="1213">
                  <c:v>10/5/2025</c:v>
                </c:pt>
                <c:pt idx="1214">
                  <c:v>11/5/2025</c:v>
                </c:pt>
                <c:pt idx="1215">
                  <c:v>12/5/2025</c:v>
                </c:pt>
                <c:pt idx="1216">
                  <c:v>13/5/2025</c:v>
                </c:pt>
                <c:pt idx="1217">
                  <c:v>14/5/2025</c:v>
                </c:pt>
                <c:pt idx="1218">
                  <c:v>15/5/2025</c:v>
                </c:pt>
                <c:pt idx="1219">
                  <c:v>16/5/2025</c:v>
                </c:pt>
                <c:pt idx="1220">
                  <c:v>17/5/2025</c:v>
                </c:pt>
                <c:pt idx="1221">
                  <c:v>18/5/2025</c:v>
                </c:pt>
                <c:pt idx="1222">
                  <c:v>19/5/2025</c:v>
                </c:pt>
                <c:pt idx="1223">
                  <c:v>20/5/2025</c:v>
                </c:pt>
                <c:pt idx="1224">
                  <c:v>21/5/2025</c:v>
                </c:pt>
                <c:pt idx="1225">
                  <c:v>22/5/2025</c:v>
                </c:pt>
                <c:pt idx="1226">
                  <c:v>23/5/2025</c:v>
                </c:pt>
                <c:pt idx="1227">
                  <c:v>24/5/2025</c:v>
                </c:pt>
                <c:pt idx="1228">
                  <c:v>25/5/2025</c:v>
                </c:pt>
                <c:pt idx="1229">
                  <c:v>26/5/2025</c:v>
                </c:pt>
                <c:pt idx="1230">
                  <c:v>27/5/2025</c:v>
                </c:pt>
                <c:pt idx="1231">
                  <c:v>28/5/2025</c:v>
                </c:pt>
                <c:pt idx="1232">
                  <c:v>29/5/2025</c:v>
                </c:pt>
                <c:pt idx="1233">
                  <c:v>30/5/2025</c:v>
                </c:pt>
                <c:pt idx="1234">
                  <c:v>31/5/2025</c:v>
                </c:pt>
                <c:pt idx="1235">
                  <c:v>1/6/2025</c:v>
                </c:pt>
                <c:pt idx="1236">
                  <c:v>2/6/2025</c:v>
                </c:pt>
                <c:pt idx="1237">
                  <c:v>3/6/2025</c:v>
                </c:pt>
                <c:pt idx="1238">
                  <c:v>4/6/2025</c:v>
                </c:pt>
                <c:pt idx="1239">
                  <c:v>5/6/2025</c:v>
                </c:pt>
                <c:pt idx="1240">
                  <c:v>6/6/2025</c:v>
                </c:pt>
                <c:pt idx="1241">
                  <c:v>7/6/2025</c:v>
                </c:pt>
                <c:pt idx="1242">
                  <c:v>8/6/2025</c:v>
                </c:pt>
                <c:pt idx="1243">
                  <c:v>9/6/2025</c:v>
                </c:pt>
                <c:pt idx="1244">
                  <c:v>10/6/2025</c:v>
                </c:pt>
                <c:pt idx="1245">
                  <c:v>11/6/2025</c:v>
                </c:pt>
                <c:pt idx="1246">
                  <c:v>12/6/2025</c:v>
                </c:pt>
                <c:pt idx="1247">
                  <c:v>13/6/2025</c:v>
                </c:pt>
                <c:pt idx="1248">
                  <c:v>14/6/2025</c:v>
                </c:pt>
                <c:pt idx="1249">
                  <c:v>15/6/2025</c:v>
                </c:pt>
                <c:pt idx="1250">
                  <c:v>16/6/2025</c:v>
                </c:pt>
                <c:pt idx="1251">
                  <c:v>17/6/2025</c:v>
                </c:pt>
                <c:pt idx="1252">
                  <c:v>18/6/2025</c:v>
                </c:pt>
                <c:pt idx="1253">
                  <c:v>19/6/2025</c:v>
                </c:pt>
                <c:pt idx="1254">
                  <c:v>20/6/2025</c:v>
                </c:pt>
                <c:pt idx="1255">
                  <c:v>21/6/2025</c:v>
                </c:pt>
                <c:pt idx="1256">
                  <c:v>22/6/2025</c:v>
                </c:pt>
                <c:pt idx="1257">
                  <c:v>23/6/2025</c:v>
                </c:pt>
                <c:pt idx="1258">
                  <c:v>24/6/2025</c:v>
                </c:pt>
                <c:pt idx="1259">
                  <c:v>25/6/2025</c:v>
                </c:pt>
                <c:pt idx="1260">
                  <c:v>26/6/2025</c:v>
                </c:pt>
                <c:pt idx="1261">
                  <c:v>27/6/2025</c:v>
                </c:pt>
                <c:pt idx="1262">
                  <c:v>28/6/2025</c:v>
                </c:pt>
                <c:pt idx="1263">
                  <c:v>29/6/2025</c:v>
                </c:pt>
                <c:pt idx="1264">
                  <c:v>30/6/2025</c:v>
                </c:pt>
                <c:pt idx="1265">
                  <c:v>1/7/2025</c:v>
                </c:pt>
                <c:pt idx="1266">
                  <c:v>2/7/2025</c:v>
                </c:pt>
                <c:pt idx="1267">
                  <c:v>3/7/2025</c:v>
                </c:pt>
                <c:pt idx="1268">
                  <c:v>4/7/2025</c:v>
                </c:pt>
                <c:pt idx="1269">
                  <c:v>5/7/2025</c:v>
                </c:pt>
                <c:pt idx="1270">
                  <c:v>6/7/2025</c:v>
                </c:pt>
                <c:pt idx="1271">
                  <c:v>7/7/2025</c:v>
                </c:pt>
                <c:pt idx="1272">
                  <c:v>8/7/2025</c:v>
                </c:pt>
                <c:pt idx="1273">
                  <c:v>9/7/2025</c:v>
                </c:pt>
                <c:pt idx="1274">
                  <c:v>10/7/2025</c:v>
                </c:pt>
                <c:pt idx="1275">
                  <c:v>11/7/2025</c:v>
                </c:pt>
                <c:pt idx="1276">
                  <c:v>12/7/2025</c:v>
                </c:pt>
                <c:pt idx="1277">
                  <c:v>13/7/2025</c:v>
                </c:pt>
                <c:pt idx="1278">
                  <c:v>14/7/2025</c:v>
                </c:pt>
                <c:pt idx="1279">
                  <c:v>15/7/2025</c:v>
                </c:pt>
                <c:pt idx="1280">
                  <c:v>16/7/2025</c:v>
                </c:pt>
                <c:pt idx="1281">
                  <c:v>17/7/2025</c:v>
                </c:pt>
                <c:pt idx="1282">
                  <c:v>18/7/2025</c:v>
                </c:pt>
                <c:pt idx="1283">
                  <c:v>19/7/2025</c:v>
                </c:pt>
                <c:pt idx="1284">
                  <c:v>20/7/2025</c:v>
                </c:pt>
                <c:pt idx="1285">
                  <c:v>21/7/2025</c:v>
                </c:pt>
                <c:pt idx="1286">
                  <c:v>22/7/2025</c:v>
                </c:pt>
                <c:pt idx="1287">
                  <c:v>23/7/2025</c:v>
                </c:pt>
                <c:pt idx="1288">
                  <c:v>24/7/2025</c:v>
                </c:pt>
                <c:pt idx="1289">
                  <c:v>25/7/2025</c:v>
                </c:pt>
                <c:pt idx="1290">
                  <c:v>26/7/2025</c:v>
                </c:pt>
                <c:pt idx="1291">
                  <c:v>27/7/2025</c:v>
                </c:pt>
                <c:pt idx="1292">
                  <c:v>28/7/2025</c:v>
                </c:pt>
                <c:pt idx="1293">
                  <c:v>29/7/2025</c:v>
                </c:pt>
                <c:pt idx="1294">
                  <c:v>30/7/2025</c:v>
                </c:pt>
                <c:pt idx="1295">
                  <c:v>31/7/2025</c:v>
                </c:pt>
                <c:pt idx="1296">
                  <c:v>1/8/2025</c:v>
                </c:pt>
                <c:pt idx="1297">
                  <c:v>2/8/2025</c:v>
                </c:pt>
                <c:pt idx="1298">
                  <c:v>3/8/2025</c:v>
                </c:pt>
                <c:pt idx="1299">
                  <c:v>4/8/2025</c:v>
                </c:pt>
                <c:pt idx="1300">
                  <c:v>5/8/2025</c:v>
                </c:pt>
                <c:pt idx="1301">
                  <c:v>6/8/2025</c:v>
                </c:pt>
                <c:pt idx="1302">
                  <c:v>7/8/2025</c:v>
                </c:pt>
                <c:pt idx="1303">
                  <c:v>8/8/2025</c:v>
                </c:pt>
                <c:pt idx="1304">
                  <c:v>9/8/2025</c:v>
                </c:pt>
                <c:pt idx="1305">
                  <c:v>10/8/2025</c:v>
                </c:pt>
                <c:pt idx="1306">
                  <c:v>11/8/2025</c:v>
                </c:pt>
                <c:pt idx="1307">
                  <c:v>12/8/2025</c:v>
                </c:pt>
                <c:pt idx="1308">
                  <c:v>13/8/2025</c:v>
                </c:pt>
                <c:pt idx="1309">
                  <c:v>14/8/2025</c:v>
                </c:pt>
                <c:pt idx="1310">
                  <c:v>15/8/2025</c:v>
                </c:pt>
                <c:pt idx="1311">
                  <c:v>16/8/2025</c:v>
                </c:pt>
                <c:pt idx="1312">
                  <c:v>17/8/2025</c:v>
                </c:pt>
                <c:pt idx="1313">
                  <c:v>18/8/2025</c:v>
                </c:pt>
                <c:pt idx="1314">
                  <c:v>19/8/2025</c:v>
                </c:pt>
                <c:pt idx="1315">
                  <c:v>20/8/2025</c:v>
                </c:pt>
                <c:pt idx="1316">
                  <c:v>21/8/2025</c:v>
                </c:pt>
                <c:pt idx="1317">
                  <c:v>22/8/2025</c:v>
                </c:pt>
                <c:pt idx="1318">
                  <c:v>23/8/2025</c:v>
                </c:pt>
                <c:pt idx="1319">
                  <c:v>24/8/2025</c:v>
                </c:pt>
                <c:pt idx="1320">
                  <c:v>25/8/2025</c:v>
                </c:pt>
                <c:pt idx="1321">
                  <c:v>26/8/2025</c:v>
                </c:pt>
                <c:pt idx="1322">
                  <c:v>27/8/2025</c:v>
                </c:pt>
                <c:pt idx="1323">
                  <c:v>28/8/2025</c:v>
                </c:pt>
                <c:pt idx="1324">
                  <c:v>29/8/2025</c:v>
                </c:pt>
                <c:pt idx="1325">
                  <c:v>30/8/2025</c:v>
                </c:pt>
                <c:pt idx="1326">
                  <c:v>31/8/2025</c:v>
                </c:pt>
                <c:pt idx="1327">
                  <c:v>1/9/2025</c:v>
                </c:pt>
                <c:pt idx="1328">
                  <c:v>2/9/2025</c:v>
                </c:pt>
                <c:pt idx="1329">
                  <c:v>3/9/2025</c:v>
                </c:pt>
                <c:pt idx="1330">
                  <c:v>4/9/2025</c:v>
                </c:pt>
                <c:pt idx="1331">
                  <c:v>5/9/2025</c:v>
                </c:pt>
                <c:pt idx="1332">
                  <c:v>6/9/2025</c:v>
                </c:pt>
                <c:pt idx="1333">
                  <c:v>7/9/2025</c:v>
                </c:pt>
                <c:pt idx="1334">
                  <c:v>8/9/2025</c:v>
                </c:pt>
                <c:pt idx="1335">
                  <c:v>9/9/2025</c:v>
                </c:pt>
                <c:pt idx="1336">
                  <c:v>10/9/2025</c:v>
                </c:pt>
                <c:pt idx="1337">
                  <c:v>11/9/2025</c:v>
                </c:pt>
                <c:pt idx="1338">
                  <c:v>12/9/2025</c:v>
                </c:pt>
                <c:pt idx="1339">
                  <c:v>13/9/2025</c:v>
                </c:pt>
                <c:pt idx="1340">
                  <c:v>14/9/2025</c:v>
                </c:pt>
                <c:pt idx="1341">
                  <c:v>15/9/2025</c:v>
                </c:pt>
                <c:pt idx="1342">
                  <c:v>16/9/2025</c:v>
                </c:pt>
                <c:pt idx="1343">
                  <c:v>17/9/2025</c:v>
                </c:pt>
                <c:pt idx="1344">
                  <c:v>18/9/2025</c:v>
                </c:pt>
                <c:pt idx="1345">
                  <c:v>19/9/2025</c:v>
                </c:pt>
                <c:pt idx="1346">
                  <c:v>20/9/2025</c:v>
                </c:pt>
                <c:pt idx="1347">
                  <c:v>21/9/2025</c:v>
                </c:pt>
                <c:pt idx="1348">
                  <c:v>22/9/2025</c:v>
                </c:pt>
                <c:pt idx="1349">
                  <c:v>23/9/2025</c:v>
                </c:pt>
                <c:pt idx="1350">
                  <c:v>24/9/2025</c:v>
                </c:pt>
                <c:pt idx="1351">
                  <c:v>25/9/2025</c:v>
                </c:pt>
                <c:pt idx="1352">
                  <c:v>26/9/2025</c:v>
                </c:pt>
                <c:pt idx="1353">
                  <c:v>27/9/2025</c:v>
                </c:pt>
                <c:pt idx="1354">
                  <c:v>28/9/2025</c:v>
                </c:pt>
                <c:pt idx="1355">
                  <c:v>29/9/2025</c:v>
                </c:pt>
                <c:pt idx="1356">
                  <c:v>30/9/2025</c:v>
                </c:pt>
                <c:pt idx="1357">
                  <c:v>1/10/2025</c:v>
                </c:pt>
                <c:pt idx="1358">
                  <c:v>2/10/2025</c:v>
                </c:pt>
                <c:pt idx="1359">
                  <c:v>3/10/2025</c:v>
                </c:pt>
                <c:pt idx="1360">
                  <c:v>4/10/2025</c:v>
                </c:pt>
                <c:pt idx="1361">
                  <c:v>5/10/2025</c:v>
                </c:pt>
                <c:pt idx="1362">
                  <c:v>6/10/2025</c:v>
                </c:pt>
                <c:pt idx="1363">
                  <c:v>7/10/2025</c:v>
                </c:pt>
                <c:pt idx="1364">
                  <c:v>8/10/2025</c:v>
                </c:pt>
                <c:pt idx="1365">
                  <c:v>9/10/2025</c:v>
                </c:pt>
                <c:pt idx="1366">
                  <c:v>10/10/2025</c:v>
                </c:pt>
                <c:pt idx="1367">
                  <c:v>11/10/2025</c:v>
                </c:pt>
                <c:pt idx="1368">
                  <c:v>12/10/2025</c:v>
                </c:pt>
                <c:pt idx="1369">
                  <c:v>13/10/2025</c:v>
                </c:pt>
                <c:pt idx="1370">
                  <c:v>14/10/2025</c:v>
                </c:pt>
                <c:pt idx="1371">
                  <c:v>15/10/2025</c:v>
                </c:pt>
                <c:pt idx="1372">
                  <c:v>16/10/2025</c:v>
                </c:pt>
                <c:pt idx="1373">
                  <c:v>17/10/2025</c:v>
                </c:pt>
                <c:pt idx="1374">
                  <c:v>18/10/2025</c:v>
                </c:pt>
                <c:pt idx="1375">
                  <c:v>19/10/2025</c:v>
                </c:pt>
                <c:pt idx="1376">
                  <c:v>20/10/2025</c:v>
                </c:pt>
                <c:pt idx="1377">
                  <c:v>21/10/2025</c:v>
                </c:pt>
                <c:pt idx="1378">
                  <c:v>22/10/2025</c:v>
                </c:pt>
                <c:pt idx="1379">
                  <c:v>23/10/2025</c:v>
                </c:pt>
                <c:pt idx="1380">
                  <c:v>24/10/2025</c:v>
                </c:pt>
                <c:pt idx="1381">
                  <c:v>25/10/2025</c:v>
                </c:pt>
                <c:pt idx="1382">
                  <c:v>26/10/2025</c:v>
                </c:pt>
                <c:pt idx="1383">
                  <c:v>27/10/2025</c:v>
                </c:pt>
                <c:pt idx="1384">
                  <c:v>28/10/2025</c:v>
                </c:pt>
                <c:pt idx="1385">
                  <c:v>29/10/2025</c:v>
                </c:pt>
                <c:pt idx="1386">
                  <c:v>30/10/2025</c:v>
                </c:pt>
                <c:pt idx="1387">
                  <c:v>31/10/2025</c:v>
                </c:pt>
                <c:pt idx="1388">
                  <c:v>1/11/2025</c:v>
                </c:pt>
                <c:pt idx="1389">
                  <c:v>2/11/2025</c:v>
                </c:pt>
                <c:pt idx="1390">
                  <c:v>3/11/2025</c:v>
                </c:pt>
                <c:pt idx="1391">
                  <c:v>4/11/2025</c:v>
                </c:pt>
                <c:pt idx="1392">
                  <c:v>5/11/2025</c:v>
                </c:pt>
                <c:pt idx="1393">
                  <c:v>6/11/2025</c:v>
                </c:pt>
                <c:pt idx="1394">
                  <c:v>7/11/2025</c:v>
                </c:pt>
                <c:pt idx="1395">
                  <c:v>8/11/2025</c:v>
                </c:pt>
                <c:pt idx="1396">
                  <c:v>9/11/2025</c:v>
                </c:pt>
                <c:pt idx="1397">
                  <c:v>10/11/2025</c:v>
                </c:pt>
                <c:pt idx="1398">
                  <c:v>11/11/2025</c:v>
                </c:pt>
                <c:pt idx="1399">
                  <c:v>12/11/2025</c:v>
                </c:pt>
                <c:pt idx="1400">
                  <c:v>13/11/2025</c:v>
                </c:pt>
                <c:pt idx="1401">
                  <c:v>14/11/2025</c:v>
                </c:pt>
                <c:pt idx="1402">
                  <c:v>15/11/2025</c:v>
                </c:pt>
                <c:pt idx="1403">
                  <c:v>16/11/2025</c:v>
                </c:pt>
                <c:pt idx="1404">
                  <c:v>17/11/2025</c:v>
                </c:pt>
                <c:pt idx="1405">
                  <c:v>18/11/2025</c:v>
                </c:pt>
                <c:pt idx="1406">
                  <c:v>19/11/2025</c:v>
                </c:pt>
                <c:pt idx="1407">
                  <c:v>20/11/2025</c:v>
                </c:pt>
                <c:pt idx="1408">
                  <c:v>21/11/2025</c:v>
                </c:pt>
                <c:pt idx="1409">
                  <c:v>22/11/2025</c:v>
                </c:pt>
                <c:pt idx="1410">
                  <c:v>23/11/2025</c:v>
                </c:pt>
                <c:pt idx="1411">
                  <c:v>24/11/2025</c:v>
                </c:pt>
                <c:pt idx="1412">
                  <c:v>25/11/2025</c:v>
                </c:pt>
                <c:pt idx="1413">
                  <c:v>26/11/2025</c:v>
                </c:pt>
                <c:pt idx="1414">
                  <c:v>27/11/2025</c:v>
                </c:pt>
                <c:pt idx="1415">
                  <c:v>28/11/2025</c:v>
                </c:pt>
                <c:pt idx="1416">
                  <c:v>29/11/2025</c:v>
                </c:pt>
                <c:pt idx="1417">
                  <c:v>30/11/2025</c:v>
                </c:pt>
                <c:pt idx="1418">
                  <c:v>1/12/2025</c:v>
                </c:pt>
                <c:pt idx="1419">
                  <c:v>2/12/2025</c:v>
                </c:pt>
                <c:pt idx="1420">
                  <c:v>3/12/2025</c:v>
                </c:pt>
                <c:pt idx="1421">
                  <c:v>4/12/2025</c:v>
                </c:pt>
                <c:pt idx="1422">
                  <c:v>5/12/2025</c:v>
                </c:pt>
                <c:pt idx="1423">
                  <c:v>6/12/2025</c:v>
                </c:pt>
                <c:pt idx="1424">
                  <c:v>7/12/2025</c:v>
                </c:pt>
                <c:pt idx="1425">
                  <c:v>8/12/2025</c:v>
                </c:pt>
                <c:pt idx="1426">
                  <c:v>9/12/2025</c:v>
                </c:pt>
                <c:pt idx="1427">
                  <c:v>10/12/2025</c:v>
                </c:pt>
                <c:pt idx="1428">
                  <c:v>11/12/2025</c:v>
                </c:pt>
                <c:pt idx="1429">
                  <c:v>12/12/2025</c:v>
                </c:pt>
                <c:pt idx="1430">
                  <c:v>13/12/2025</c:v>
                </c:pt>
                <c:pt idx="1431">
                  <c:v>14/12/2025</c:v>
                </c:pt>
                <c:pt idx="1432">
                  <c:v>15/12/2025</c:v>
                </c:pt>
                <c:pt idx="1433">
                  <c:v>16/12/2025</c:v>
                </c:pt>
                <c:pt idx="1434">
                  <c:v>17/12/2025</c:v>
                </c:pt>
                <c:pt idx="1435">
                  <c:v>18/12/2025</c:v>
                </c:pt>
                <c:pt idx="1436">
                  <c:v>19/12/2025</c:v>
                </c:pt>
                <c:pt idx="1437">
                  <c:v>20/12/2025</c:v>
                </c:pt>
                <c:pt idx="1438">
                  <c:v>21/12/2025</c:v>
                </c:pt>
                <c:pt idx="1439">
                  <c:v>22/12/2025</c:v>
                </c:pt>
                <c:pt idx="1440">
                  <c:v>23/12/2025</c:v>
                </c:pt>
                <c:pt idx="1441">
                  <c:v>24/12/2025</c:v>
                </c:pt>
                <c:pt idx="1442">
                  <c:v>25/12/2025</c:v>
                </c:pt>
                <c:pt idx="1443">
                  <c:v>26/12/2025</c:v>
                </c:pt>
                <c:pt idx="1444">
                  <c:v>27/12/2025</c:v>
                </c:pt>
                <c:pt idx="1445">
                  <c:v>28/12/2025</c:v>
                </c:pt>
                <c:pt idx="1446">
                  <c:v>29/12/2025</c:v>
                </c:pt>
                <c:pt idx="1447">
                  <c:v>30/12/2025</c:v>
                </c:pt>
                <c:pt idx="1448">
                  <c:v>31/12/2025</c:v>
                </c:pt>
                <c:pt idx="1449">
                  <c:v>1/1/2026</c:v>
                </c:pt>
                <c:pt idx="1450">
                  <c:v>2/1/2026</c:v>
                </c:pt>
                <c:pt idx="1451">
                  <c:v>3/1/2026</c:v>
                </c:pt>
                <c:pt idx="1452">
                  <c:v>4/1/2026</c:v>
                </c:pt>
                <c:pt idx="1453">
                  <c:v>5/1/2026</c:v>
                </c:pt>
                <c:pt idx="1454">
                  <c:v>6/1/2026</c:v>
                </c:pt>
                <c:pt idx="1455">
                  <c:v>7/1/2026</c:v>
                </c:pt>
                <c:pt idx="1456">
                  <c:v>8/1/2026</c:v>
                </c:pt>
                <c:pt idx="1457">
                  <c:v>9/1/2026</c:v>
                </c:pt>
                <c:pt idx="1458">
                  <c:v>10/1/2026</c:v>
                </c:pt>
                <c:pt idx="1459">
                  <c:v>11/1/2026</c:v>
                </c:pt>
                <c:pt idx="1460">
                  <c:v>12/1/2026</c:v>
                </c:pt>
                <c:pt idx="1461">
                  <c:v>13/1/2026</c:v>
                </c:pt>
                <c:pt idx="1462">
                  <c:v>14/1/2026</c:v>
                </c:pt>
                <c:pt idx="1463">
                  <c:v>15/1/2026</c:v>
                </c:pt>
                <c:pt idx="1464">
                  <c:v>16/1/2026</c:v>
                </c:pt>
                <c:pt idx="1465">
                  <c:v>17/1/2026</c:v>
                </c:pt>
                <c:pt idx="1466">
                  <c:v>18/1/2026</c:v>
                </c:pt>
                <c:pt idx="1467">
                  <c:v>19/1/2026</c:v>
                </c:pt>
                <c:pt idx="1468">
                  <c:v>20/1/2026</c:v>
                </c:pt>
                <c:pt idx="1469">
                  <c:v>21/1/2026</c:v>
                </c:pt>
                <c:pt idx="1470">
                  <c:v>22/1/2026</c:v>
                </c:pt>
                <c:pt idx="1471">
                  <c:v>23/1/2026</c:v>
                </c:pt>
                <c:pt idx="1472">
                  <c:v>24/1/2026</c:v>
                </c:pt>
                <c:pt idx="1473">
                  <c:v>25/1/2026</c:v>
                </c:pt>
                <c:pt idx="1474">
                  <c:v>26/1/2026</c:v>
                </c:pt>
                <c:pt idx="1475">
                  <c:v>27/1/2026</c:v>
                </c:pt>
                <c:pt idx="1476">
                  <c:v>28/1/2026</c:v>
                </c:pt>
                <c:pt idx="1477">
                  <c:v>29/1/2026</c:v>
                </c:pt>
                <c:pt idx="1478">
                  <c:v>30/1/2026</c:v>
                </c:pt>
                <c:pt idx="1479">
                  <c:v>31/1/2026</c:v>
                </c:pt>
                <c:pt idx="1480">
                  <c:v>1/2/2026</c:v>
                </c:pt>
                <c:pt idx="1481">
                  <c:v>2/2/2026</c:v>
                </c:pt>
                <c:pt idx="1482">
                  <c:v>3/2/2026</c:v>
                </c:pt>
              </c:strCache>
            </c:strRef>
          </c:cat>
          <c:val>
            <c:numRef>
              <c:f>'usdc '!$L$10:$L$1492</c:f>
              <c:numCache>
                <c:formatCode>0.000%</c:formatCode>
                <c:ptCount val="1483"/>
                <c:pt idx="0" formatCode="General">
                  <c:v>0</c:v>
                </c:pt>
                <c:pt idx="1">
                  <c:v>1.4566229664294196E-3</c:v>
                </c:pt>
                <c:pt idx="2">
                  <c:v>1.7664267471558335E-3</c:v>
                </c:pt>
                <c:pt idx="3">
                  <c:v>1.5212569530732875E-3</c:v>
                </c:pt>
                <c:pt idx="4">
                  <c:v>2.1121603848477406E-3</c:v>
                </c:pt>
                <c:pt idx="5">
                  <c:v>9.2693347181071388E-4</c:v>
                </c:pt>
                <c:pt idx="6">
                  <c:v>1.0408868413474754E-3</c:v>
                </c:pt>
                <c:pt idx="7">
                  <c:v>1.5883748663035504E-3</c:v>
                </c:pt>
                <c:pt idx="8">
                  <c:v>2.7640224413931222E-3</c:v>
                </c:pt>
                <c:pt idx="9">
                  <c:v>3.7559528901816275E-3</c:v>
                </c:pt>
                <c:pt idx="10">
                  <c:v>2.1502619244554168E-3</c:v>
                </c:pt>
                <c:pt idx="11">
                  <c:v>1.4709571857104535E-3</c:v>
                </c:pt>
                <c:pt idx="12">
                  <c:v>1.340224317778979E-3</c:v>
                </c:pt>
                <c:pt idx="13">
                  <c:v>1.9387089763095138E-3</c:v>
                </c:pt>
                <c:pt idx="14">
                  <c:v>8.3380418112836551E-4</c:v>
                </c:pt>
                <c:pt idx="15">
                  <c:v>2.028263117427155E-3</c:v>
                </c:pt>
                <c:pt idx="16">
                  <c:v>2.8117183305176479E-3</c:v>
                </c:pt>
                <c:pt idx="17">
                  <c:v>8.1052923101278436E-4</c:v>
                </c:pt>
                <c:pt idx="18">
                  <c:v>3.9019951907459638E-4</c:v>
                </c:pt>
                <c:pt idx="19">
                  <c:v>1.0547520661156123E-3</c:v>
                </c:pt>
                <c:pt idx="20">
                  <c:v>2.1627333568157723E-3</c:v>
                </c:pt>
                <c:pt idx="21">
                  <c:v>1.355514148983168E-3</c:v>
                </c:pt>
                <c:pt idx="22">
                  <c:v>1.9970871799809614E-3</c:v>
                </c:pt>
                <c:pt idx="23">
                  <c:v>4.5869011243820636E-4</c:v>
                </c:pt>
                <c:pt idx="24">
                  <c:v>7.4472603709466406E-4</c:v>
                </c:pt>
                <c:pt idx="25">
                  <c:v>7.3924593266519033E-4</c:v>
                </c:pt>
                <c:pt idx="26">
                  <c:v>1.37688396586171E-3</c:v>
                </c:pt>
                <c:pt idx="27">
                  <c:v>8.8139563694512684E-4</c:v>
                </c:pt>
                <c:pt idx="28">
                  <c:v>5.8191934519698512E-4</c:v>
                </c:pt>
                <c:pt idx="29">
                  <c:v>6.1767863251897012E-4</c:v>
                </c:pt>
                <c:pt idx="30">
                  <c:v>1.2792323184456335E-3</c:v>
                </c:pt>
                <c:pt idx="31">
                  <c:v>1.3954483841050222E-3</c:v>
                </c:pt>
                <c:pt idx="32">
                  <c:v>6.1971764761200839E-4</c:v>
                </c:pt>
                <c:pt idx="33">
                  <c:v>-5.4240863545064022E-4</c:v>
                </c:pt>
                <c:pt idx="34">
                  <c:v>-6.5166619196823283E-5</c:v>
                </c:pt>
                <c:pt idx="35">
                  <c:v>6.117211597779364E-4</c:v>
                </c:pt>
                <c:pt idx="36">
                  <c:v>5.6072897266353243E-4</c:v>
                </c:pt>
                <c:pt idx="37">
                  <c:v>5.7680078802003413E-4</c:v>
                </c:pt>
                <c:pt idx="38">
                  <c:v>1.8161683277965381E-4</c:v>
                </c:pt>
                <c:pt idx="39">
                  <c:v>9.7568881685582436E-4</c:v>
                </c:pt>
                <c:pt idx="40">
                  <c:v>9.7735804633034451E-4</c:v>
                </c:pt>
                <c:pt idx="41">
                  <c:v>1.7796985518132204E-4</c:v>
                </c:pt>
                <c:pt idx="42">
                  <c:v>-1.78581674969357E-3</c:v>
                </c:pt>
                <c:pt idx="43">
                  <c:v>7.8690949903067401E-4</c:v>
                </c:pt>
                <c:pt idx="44">
                  <c:v>1.019891593372863E-3</c:v>
                </c:pt>
                <c:pt idx="45">
                  <c:v>1.0960212201591435E-3</c:v>
                </c:pt>
                <c:pt idx="46">
                  <c:v>-1.9476609541462466E-4</c:v>
                </c:pt>
                <c:pt idx="47">
                  <c:v>1.0823587677138715E-3</c:v>
                </c:pt>
                <c:pt idx="48">
                  <c:v>-7.2000091052907157E-4</c:v>
                </c:pt>
                <c:pt idx="49">
                  <c:v>1.693179008348698E-4</c:v>
                </c:pt>
                <c:pt idx="50">
                  <c:v>2.1329923273657662E-3</c:v>
                </c:pt>
                <c:pt idx="51">
                  <c:v>1.2904372555989972E-3</c:v>
                </c:pt>
                <c:pt idx="52">
                  <c:v>7.0867679806225017E-4</c:v>
                </c:pt>
                <c:pt idx="53">
                  <c:v>1.1478063998104156E-3</c:v>
                </c:pt>
                <c:pt idx="54">
                  <c:v>-1.7862904787099094E-4</c:v>
                </c:pt>
                <c:pt idx="55">
                  <c:v>6.1356861809951601E-4</c:v>
                </c:pt>
                <c:pt idx="56">
                  <c:v>1.1455096579452229E-3</c:v>
                </c:pt>
                <c:pt idx="57">
                  <c:v>1.9453342978196474E-3</c:v>
                </c:pt>
                <c:pt idx="58">
                  <c:v>3.0680177392738749E-3</c:v>
                </c:pt>
                <c:pt idx="59">
                  <c:v>4.6452740732892076E-3</c:v>
                </c:pt>
                <c:pt idx="60">
                  <c:v>1.7410382176045814E-3</c:v>
                </c:pt>
                <c:pt idx="61">
                  <c:v>1.3385265516012868E-3</c:v>
                </c:pt>
                <c:pt idx="62">
                  <c:v>3.1588162342236615E-4</c:v>
                </c:pt>
                <c:pt idx="63">
                  <c:v>1.8727159392302475E-3</c:v>
                </c:pt>
                <c:pt idx="64">
                  <c:v>1.8333093904132479E-3</c:v>
                </c:pt>
                <c:pt idx="65">
                  <c:v>6.9809309487151873E-4</c:v>
                </c:pt>
                <c:pt idx="66">
                  <c:v>1.3085357727024899E-3</c:v>
                </c:pt>
                <c:pt idx="67">
                  <c:v>9.1818314875346196E-4</c:v>
                </c:pt>
                <c:pt idx="68">
                  <c:v>1.182331137710455E-3</c:v>
                </c:pt>
                <c:pt idx="69">
                  <c:v>3.1992538183516763E-4</c:v>
                </c:pt>
                <c:pt idx="70">
                  <c:v>9.2607746863061378E-4</c:v>
                </c:pt>
                <c:pt idx="71">
                  <c:v>7.4792087475596472E-4</c:v>
                </c:pt>
                <c:pt idx="72">
                  <c:v>1.4165890027959386E-3</c:v>
                </c:pt>
                <c:pt idx="73">
                  <c:v>6.7492524562149823E-4</c:v>
                </c:pt>
                <c:pt idx="74">
                  <c:v>6.7460064914408262E-5</c:v>
                </c:pt>
                <c:pt idx="75">
                  <c:v>6.8576727326373531E-4</c:v>
                </c:pt>
                <c:pt idx="76">
                  <c:v>8.586975004251287E-4</c:v>
                </c:pt>
                <c:pt idx="77">
                  <c:v>1.3663081334666452E-3</c:v>
                </c:pt>
                <c:pt idx="78">
                  <c:v>1.7362746580818138E-3</c:v>
                </c:pt>
                <c:pt idx="79">
                  <c:v>1.4779153293596717E-3</c:v>
                </c:pt>
                <c:pt idx="80">
                  <c:v>1.1680656875315903E-3</c:v>
                </c:pt>
                <c:pt idx="81">
                  <c:v>5.8648004636884074E-4</c:v>
                </c:pt>
                <c:pt idx="82">
                  <c:v>1.2452456853907755E-3</c:v>
                </c:pt>
                <c:pt idx="83">
                  <c:v>1.4618548340380353E-3</c:v>
                </c:pt>
                <c:pt idx="84">
                  <c:v>8.5461621721208999E-4</c:v>
                </c:pt>
                <c:pt idx="85">
                  <c:v>2.2319801159900788E-3</c:v>
                </c:pt>
                <c:pt idx="86">
                  <c:v>1.7826900584795118E-3</c:v>
                </c:pt>
                <c:pt idx="87">
                  <c:v>1.2444539350368257E-3</c:v>
                </c:pt>
                <c:pt idx="88">
                  <c:v>5.6895548075227664E-4</c:v>
                </c:pt>
                <c:pt idx="89">
                  <c:v>1.0259289760674948E-3</c:v>
                </c:pt>
                <c:pt idx="90">
                  <c:v>1.2531907135043857E-3</c:v>
                </c:pt>
                <c:pt idx="91">
                  <c:v>1.5474207566782011E-3</c:v>
                </c:pt>
                <c:pt idx="92">
                  <c:v>2.9353724716329552E-3</c:v>
                </c:pt>
                <c:pt idx="93">
                  <c:v>1.9151545178670384E-3</c:v>
                </c:pt>
                <c:pt idx="94">
                  <c:v>1.8512730022687755E-3</c:v>
                </c:pt>
                <c:pt idx="95">
                  <c:v>3.2335960579056755E-3</c:v>
                </c:pt>
                <c:pt idx="96">
                  <c:v>1.9278386556242481E-3</c:v>
                </c:pt>
                <c:pt idx="97">
                  <c:v>1.2558493851344069E-3</c:v>
                </c:pt>
                <c:pt idx="98">
                  <c:v>2.2251874915058109E-3</c:v>
                </c:pt>
                <c:pt idx="99">
                  <c:v>2.3088648417127376E-3</c:v>
                </c:pt>
                <c:pt idx="100">
                  <c:v>1.9209311761424152E-3</c:v>
                </c:pt>
                <c:pt idx="101">
                  <c:v>1.2819147587535224E-3</c:v>
                </c:pt>
                <c:pt idx="102">
                  <c:v>8.0317707753403179E-4</c:v>
                </c:pt>
                <c:pt idx="103">
                  <c:v>2.2829240119186466E-3</c:v>
                </c:pt>
                <c:pt idx="104">
                  <c:v>5.8356181852955123E-4</c:v>
                </c:pt>
                <c:pt idx="105">
                  <c:v>6.7233024982692408E-4</c:v>
                </c:pt>
                <c:pt idx="106">
                  <c:v>8.0693659598728238E-4</c:v>
                </c:pt>
                <c:pt idx="107">
                  <c:v>3.3218131064734042E-3</c:v>
                </c:pt>
                <c:pt idx="108">
                  <c:v>-3.4478723819187014E-4</c:v>
                </c:pt>
                <c:pt idx="109">
                  <c:v>5.494320025966502E-4</c:v>
                </c:pt>
                <c:pt idx="110">
                  <c:v>2.2546939641454543E-3</c:v>
                </c:pt>
                <c:pt idx="111">
                  <c:v>7.5437933207310123E-4</c:v>
                </c:pt>
                <c:pt idx="112">
                  <c:v>2.2165922598668974E-3</c:v>
                </c:pt>
                <c:pt idx="113">
                  <c:v>2.2549455434541978E-3</c:v>
                </c:pt>
                <c:pt idx="114">
                  <c:v>2.8430335097001762E-3</c:v>
                </c:pt>
                <c:pt idx="115">
                  <c:v>1.5857709833897494E-3</c:v>
                </c:pt>
                <c:pt idx="116">
                  <c:v>6.6233096588545943E-4</c:v>
                </c:pt>
                <c:pt idx="117">
                  <c:v>2.076506257257161E-3</c:v>
                </c:pt>
                <c:pt idx="118">
                  <c:v>7.3297887032176367E-4</c:v>
                </c:pt>
                <c:pt idx="119">
                  <c:v>5.4439874183401888E-4</c:v>
                </c:pt>
                <c:pt idx="120">
                  <c:v>2.5471843397614786E-3</c:v>
                </c:pt>
                <c:pt idx="121">
                  <c:v>3.4469091393552359E-3</c:v>
                </c:pt>
                <c:pt idx="122">
                  <c:v>1.745887092906088E-3</c:v>
                </c:pt>
                <c:pt idx="123">
                  <c:v>1.6000804734521824E-3</c:v>
                </c:pt>
                <c:pt idx="124">
                  <c:v>1.1599828930486035E-3</c:v>
                </c:pt>
                <c:pt idx="125">
                  <c:v>1.8994939801081938E-3</c:v>
                </c:pt>
                <c:pt idx="126">
                  <c:v>8.2562747688243068E-4</c:v>
                </c:pt>
                <c:pt idx="127">
                  <c:v>1.8489614599592288E-3</c:v>
                </c:pt>
                <c:pt idx="128">
                  <c:v>1.3661109220823905E-3</c:v>
                </c:pt>
                <c:pt idx="129">
                  <c:v>8.7925164446496366E-4</c:v>
                </c:pt>
                <c:pt idx="130">
                  <c:v>1.8437177280551226E-3</c:v>
                </c:pt>
                <c:pt idx="131">
                  <c:v>1.1454324488555901E-3</c:v>
                </c:pt>
                <c:pt idx="132">
                  <c:v>1.4444067796610368E-3</c:v>
                </c:pt>
                <c:pt idx="133">
                  <c:v>1.6548625520895854E-3</c:v>
                </c:pt>
                <c:pt idx="134">
                  <c:v>8.0195941217628603E-4</c:v>
                </c:pt>
                <c:pt idx="135">
                  <c:v>1.9468110793004275E-3</c:v>
                </c:pt>
                <c:pt idx="136">
                  <c:v>1.3835644371940977E-3</c:v>
                </c:pt>
                <c:pt idx="137">
                  <c:v>1.2057844853416461E-3</c:v>
                </c:pt>
                <c:pt idx="138">
                  <c:v>1.0441956764756775E-3</c:v>
                </c:pt>
                <c:pt idx="139">
                  <c:v>1.2531084078231357E-3</c:v>
                </c:pt>
                <c:pt idx="140">
                  <c:v>1.4404076935722937E-3</c:v>
                </c:pt>
                <c:pt idx="141">
                  <c:v>1.2676103808561031E-3</c:v>
                </c:pt>
                <c:pt idx="142">
                  <c:v>2.0606670018434576E-3</c:v>
                </c:pt>
                <c:pt idx="143">
                  <c:v>1.8970307635657034E-3</c:v>
                </c:pt>
                <c:pt idx="144">
                  <c:v>9.2304256269543398E-4</c:v>
                </c:pt>
                <c:pt idx="145">
                  <c:v>1.8426807306404564E-4</c:v>
                </c:pt>
                <c:pt idx="146">
                  <c:v>1.3619560712806215E-3</c:v>
                </c:pt>
                <c:pt idx="147">
                  <c:v>7.3263605979476999E-4</c:v>
                </c:pt>
                <c:pt idx="148">
                  <c:v>1.8375604800523644E-3</c:v>
                </c:pt>
                <c:pt idx="149">
                  <c:v>2.2340463018429633E-3</c:v>
                </c:pt>
                <c:pt idx="150">
                  <c:v>1.9396795475966344E-3</c:v>
                </c:pt>
                <c:pt idx="151">
                  <c:v>4.151120026746862E-3</c:v>
                </c:pt>
                <c:pt idx="152">
                  <c:v>1.2284712006336729E-3</c:v>
                </c:pt>
                <c:pt idx="153">
                  <c:v>1.7359879389855204E-3</c:v>
                </c:pt>
                <c:pt idx="154">
                  <c:v>3.9072440983565718E-3</c:v>
                </c:pt>
                <c:pt idx="155">
                  <c:v>3.2104747919725965E-3</c:v>
                </c:pt>
                <c:pt idx="156">
                  <c:v>6.1376834547565411E-3</c:v>
                </c:pt>
                <c:pt idx="157">
                  <c:v>3.6251187026710508E-3</c:v>
                </c:pt>
                <c:pt idx="158">
                  <c:v>5.8227848101261568E-4</c:v>
                </c:pt>
                <c:pt idx="159">
                  <c:v>1.2051511271110049E-3</c:v>
                </c:pt>
                <c:pt idx="160">
                  <c:v>7.9150385732888848E-4</c:v>
                </c:pt>
                <c:pt idx="161">
                  <c:v>6.6170192581352469E-4</c:v>
                </c:pt>
                <c:pt idx="162">
                  <c:v>9.995992172949868E-4</c:v>
                </c:pt>
                <c:pt idx="163">
                  <c:v>1.9454147454706552E-3</c:v>
                </c:pt>
                <c:pt idx="164">
                  <c:v>1.0793197764299531E-3</c:v>
                </c:pt>
                <c:pt idx="165">
                  <c:v>8.6918730986668142E-6</c:v>
                </c:pt>
                <c:pt idx="166">
                  <c:v>6.1432098765425635E-4</c:v>
                </c:pt>
                <c:pt idx="167">
                  <c:v>1.5635503547862159E-4</c:v>
                </c:pt>
                <c:pt idx="168">
                  <c:v>2.5139959330203452E-3</c:v>
                </c:pt>
                <c:pt idx="169">
                  <c:v>1.1696240679638565E-3</c:v>
                </c:pt>
                <c:pt idx="170">
                  <c:v>2.1845721424110535E-3</c:v>
                </c:pt>
                <c:pt idx="171">
                  <c:v>1.5710988355507598E-3</c:v>
                </c:pt>
                <c:pt idx="172">
                  <c:v>1.1065178107284475E-3</c:v>
                </c:pt>
                <c:pt idx="173">
                  <c:v>2.546853667618726E-4</c:v>
                </c:pt>
                <c:pt idx="174">
                  <c:v>4.227444295629023E-4</c:v>
                </c:pt>
                <c:pt idx="175">
                  <c:v>1.8147307994992147E-4</c:v>
                </c:pt>
                <c:pt idx="176">
                  <c:v>8.363080061193674E-4</c:v>
                </c:pt>
                <c:pt idx="177">
                  <c:v>1.4041349898016352E-3</c:v>
                </c:pt>
                <c:pt idx="178">
                  <c:v>8.9890336668824243E-4</c:v>
                </c:pt>
                <c:pt idx="179">
                  <c:v>1.0495158781918554E-3</c:v>
                </c:pt>
                <c:pt idx="180">
                  <c:v>1.0952800373037364E-3</c:v>
                </c:pt>
                <c:pt idx="181">
                  <c:v>1.5429914635655222E-3</c:v>
                </c:pt>
                <c:pt idx="182">
                  <c:v>1.0941185051909844E-4</c:v>
                </c:pt>
                <c:pt idx="183">
                  <c:v>4.0340977308207251E-4</c:v>
                </c:pt>
                <c:pt idx="184">
                  <c:v>-4.4366828715728773E-4</c:v>
                </c:pt>
                <c:pt idx="185">
                  <c:v>2.5313409851047421E-4</c:v>
                </c:pt>
                <c:pt idx="186">
                  <c:v>3.2284675926965291E-4</c:v>
                </c:pt>
                <c:pt idx="187">
                  <c:v>4.1255183617636934E-4</c:v>
                </c:pt>
                <c:pt idx="188">
                  <c:v>3.4671375656814853E-4</c:v>
                </c:pt>
                <c:pt idx="189">
                  <c:v>7.9389774839011974E-4</c:v>
                </c:pt>
                <c:pt idx="190">
                  <c:v>2.0101433296582909E-3</c:v>
                </c:pt>
                <c:pt idx="191">
                  <c:v>1.8682714811099901E-3</c:v>
                </c:pt>
                <c:pt idx="192">
                  <c:v>1.0200961602375397E-3</c:v>
                </c:pt>
                <c:pt idx="193">
                  <c:v>1.0708417445190982E-3</c:v>
                </c:pt>
                <c:pt idx="194">
                  <c:v>1.1837830202005659E-3</c:v>
                </c:pt>
                <c:pt idx="195">
                  <c:v>-5.7081853635212516E-5</c:v>
                </c:pt>
                <c:pt idx="196">
                  <c:v>3.3141754415410727E-4</c:v>
                </c:pt>
                <c:pt idx="197">
                  <c:v>5.6290624539855776E-4</c:v>
                </c:pt>
                <c:pt idx="198">
                  <c:v>1.9661662085008079E-3</c:v>
                </c:pt>
                <c:pt idx="199">
                  <c:v>1.4565898459293031E-3</c:v>
                </c:pt>
                <c:pt idx="200">
                  <c:v>1.382690571391713E-3</c:v>
                </c:pt>
                <c:pt idx="201">
                  <c:v>6.7515507672209817E-4</c:v>
                </c:pt>
                <c:pt idx="202">
                  <c:v>1.4652961932104711E-3</c:v>
                </c:pt>
                <c:pt idx="203">
                  <c:v>3.3023749502453783E-3</c:v>
                </c:pt>
                <c:pt idx="204">
                  <c:v>1.0531058899260111E-3</c:v>
                </c:pt>
                <c:pt idx="205">
                  <c:v>4.7364866336952794E-4</c:v>
                </c:pt>
                <c:pt idx="206">
                  <c:v>8.9052922386260113E-4</c:v>
                </c:pt>
                <c:pt idx="207">
                  <c:v>1.5889950645805626E-3</c:v>
                </c:pt>
                <c:pt idx="208">
                  <c:v>1.9192290239633464E-3</c:v>
                </c:pt>
                <c:pt idx="209">
                  <c:v>1.3097300795356858E-3</c:v>
                </c:pt>
                <c:pt idx="210">
                  <c:v>1.9337859007833263E-3</c:v>
                </c:pt>
                <c:pt idx="211">
                  <c:v>4.5752705805181428E-4</c:v>
                </c:pt>
                <c:pt idx="212">
                  <c:v>1.7308519132731583E-3</c:v>
                </c:pt>
                <c:pt idx="213">
                  <c:v>1.5211441506327453E-3</c:v>
                </c:pt>
                <c:pt idx="214">
                  <c:v>8.6682034348842154E-4</c:v>
                </c:pt>
                <c:pt idx="215">
                  <c:v>5.4515337680582053E-4</c:v>
                </c:pt>
                <c:pt idx="216">
                  <c:v>1.6029503205472252E-3</c:v>
                </c:pt>
                <c:pt idx="217">
                  <c:v>6.8369063537931007E-4</c:v>
                </c:pt>
                <c:pt idx="218">
                  <c:v>1.2372372372372372E-3</c:v>
                </c:pt>
                <c:pt idx="219">
                  <c:v>1.3627112226061852E-3</c:v>
                </c:pt>
                <c:pt idx="220">
                  <c:v>2.2386498361113725E-3</c:v>
                </c:pt>
                <c:pt idx="221">
                  <c:v>3.5354362008096476E-4</c:v>
                </c:pt>
                <c:pt idx="222">
                  <c:v>7.1586287042423968E-4</c:v>
                </c:pt>
                <c:pt idx="223">
                  <c:v>1.1496944294845937E-3</c:v>
                </c:pt>
                <c:pt idx="224">
                  <c:v>4.4774388122034356E-4</c:v>
                </c:pt>
                <c:pt idx="225">
                  <c:v>2.5287356321839799E-3</c:v>
                </c:pt>
                <c:pt idx="226">
                  <c:v>2.4043142835743366E-3</c:v>
                </c:pt>
                <c:pt idx="227">
                  <c:v>1.9160635277869684E-3</c:v>
                </c:pt>
                <c:pt idx="228">
                  <c:v>1.8400611545385697E-3</c:v>
                </c:pt>
                <c:pt idx="229">
                  <c:v>1.2109582123469038E-3</c:v>
                </c:pt>
                <c:pt idx="230">
                  <c:v>1.1935532159073026E-3</c:v>
                </c:pt>
                <c:pt idx="231">
                  <c:v>-1.9182030512351946E-4</c:v>
                </c:pt>
                <c:pt idx="232">
                  <c:v>1.5354913120878058E-3</c:v>
                </c:pt>
                <c:pt idx="233">
                  <c:v>9.1670450532254949E-4</c:v>
                </c:pt>
                <c:pt idx="234">
                  <c:v>-7.6167137605959157E-4</c:v>
                </c:pt>
                <c:pt idx="235">
                  <c:v>1.3419596148499721E-3</c:v>
                </c:pt>
                <c:pt idx="236">
                  <c:v>1.8390988255971258E-3</c:v>
                </c:pt>
                <c:pt idx="237">
                  <c:v>1.5410142071969907E-3</c:v>
                </c:pt>
                <c:pt idx="238">
                  <c:v>1.0539672674538298E-3</c:v>
                </c:pt>
                <c:pt idx="239">
                  <c:v>-2.2142639795894141E-3</c:v>
                </c:pt>
                <c:pt idx="240">
                  <c:v>-1.6048241763319422E-3</c:v>
                </c:pt>
                <c:pt idx="241">
                  <c:v>-8.3289428473257545E-4</c:v>
                </c:pt>
                <c:pt idx="242">
                  <c:v>3.8270033715139256E-4</c:v>
                </c:pt>
                <c:pt idx="243">
                  <c:v>1.8916505432356511E-3</c:v>
                </c:pt>
                <c:pt idx="244">
                  <c:v>6.4291189634282041E-4</c:v>
                </c:pt>
                <c:pt idx="245">
                  <c:v>1.4299134232106966E-3</c:v>
                </c:pt>
                <c:pt idx="246">
                  <c:v>2.0443231496222541E-3</c:v>
                </c:pt>
                <c:pt idx="247">
                  <c:v>1.226722358966622E-3</c:v>
                </c:pt>
                <c:pt idx="248">
                  <c:v>1.3351540760589433E-3</c:v>
                </c:pt>
                <c:pt idx="249">
                  <c:v>1.4306561867942697E-3</c:v>
                </c:pt>
                <c:pt idx="250">
                  <c:v>1.0753087074037242E-3</c:v>
                </c:pt>
                <c:pt idx="251">
                  <c:v>1.5058134807707313E-3</c:v>
                </c:pt>
                <c:pt idx="252">
                  <c:v>-3.3100461447233914E-4</c:v>
                </c:pt>
                <c:pt idx="253">
                  <c:v>-7.6448316996014735E-4</c:v>
                </c:pt>
                <c:pt idx="254">
                  <c:v>-4.2240490602953138E-4</c:v>
                </c:pt>
                <c:pt idx="255">
                  <c:v>9.6782770539734594E-5</c:v>
                </c:pt>
                <c:pt idx="256">
                  <c:v>-1.1861408802407845E-4</c:v>
                </c:pt>
                <c:pt idx="257">
                  <c:v>8.2441787287608373E-4</c:v>
                </c:pt>
                <c:pt idx="258">
                  <c:v>-2.8338099286357648E-5</c:v>
                </c:pt>
                <c:pt idx="259">
                  <c:v>5.2705497816703912E-4</c:v>
                </c:pt>
                <c:pt idx="260">
                  <c:v>1.1127711091648315E-3</c:v>
                </c:pt>
                <c:pt idx="261">
                  <c:v>1.4056266514688885E-3</c:v>
                </c:pt>
                <c:pt idx="262">
                  <c:v>1.3846153846153312E-3</c:v>
                </c:pt>
                <c:pt idx="263">
                  <c:v>1.3248070112855951E-4</c:v>
                </c:pt>
                <c:pt idx="264">
                  <c:v>6.9486107696095493E-4</c:v>
                </c:pt>
                <c:pt idx="265">
                  <c:v>1.5231196666003717E-4</c:v>
                </c:pt>
                <c:pt idx="266">
                  <c:v>1.2177399148084645E-4</c:v>
                </c:pt>
                <c:pt idx="267">
                  <c:v>1.1367536692194714E-3</c:v>
                </c:pt>
                <c:pt idx="268">
                  <c:v>1.4738685830564657E-3</c:v>
                </c:pt>
                <c:pt idx="269">
                  <c:v>4.4300378173963014E-4</c:v>
                </c:pt>
                <c:pt idx="270">
                  <c:v>9.5183306312435169E-4</c:v>
                </c:pt>
                <c:pt idx="271">
                  <c:v>9.0176626512349632E-4</c:v>
                </c:pt>
                <c:pt idx="272">
                  <c:v>3.4468351786079721E-5</c:v>
                </c:pt>
                <c:pt idx="273">
                  <c:v>1.2265441499108691E-3</c:v>
                </c:pt>
                <c:pt idx="274">
                  <c:v>7.2622929437841423E-4</c:v>
                </c:pt>
                <c:pt idx="275">
                  <c:v>1.4307825493848441E-3</c:v>
                </c:pt>
                <c:pt idx="276">
                  <c:v>4.170995221275107E-4</c:v>
                </c:pt>
                <c:pt idx="277">
                  <c:v>1.3631244881245402E-3</c:v>
                </c:pt>
                <c:pt idx="278">
                  <c:v>1.1527213437200982E-3</c:v>
                </c:pt>
                <c:pt idx="279">
                  <c:v>6.0151162486596756E-4</c:v>
                </c:pt>
                <c:pt idx="280">
                  <c:v>7.3480750039401233E-4</c:v>
                </c:pt>
                <c:pt idx="281">
                  <c:v>1.1517176568863585E-3</c:v>
                </c:pt>
                <c:pt idx="282">
                  <c:v>6.4964834592347819E-4</c:v>
                </c:pt>
                <c:pt idx="283">
                  <c:v>9.5603271983588008E-5</c:v>
                </c:pt>
                <c:pt idx="284">
                  <c:v>2.4221095124729795E-4</c:v>
                </c:pt>
                <c:pt idx="285">
                  <c:v>-2.5053543856148007E-4</c:v>
                </c:pt>
                <c:pt idx="286">
                  <c:v>2.6053455333493157E-4</c:v>
                </c:pt>
                <c:pt idx="287">
                  <c:v>3.4345972848454749E-4</c:v>
                </c:pt>
                <c:pt idx="288">
                  <c:v>9.1547072679141084E-4</c:v>
                </c:pt>
                <c:pt idx="289">
                  <c:v>-4.347930529198046E-4</c:v>
                </c:pt>
                <c:pt idx="290">
                  <c:v>8.9813535074321365E-4</c:v>
                </c:pt>
                <c:pt idx="291">
                  <c:v>5.0820152314000463E-4</c:v>
                </c:pt>
                <c:pt idx="292">
                  <c:v>1.3821575141685007E-3</c:v>
                </c:pt>
                <c:pt idx="293">
                  <c:v>7.7704128497313647E-4</c:v>
                </c:pt>
                <c:pt idx="294">
                  <c:v>8.0738577298160037E-4</c:v>
                </c:pt>
                <c:pt idx="295">
                  <c:v>1.472021191050517E-3</c:v>
                </c:pt>
                <c:pt idx="296">
                  <c:v>1.7900915707912176E-3</c:v>
                </c:pt>
                <c:pt idx="297">
                  <c:v>2.5517257875475471E-3</c:v>
                </c:pt>
                <c:pt idx="298">
                  <c:v>1.4422773311310723E-3</c:v>
                </c:pt>
                <c:pt idx="299">
                  <c:v>5.0797076039165888E-3</c:v>
                </c:pt>
                <c:pt idx="300">
                  <c:v>7.7246943148871483E-3</c:v>
                </c:pt>
                <c:pt idx="301">
                  <c:v>4.4225456409671855E-3</c:v>
                </c:pt>
                <c:pt idx="302">
                  <c:v>8.5439463466289896E-3</c:v>
                </c:pt>
                <c:pt idx="303">
                  <c:v>9.3847254516186644E-3</c:v>
                </c:pt>
                <c:pt idx="304">
                  <c:v>3.1109475169472794E-3</c:v>
                </c:pt>
                <c:pt idx="305">
                  <c:v>2.1043105788664607E-3</c:v>
                </c:pt>
                <c:pt idx="306">
                  <c:v>1.4055688995641389E-3</c:v>
                </c:pt>
                <c:pt idx="307">
                  <c:v>7.9646549651358502E-4</c:v>
                </c:pt>
                <c:pt idx="308">
                  <c:v>3.2447669885442656E-4</c:v>
                </c:pt>
                <c:pt idx="309">
                  <c:v>8.1379310344825836E-4</c:v>
                </c:pt>
                <c:pt idx="310">
                  <c:v>-6.8605697151416436E-4</c:v>
                </c:pt>
                <c:pt idx="311">
                  <c:v>-5.3718500307312728E-4</c:v>
                </c:pt>
                <c:pt idx="312">
                  <c:v>7.2088665883326649E-4</c:v>
                </c:pt>
                <c:pt idx="313">
                  <c:v>1.4715781023250025E-3</c:v>
                </c:pt>
                <c:pt idx="314">
                  <c:v>9.8069963811811827E-4</c:v>
                </c:pt>
                <c:pt idx="315">
                  <c:v>6.4734095502395482E-4</c:v>
                </c:pt>
                <c:pt idx="316">
                  <c:v>1.1090909090919675E-4</c:v>
                </c:pt>
                <c:pt idx="317">
                  <c:v>2.3114355231205514E-5</c:v>
                </c:pt>
                <c:pt idx="318">
                  <c:v>2.1020563594825454E-4</c:v>
                </c:pt>
                <c:pt idx="319">
                  <c:v>1.2959363139870801E-4</c:v>
                </c:pt>
                <c:pt idx="320">
                  <c:v>1.27484703661981E-3</c:v>
                </c:pt>
                <c:pt idx="321">
                  <c:v>1.3010263587591153E-3</c:v>
                </c:pt>
                <c:pt idx="322">
                  <c:v>8.0811057734809621E-4</c:v>
                </c:pt>
                <c:pt idx="323">
                  <c:v>-3.6862584476815695E-5</c:v>
                </c:pt>
                <c:pt idx="324">
                  <c:v>7.2850035536598391E-4</c:v>
                </c:pt>
                <c:pt idx="325">
                  <c:v>1.3809036408832041E-3</c:v>
                </c:pt>
                <c:pt idx="326">
                  <c:v>3.7957150856091066E-4</c:v>
                </c:pt>
                <c:pt idx="327">
                  <c:v>8.3591874963407102E-4</c:v>
                </c:pt>
                <c:pt idx="328">
                  <c:v>1.2527857843283954E-3</c:v>
                </c:pt>
                <c:pt idx="329">
                  <c:v>4.3041356877322577E-4</c:v>
                </c:pt>
                <c:pt idx="330">
                  <c:v>4.3683933890086804E-4</c:v>
                </c:pt>
                <c:pt idx="331">
                  <c:v>5.1523205888364689E-4</c:v>
                </c:pt>
                <c:pt idx="332">
                  <c:v>4.4841211766426779E-4</c:v>
                </c:pt>
                <c:pt idx="333">
                  <c:v>5.2385243757076651E-4</c:v>
                </c:pt>
                <c:pt idx="334">
                  <c:v>-2.5380567826885391E-4</c:v>
                </c:pt>
                <c:pt idx="335">
                  <c:v>-1.3479738268423462E-4</c:v>
                </c:pt>
                <c:pt idx="336">
                  <c:v>-2.4541997926019125E-4</c:v>
                </c:pt>
                <c:pt idx="337">
                  <c:v>1.0726747683793615E-3</c:v>
                </c:pt>
                <c:pt idx="338">
                  <c:v>7.265899743695947E-4</c:v>
                </c:pt>
                <c:pt idx="339">
                  <c:v>-4.1235881192774179E-5</c:v>
                </c:pt>
                <c:pt idx="340">
                  <c:v>6.397029733101068E-4</c:v>
                </c:pt>
                <c:pt idx="341">
                  <c:v>6.411888339600217E-4</c:v>
                </c:pt>
                <c:pt idx="342">
                  <c:v>-3.7908496732032195E-4</c:v>
                </c:pt>
                <c:pt idx="343">
                  <c:v>-3.9065287192292239E-4</c:v>
                </c:pt>
                <c:pt idx="344">
                  <c:v>-1.7993863020230802E-4</c:v>
                </c:pt>
                <c:pt idx="345">
                  <c:v>-1.2375237642586589E-3</c:v>
                </c:pt>
                <c:pt idx="346">
                  <c:v>4.933428435578615E-5</c:v>
                </c:pt>
                <c:pt idx="347">
                  <c:v>-3.1183876115608725E-3</c:v>
                </c:pt>
                <c:pt idx="348">
                  <c:v>1.0120366489003475E-4</c:v>
                </c:pt>
                <c:pt idx="349">
                  <c:v>-7.6918425349223947E-4</c:v>
                </c:pt>
                <c:pt idx="350">
                  <c:v>7.5437646634186808E-4</c:v>
                </c:pt>
                <c:pt idx="351">
                  <c:v>-6.142358183791621E-5</c:v>
                </c:pt>
                <c:pt idx="352">
                  <c:v>-1.2474666505338323E-3</c:v>
                </c:pt>
                <c:pt idx="353">
                  <c:v>-2.6305644238297844E-3</c:v>
                </c:pt>
                <c:pt idx="354">
                  <c:v>-1.2021726735287242E-3</c:v>
                </c:pt>
                <c:pt idx="355">
                  <c:v>2.0349360705921232E-4</c:v>
                </c:pt>
                <c:pt idx="356">
                  <c:v>-4.4903164575731586E-4</c:v>
                </c:pt>
                <c:pt idx="357">
                  <c:v>3.0675940788299472E-4</c:v>
                </c:pt>
                <c:pt idx="358">
                  <c:v>3.5891381345937108E-4</c:v>
                </c:pt>
                <c:pt idx="359">
                  <c:v>1.3462844321093773E-4</c:v>
                </c:pt>
                <c:pt idx="360">
                  <c:v>2.9147196261691594E-4</c:v>
                </c:pt>
                <c:pt idx="361">
                  <c:v>6.084425036390525E-4</c:v>
                </c:pt>
                <c:pt idx="362">
                  <c:v>6.6620800366924563E-4</c:v>
                </c:pt>
                <c:pt idx="363">
                  <c:v>6.2940766550527514E-4</c:v>
                </c:pt>
                <c:pt idx="364">
                  <c:v>8.62663906142167E-4</c:v>
                </c:pt>
                <c:pt idx="365">
                  <c:v>7.5016307893023874E-4</c:v>
                </c:pt>
                <c:pt idx="366">
                  <c:v>-4.3761483213621195E-4</c:v>
                </c:pt>
                <c:pt idx="367">
                  <c:v>-3.7548791877200821E-4</c:v>
                </c:pt>
                <c:pt idx="368">
                  <c:v>1.042624961667788E-4</c:v>
                </c:pt>
                <c:pt idx="369">
                  <c:v>1.295590636907954E-3</c:v>
                </c:pt>
                <c:pt idx="370">
                  <c:v>2.7475451071447255E-4</c:v>
                </c:pt>
                <c:pt idx="371">
                  <c:v>5.4727548889305273E-4</c:v>
                </c:pt>
                <c:pt idx="372">
                  <c:v>1.5427070225400663E-3</c:v>
                </c:pt>
                <c:pt idx="373">
                  <c:v>1.0268562401264461E-4</c:v>
                </c:pt>
                <c:pt idx="374">
                  <c:v>-5.2830853218279481E-4</c:v>
                </c:pt>
                <c:pt idx="375">
                  <c:v>1.1687745311819848E-4</c:v>
                </c:pt>
                <c:pt idx="376">
                  <c:v>6.4387917329101509E-4</c:v>
                </c:pt>
                <c:pt idx="377">
                  <c:v>4.9872067305607357E-4</c:v>
                </c:pt>
                <c:pt idx="378">
                  <c:v>4.615685507529383E-4</c:v>
                </c:pt>
                <c:pt idx="379">
                  <c:v>4.0639487023963515E-4</c:v>
                </c:pt>
                <c:pt idx="380">
                  <c:v>5.1386747171130228E-4</c:v>
                </c:pt>
                <c:pt idx="381">
                  <c:v>6.9907982565111474E-5</c:v>
                </c:pt>
                <c:pt idx="382">
                  <c:v>4.1344574619505927E-4</c:v>
                </c:pt>
                <c:pt idx="383">
                  <c:v>-4.537891393129513E-5</c:v>
                </c:pt>
                <c:pt idx="384">
                  <c:v>2.338368198192198E-4</c:v>
                </c:pt>
                <c:pt idx="385">
                  <c:v>-1.4466853884781956E-4</c:v>
                </c:pt>
                <c:pt idx="386">
                  <c:v>-8.6756238003839387E-4</c:v>
                </c:pt>
                <c:pt idx="387">
                  <c:v>-3.4985422740524158E-4</c:v>
                </c:pt>
                <c:pt idx="388">
                  <c:v>4.5238614077145427E-4</c:v>
                </c:pt>
                <c:pt idx="389">
                  <c:v>1.0389610389610134E-3</c:v>
                </c:pt>
                <c:pt idx="390">
                  <c:v>5.0891570411485006E-4</c:v>
                </c:pt>
                <c:pt idx="391">
                  <c:v>-1.8589869174341785E-4</c:v>
                </c:pt>
                <c:pt idx="392">
                  <c:v>6.6519864207725485E-4</c:v>
                </c:pt>
                <c:pt idx="393">
                  <c:v>2.8151435307170275E-4</c:v>
                </c:pt>
                <c:pt idx="394">
                  <c:v>1.7900061803281775E-4</c:v>
                </c:pt>
                <c:pt idx="395">
                  <c:v>6.3777032921619073E-4</c:v>
                </c:pt>
                <c:pt idx="396">
                  <c:v>8.7763209258539035E-4</c:v>
                </c:pt>
                <c:pt idx="397">
                  <c:v>1.756717191054911E-4</c:v>
                </c:pt>
                <c:pt idx="398">
                  <c:v>-1.7024684766090577E-3</c:v>
                </c:pt>
                <c:pt idx="399">
                  <c:v>-3.3493433076894712E-4</c:v>
                </c:pt>
                <c:pt idx="400">
                  <c:v>7.8165033144906931E-4</c:v>
                </c:pt>
                <c:pt idx="401">
                  <c:v>-1.6553402982053946E-4</c:v>
                </c:pt>
                <c:pt idx="402">
                  <c:v>3.8133673763531684E-4</c:v>
                </c:pt>
                <c:pt idx="403">
                  <c:v>-8.4886503005812903E-4</c:v>
                </c:pt>
                <c:pt idx="404">
                  <c:v>4.4953922229655071E-5</c:v>
                </c:pt>
                <c:pt idx="405">
                  <c:v>1.1158869234587235E-4</c:v>
                </c:pt>
                <c:pt idx="406">
                  <c:v>-2.7261151814969987E-4</c:v>
                </c:pt>
                <c:pt idx="407">
                  <c:v>9.7531529589302496E-4</c:v>
                </c:pt>
                <c:pt idx="408">
                  <c:v>1.4171596355628355E-3</c:v>
                </c:pt>
                <c:pt idx="409">
                  <c:v>1.3140297620311515E-3</c:v>
                </c:pt>
                <c:pt idx="410">
                  <c:v>6.096823639615034E-3</c:v>
                </c:pt>
                <c:pt idx="411">
                  <c:v>1.1374600155615087E-2</c:v>
                </c:pt>
                <c:pt idx="412">
                  <c:v>6.0917935702198981E-3</c:v>
                </c:pt>
                <c:pt idx="413">
                  <c:v>4.5818770778279774E-3</c:v>
                </c:pt>
                <c:pt idx="414">
                  <c:v>9.8503322221974304E-3</c:v>
                </c:pt>
                <c:pt idx="415">
                  <c:v>9.5489125570572368E-3</c:v>
                </c:pt>
                <c:pt idx="416">
                  <c:v>6.7346074080681488E-3</c:v>
                </c:pt>
                <c:pt idx="417">
                  <c:v>3.8663868173090584E-3</c:v>
                </c:pt>
                <c:pt idx="418">
                  <c:v>2.7276005047773767E-3</c:v>
                </c:pt>
                <c:pt idx="419">
                  <c:v>3.4216534071255015E-3</c:v>
                </c:pt>
                <c:pt idx="420">
                  <c:v>7.7805621069181674E-3</c:v>
                </c:pt>
                <c:pt idx="421">
                  <c:v>1.2899232483287583E-3</c:v>
                </c:pt>
                <c:pt idx="422">
                  <c:v>-1.5326749011138308E-2</c:v>
                </c:pt>
                <c:pt idx="423">
                  <c:v>-3.5877655975097593E-3</c:v>
                </c:pt>
                <c:pt idx="424">
                  <c:v>-6.4690796277145574E-3</c:v>
                </c:pt>
                <c:pt idx="425">
                  <c:v>-3.4344495867100972E-3</c:v>
                </c:pt>
                <c:pt idx="426">
                  <c:v>-7.7977509644049221E-6</c:v>
                </c:pt>
                <c:pt idx="427">
                  <c:v>2.4688697318007895E-3</c:v>
                </c:pt>
                <c:pt idx="428">
                  <c:v>1.5276766205389923E-3</c:v>
                </c:pt>
                <c:pt idx="429">
                  <c:v>2.6175081056044251E-3</c:v>
                </c:pt>
                <c:pt idx="430">
                  <c:v>8.1014689104392315E-3</c:v>
                </c:pt>
                <c:pt idx="431">
                  <c:v>5.4601690343463304E-3</c:v>
                </c:pt>
                <c:pt idx="432">
                  <c:v>6.748318156806367E-3</c:v>
                </c:pt>
                <c:pt idx="433">
                  <c:v>8.9637362637362324E-3</c:v>
                </c:pt>
                <c:pt idx="434">
                  <c:v>4.1941973739941319E-3</c:v>
                </c:pt>
                <c:pt idx="435">
                  <c:v>8.454201252366433E-3</c:v>
                </c:pt>
                <c:pt idx="436">
                  <c:v>7.5838352226205519E-3</c:v>
                </c:pt>
                <c:pt idx="437">
                  <c:v>4.2201933213028122E-3</c:v>
                </c:pt>
                <c:pt idx="438">
                  <c:v>6.9456020652775858E-3</c:v>
                </c:pt>
                <c:pt idx="439">
                  <c:v>1.7597416892932826E-3</c:v>
                </c:pt>
                <c:pt idx="440">
                  <c:v>2.0079045804220993E-3</c:v>
                </c:pt>
                <c:pt idx="441">
                  <c:v>3.6580623294146615E-3</c:v>
                </c:pt>
                <c:pt idx="442">
                  <c:v>2.6073668124572259E-3</c:v>
                </c:pt>
                <c:pt idx="443">
                  <c:v>2.9443516483516328E-3</c:v>
                </c:pt>
                <c:pt idx="444">
                  <c:v>3.7698954876945034E-3</c:v>
                </c:pt>
                <c:pt idx="445">
                  <c:v>6.8569681272034168E-3</c:v>
                </c:pt>
                <c:pt idx="446">
                  <c:v>3.4236217118108095E-3</c:v>
                </c:pt>
                <c:pt idx="447">
                  <c:v>3.5931758064230053E-3</c:v>
                </c:pt>
                <c:pt idx="448">
                  <c:v>4.3404133896883948E-3</c:v>
                </c:pt>
                <c:pt idx="449">
                  <c:v>3.2506719225944857E-3</c:v>
                </c:pt>
                <c:pt idx="450">
                  <c:v>2.3204380345703806E-3</c:v>
                </c:pt>
                <c:pt idx="451">
                  <c:v>2.6342738091033775E-3</c:v>
                </c:pt>
                <c:pt idx="452">
                  <c:v>-6.9086433905968269E-4</c:v>
                </c:pt>
                <c:pt idx="453">
                  <c:v>3.6997948785814118E-3</c:v>
                </c:pt>
                <c:pt idx="454">
                  <c:v>4.6629438908580463E-3</c:v>
                </c:pt>
                <c:pt idx="455">
                  <c:v>4.4947442878057273E-3</c:v>
                </c:pt>
                <c:pt idx="456">
                  <c:v>2.6998637758702754E-3</c:v>
                </c:pt>
                <c:pt idx="457">
                  <c:v>3.1894860082779257E-3</c:v>
                </c:pt>
                <c:pt idx="458">
                  <c:v>4.1060913454401887E-3</c:v>
                </c:pt>
                <c:pt idx="459">
                  <c:v>2.4390078151545645E-3</c:v>
                </c:pt>
                <c:pt idx="460">
                  <c:v>3.1039589298054995E-3</c:v>
                </c:pt>
                <c:pt idx="461">
                  <c:v>4.2865822960609385E-3</c:v>
                </c:pt>
                <c:pt idx="462">
                  <c:v>3.1673038799207437E-3</c:v>
                </c:pt>
                <c:pt idx="463">
                  <c:v>4.1608866380418007E-3</c:v>
                </c:pt>
                <c:pt idx="464">
                  <c:v>3.5136642498606215E-3</c:v>
                </c:pt>
                <c:pt idx="465">
                  <c:v>3.9683748594639048E-3</c:v>
                </c:pt>
                <c:pt idx="466">
                  <c:v>4.3520640116384741E-3</c:v>
                </c:pt>
                <c:pt idx="467">
                  <c:v>3.4958803352311109E-3</c:v>
                </c:pt>
                <c:pt idx="468">
                  <c:v>3.03816176082482E-3</c:v>
                </c:pt>
                <c:pt idx="469">
                  <c:v>2.1653349619149306E-3</c:v>
                </c:pt>
                <c:pt idx="470">
                  <c:v>1.3598690269108421E-3</c:v>
                </c:pt>
                <c:pt idx="471">
                  <c:v>-8.9523646626180639E-4</c:v>
                </c:pt>
                <c:pt idx="472">
                  <c:v>2.2283408010398283E-3</c:v>
                </c:pt>
                <c:pt idx="473">
                  <c:v>3.9422117714123361E-3</c:v>
                </c:pt>
                <c:pt idx="474">
                  <c:v>3.7264957264957163E-3</c:v>
                </c:pt>
                <c:pt idx="475">
                  <c:v>2.1070395371263358E-3</c:v>
                </c:pt>
                <c:pt idx="476">
                  <c:v>3.6433006139225442E-3</c:v>
                </c:pt>
                <c:pt idx="477">
                  <c:v>-1.2510374498213145E-3</c:v>
                </c:pt>
                <c:pt idx="478">
                  <c:v>-3.4241716411454529E-3</c:v>
                </c:pt>
                <c:pt idx="479">
                  <c:v>2.101730650970792E-3</c:v>
                </c:pt>
                <c:pt idx="480">
                  <c:v>4.6985251590514589E-3</c:v>
                </c:pt>
                <c:pt idx="481">
                  <c:v>3.64906438886676E-3</c:v>
                </c:pt>
                <c:pt idx="482">
                  <c:v>4.5554528818104083E-3</c:v>
                </c:pt>
                <c:pt idx="483">
                  <c:v>3.1388322520851993E-3</c:v>
                </c:pt>
                <c:pt idx="484">
                  <c:v>1.5160055996267133E-3</c:v>
                </c:pt>
                <c:pt idx="485">
                  <c:v>5.1456854688083677E-3</c:v>
                </c:pt>
                <c:pt idx="486">
                  <c:v>3.974804437094674E-3</c:v>
                </c:pt>
                <c:pt idx="487">
                  <c:v>3.5631316385324389E-3</c:v>
                </c:pt>
                <c:pt idx="488">
                  <c:v>2.214699298888232E-3</c:v>
                </c:pt>
                <c:pt idx="489">
                  <c:v>2.8559951797549389E-3</c:v>
                </c:pt>
                <c:pt idx="490">
                  <c:v>2.6650011186516954E-3</c:v>
                </c:pt>
                <c:pt idx="491">
                  <c:v>2.9143484490426791E-3</c:v>
                </c:pt>
                <c:pt idx="492">
                  <c:v>1.534147511345672E-3</c:v>
                </c:pt>
                <c:pt idx="493">
                  <c:v>2.2154099218661782E-3</c:v>
                </c:pt>
                <c:pt idx="494">
                  <c:v>1.8721597258436415E-3</c:v>
                </c:pt>
                <c:pt idx="495">
                  <c:v>3.8691897850445843E-4</c:v>
                </c:pt>
                <c:pt idx="496">
                  <c:v>3.3273172863194978E-3</c:v>
                </c:pt>
                <c:pt idx="497">
                  <c:v>1.601103427426935E-3</c:v>
                </c:pt>
                <c:pt idx="498">
                  <c:v>3.3279658478130238E-3</c:v>
                </c:pt>
                <c:pt idx="499">
                  <c:v>2.5623836126629153E-3</c:v>
                </c:pt>
                <c:pt idx="500">
                  <c:v>-2.3293916512326802E-4</c:v>
                </c:pt>
                <c:pt idx="501">
                  <c:v>1.113133752681038E-3</c:v>
                </c:pt>
                <c:pt idx="502">
                  <c:v>2.1921813522001068E-3</c:v>
                </c:pt>
                <c:pt idx="503">
                  <c:v>2.7114532992778095E-3</c:v>
                </c:pt>
                <c:pt idx="504">
                  <c:v>3.0904377343006339E-3</c:v>
                </c:pt>
                <c:pt idx="505">
                  <c:v>2.4067989500541976E-3</c:v>
                </c:pt>
                <c:pt idx="506">
                  <c:v>2.1919680792109116E-3</c:v>
                </c:pt>
                <c:pt idx="507">
                  <c:v>2.2247630288053594E-3</c:v>
                </c:pt>
                <c:pt idx="508">
                  <c:v>6.1493001555209901E-3</c:v>
                </c:pt>
                <c:pt idx="509">
                  <c:v>3.3224994950330033E-3</c:v>
                </c:pt>
                <c:pt idx="510">
                  <c:v>3.4246653375106916E-3</c:v>
                </c:pt>
                <c:pt idx="511">
                  <c:v>3.3167251726870864E-3</c:v>
                </c:pt>
                <c:pt idx="512">
                  <c:v>3.0661125802795564E-3</c:v>
                </c:pt>
                <c:pt idx="513">
                  <c:v>1.4129256965944217E-2</c:v>
                </c:pt>
                <c:pt idx="514">
                  <c:v>8.8046894583598979E-3</c:v>
                </c:pt>
                <c:pt idx="515">
                  <c:v>4.3976752717654038E-3</c:v>
                </c:pt>
                <c:pt idx="516">
                  <c:v>5.0270968737344216E-3</c:v>
                </c:pt>
                <c:pt idx="517">
                  <c:v>9.0247446897457149E-3</c:v>
                </c:pt>
                <c:pt idx="518">
                  <c:v>3.489358375515486E-3</c:v>
                </c:pt>
                <c:pt idx="519">
                  <c:v>3.3321312657770925E-3</c:v>
                </c:pt>
                <c:pt idx="520">
                  <c:v>2.8964138919265925E-3</c:v>
                </c:pt>
                <c:pt idx="521">
                  <c:v>3.9592867587018854E-3</c:v>
                </c:pt>
                <c:pt idx="522">
                  <c:v>4.4162427088575169E-3</c:v>
                </c:pt>
                <c:pt idx="523">
                  <c:v>1.8567114627297829E-3</c:v>
                </c:pt>
                <c:pt idx="524">
                  <c:v>1.9776007466418368E-3</c:v>
                </c:pt>
                <c:pt idx="525">
                  <c:v>2.334655088758401E-3</c:v>
                </c:pt>
                <c:pt idx="526">
                  <c:v>3.458455522971633E-3</c:v>
                </c:pt>
                <c:pt idx="527">
                  <c:v>2.4438878247630084E-3</c:v>
                </c:pt>
                <c:pt idx="528">
                  <c:v>2.1404429860541283E-3</c:v>
                </c:pt>
                <c:pt idx="529">
                  <c:v>2.5222247926236724E-3</c:v>
                </c:pt>
                <c:pt idx="530">
                  <c:v>2.4386747890673545E-3</c:v>
                </c:pt>
                <c:pt idx="531">
                  <c:v>3.8851840149008434E-3</c:v>
                </c:pt>
                <c:pt idx="532">
                  <c:v>2.5206855791962317E-3</c:v>
                </c:pt>
                <c:pt idx="533">
                  <c:v>1.851578273501557E-4</c:v>
                </c:pt>
                <c:pt idx="534">
                  <c:v>1.4831401905820102E-3</c:v>
                </c:pt>
                <c:pt idx="535">
                  <c:v>3.7851695814759042E-4</c:v>
                </c:pt>
                <c:pt idx="536">
                  <c:v>1.9283216222285926E-3</c:v>
                </c:pt>
                <c:pt idx="537">
                  <c:v>3.1150977428947022E-3</c:v>
                </c:pt>
                <c:pt idx="538">
                  <c:v>1.9642359574502384E-3</c:v>
                </c:pt>
                <c:pt idx="539">
                  <c:v>3.3129758219693803E-3</c:v>
                </c:pt>
                <c:pt idx="540">
                  <c:v>3.6722716782064298E-3</c:v>
                </c:pt>
                <c:pt idx="541">
                  <c:v>4.1265856236785891E-3</c:v>
                </c:pt>
                <c:pt idx="542">
                  <c:v>4.1459452290961898E-3</c:v>
                </c:pt>
                <c:pt idx="543">
                  <c:v>1.7388588430621347E-3</c:v>
                </c:pt>
                <c:pt idx="544">
                  <c:v>2.9438176563750537E-3</c:v>
                </c:pt>
                <c:pt idx="545">
                  <c:v>3.5203502246507045E-3</c:v>
                </c:pt>
                <c:pt idx="546">
                  <c:v>1.9222215161720786E-3</c:v>
                </c:pt>
                <c:pt idx="547">
                  <c:v>3.0886209569678212E-3</c:v>
                </c:pt>
                <c:pt idx="548">
                  <c:v>5.9419476273816557E-3</c:v>
                </c:pt>
                <c:pt idx="549">
                  <c:v>4.9507963547954373E-3</c:v>
                </c:pt>
                <c:pt idx="550">
                  <c:v>3.9765732583412188E-3</c:v>
                </c:pt>
                <c:pt idx="551">
                  <c:v>3.2206965840588832E-3</c:v>
                </c:pt>
                <c:pt idx="552">
                  <c:v>3.9925735121934414E-3</c:v>
                </c:pt>
                <c:pt idx="553">
                  <c:v>3.3285788599332236E-3</c:v>
                </c:pt>
                <c:pt idx="554">
                  <c:v>3.9528230865746358E-3</c:v>
                </c:pt>
                <c:pt idx="555">
                  <c:v>4.0265954767541379E-3</c:v>
                </c:pt>
                <c:pt idx="556">
                  <c:v>4.0972510934095653E-3</c:v>
                </c:pt>
                <c:pt idx="557">
                  <c:v>4.2917866447278463E-3</c:v>
                </c:pt>
                <c:pt idx="558">
                  <c:v>3.7589198624159948E-3</c:v>
                </c:pt>
                <c:pt idx="559">
                  <c:v>4.1724901994205374E-3</c:v>
                </c:pt>
                <c:pt idx="560">
                  <c:v>4.0121195521927722E-3</c:v>
                </c:pt>
                <c:pt idx="561">
                  <c:v>3.9387943093036996E-3</c:v>
                </c:pt>
                <c:pt idx="562">
                  <c:v>5.1138222464558788E-3</c:v>
                </c:pt>
                <c:pt idx="563">
                  <c:v>5.1166922945498584E-3</c:v>
                </c:pt>
                <c:pt idx="564">
                  <c:v>4.2385239448190773E-3</c:v>
                </c:pt>
                <c:pt idx="565">
                  <c:v>2.983723004931947E-3</c:v>
                </c:pt>
                <c:pt idx="566">
                  <c:v>2.7374445263104136E-3</c:v>
                </c:pt>
                <c:pt idx="567">
                  <c:v>4.3836085794558589E-3</c:v>
                </c:pt>
                <c:pt idx="568">
                  <c:v>1.5532598793337564E-2</c:v>
                </c:pt>
                <c:pt idx="569">
                  <c:v>1.5017123582356661E-2</c:v>
                </c:pt>
                <c:pt idx="570">
                  <c:v>1.46985962014864E-2</c:v>
                </c:pt>
                <c:pt idx="571">
                  <c:v>1.9258688316804506E-2</c:v>
                </c:pt>
                <c:pt idx="572">
                  <c:v>1.9661968044891769E-2</c:v>
                </c:pt>
                <c:pt idx="573">
                  <c:v>2.089983768429593E-2</c:v>
                </c:pt>
                <c:pt idx="574">
                  <c:v>1.6723672367236687E-2</c:v>
                </c:pt>
                <c:pt idx="575">
                  <c:v>1.5970146716308756E-2</c:v>
                </c:pt>
                <c:pt idx="576">
                  <c:v>8.0646586891487473E-3</c:v>
                </c:pt>
                <c:pt idx="577">
                  <c:v>1.031569601666411E-2</c:v>
                </c:pt>
                <c:pt idx="578">
                  <c:v>1.5144489018834539E-2</c:v>
                </c:pt>
                <c:pt idx="579">
                  <c:v>7.8557718672882075E-3</c:v>
                </c:pt>
                <c:pt idx="580">
                  <c:v>7.5728493546757501E-3</c:v>
                </c:pt>
                <c:pt idx="581">
                  <c:v>9.7997034033526845E-3</c:v>
                </c:pt>
                <c:pt idx="582">
                  <c:v>2.2901651940069191E-2</c:v>
                </c:pt>
                <c:pt idx="583">
                  <c:v>1.8773984550211779E-2</c:v>
                </c:pt>
                <c:pt idx="584">
                  <c:v>1.2153919602788166E-2</c:v>
                </c:pt>
                <c:pt idx="585">
                  <c:v>5.2925292529253038E-3</c:v>
                </c:pt>
                <c:pt idx="586">
                  <c:v>4.7074192185038782E-3</c:v>
                </c:pt>
                <c:pt idx="587">
                  <c:v>3.106535193141159E-3</c:v>
                </c:pt>
                <c:pt idx="588">
                  <c:v>1.6501940392666598E-3</c:v>
                </c:pt>
                <c:pt idx="589">
                  <c:v>3.7204924802642391E-3</c:v>
                </c:pt>
                <c:pt idx="590">
                  <c:v>3.0839647678756986E-3</c:v>
                </c:pt>
                <c:pt idx="591">
                  <c:v>3.094151486097806E-3</c:v>
                </c:pt>
                <c:pt idx="592">
                  <c:v>9.3312895190643971E-4</c:v>
                </c:pt>
                <c:pt idx="593">
                  <c:v>2.5094288550031158E-3</c:v>
                </c:pt>
                <c:pt idx="594">
                  <c:v>2.7973616709417422E-3</c:v>
                </c:pt>
                <c:pt idx="595">
                  <c:v>4.3023906458024425E-3</c:v>
                </c:pt>
                <c:pt idx="596">
                  <c:v>3.9164500989100955E-3</c:v>
                </c:pt>
                <c:pt idx="597">
                  <c:v>3.3366861387287708E-3</c:v>
                </c:pt>
                <c:pt idx="598">
                  <c:v>3.8605009633911479E-3</c:v>
                </c:pt>
                <c:pt idx="599">
                  <c:v>1.9246943007189448E-3</c:v>
                </c:pt>
                <c:pt idx="600">
                  <c:v>2.5226099444941039E-3</c:v>
                </c:pt>
                <c:pt idx="601">
                  <c:v>2.1427461341208117E-3</c:v>
                </c:pt>
                <c:pt idx="602">
                  <c:v>1.4140066698427268E-3</c:v>
                </c:pt>
                <c:pt idx="603">
                  <c:v>2.4502249773091047E-3</c:v>
                </c:pt>
                <c:pt idx="604">
                  <c:v>2.4044201456638742E-3</c:v>
                </c:pt>
                <c:pt idx="605">
                  <c:v>2.2507938966772126E-3</c:v>
                </c:pt>
                <c:pt idx="606">
                  <c:v>3.1241299765341953E-3</c:v>
                </c:pt>
                <c:pt idx="607">
                  <c:v>1.3105170444646062E-3</c:v>
                </c:pt>
                <c:pt idx="608">
                  <c:v>1.9828342551973894E-3</c:v>
                </c:pt>
                <c:pt idx="609">
                  <c:v>1.2547141348619867E-3</c:v>
                </c:pt>
                <c:pt idx="610">
                  <c:v>1.7960626515991351E-3</c:v>
                </c:pt>
                <c:pt idx="611">
                  <c:v>2.8919473575208675E-4</c:v>
                </c:pt>
                <c:pt idx="612">
                  <c:v>3.9324359989444222E-4</c:v>
                </c:pt>
                <c:pt idx="613">
                  <c:v>1.7654094867865123E-3</c:v>
                </c:pt>
                <c:pt idx="614">
                  <c:v>1.9033960321399746E-3</c:v>
                </c:pt>
                <c:pt idx="615">
                  <c:v>1.5933447697046351E-3</c:v>
                </c:pt>
                <c:pt idx="616">
                  <c:v>1.2621669961404665E-3</c:v>
                </c:pt>
                <c:pt idx="617">
                  <c:v>1.9215568186095259E-3</c:v>
                </c:pt>
                <c:pt idx="618">
                  <c:v>1.6310401926840337E-3</c:v>
                </c:pt>
                <c:pt idx="619">
                  <c:v>1.4227185243059529E-3</c:v>
                </c:pt>
                <c:pt idx="620">
                  <c:v>9.544460294816984E-4</c:v>
                </c:pt>
                <c:pt idx="621">
                  <c:v>5.3955050177431293E-4</c:v>
                </c:pt>
                <c:pt idx="622">
                  <c:v>8.1419624217121764E-4</c:v>
                </c:pt>
                <c:pt idx="623">
                  <c:v>1.0883044291029431E-3</c:v>
                </c:pt>
                <c:pt idx="624">
                  <c:v>7.6421283476132507E-4</c:v>
                </c:pt>
                <c:pt idx="625">
                  <c:v>1.215504451038592E-3</c:v>
                </c:pt>
                <c:pt idx="626">
                  <c:v>9.5358890992885384E-4</c:v>
                </c:pt>
                <c:pt idx="627">
                  <c:v>1.0638530107331854E-3</c:v>
                </c:pt>
                <c:pt idx="628">
                  <c:v>1.2337887383032562E-3</c:v>
                </c:pt>
                <c:pt idx="629">
                  <c:v>1.3086535345169126E-3</c:v>
                </c:pt>
                <c:pt idx="630">
                  <c:v>9.993979530403159E-4</c:v>
                </c:pt>
                <c:pt idx="631">
                  <c:v>1.3579098067286574E-3</c:v>
                </c:pt>
                <c:pt idx="632">
                  <c:v>2.179971024343082E-3</c:v>
                </c:pt>
                <c:pt idx="633">
                  <c:v>1.1941046901022599E-3</c:v>
                </c:pt>
                <c:pt idx="634">
                  <c:v>7.1908809191570085E-4</c:v>
                </c:pt>
                <c:pt idx="635">
                  <c:v>1.029583637691698E-3</c:v>
                </c:pt>
                <c:pt idx="636">
                  <c:v>1.2631226267590012E-3</c:v>
                </c:pt>
                <c:pt idx="637">
                  <c:v>8.0517344497610919E-4</c:v>
                </c:pt>
                <c:pt idx="638">
                  <c:v>6.6167709264225633E-4</c:v>
                </c:pt>
                <c:pt idx="639">
                  <c:v>1.5676632206389773E-3</c:v>
                </c:pt>
                <c:pt idx="640">
                  <c:v>6.8557963143647642E-4</c:v>
                </c:pt>
                <c:pt idx="641">
                  <c:v>1.3982775858137821E-3</c:v>
                </c:pt>
                <c:pt idx="642">
                  <c:v>9.7556682157439541E-4</c:v>
                </c:pt>
                <c:pt idx="643">
                  <c:v>1.5576434020909348E-3</c:v>
                </c:pt>
                <c:pt idx="644">
                  <c:v>1.6087070091423139E-3</c:v>
                </c:pt>
                <c:pt idx="645">
                  <c:v>1.04255498441056E-3</c:v>
                </c:pt>
                <c:pt idx="646">
                  <c:v>1.6309472065264246E-3</c:v>
                </c:pt>
                <c:pt idx="647">
                  <c:v>8.6193961421111832E-4</c:v>
                </c:pt>
                <c:pt idx="648">
                  <c:v>-1.1541540180930972E-3</c:v>
                </c:pt>
                <c:pt idx="649">
                  <c:v>1.0521197117721613E-4</c:v>
                </c:pt>
                <c:pt idx="650">
                  <c:v>4.6288652328201031E-4</c:v>
                </c:pt>
                <c:pt idx="651">
                  <c:v>-8.248990814952638E-5</c:v>
                </c:pt>
                <c:pt idx="652">
                  <c:v>-7.2781405220576675E-4</c:v>
                </c:pt>
                <c:pt idx="653">
                  <c:v>3.2360182905384198E-4</c:v>
                </c:pt>
                <c:pt idx="654">
                  <c:v>1.1224932719854407E-3</c:v>
                </c:pt>
                <c:pt idx="655">
                  <c:v>2.5262913926474387E-4</c:v>
                </c:pt>
                <c:pt idx="656">
                  <c:v>-9.8012366854565656E-5</c:v>
                </c:pt>
                <c:pt idx="657">
                  <c:v>5.8962031384390975E-4</c:v>
                </c:pt>
                <c:pt idx="658">
                  <c:v>4.1542178319725631E-4</c:v>
                </c:pt>
                <c:pt idx="659">
                  <c:v>1.4408475234984214E-3</c:v>
                </c:pt>
                <c:pt idx="660">
                  <c:v>1.7488814795817338E-3</c:v>
                </c:pt>
                <c:pt idx="661">
                  <c:v>2.7930331084264221E-4</c:v>
                </c:pt>
                <c:pt idx="662">
                  <c:v>-4.9487592468537415E-4</c:v>
                </c:pt>
                <c:pt idx="663">
                  <c:v>1.2391853555952234E-4</c:v>
                </c:pt>
                <c:pt idx="664">
                  <c:v>9.4302829646050366E-4</c:v>
                </c:pt>
                <c:pt idx="665">
                  <c:v>-1.8100655978664241E-4</c:v>
                </c:pt>
                <c:pt idx="666">
                  <c:v>5.8034279592925162E-4</c:v>
                </c:pt>
                <c:pt idx="667">
                  <c:v>1.4458836030074378E-3</c:v>
                </c:pt>
                <c:pt idx="668">
                  <c:v>6.564445282815646E-4</c:v>
                </c:pt>
                <c:pt idx="669">
                  <c:v>6.7686995601747368E-5</c:v>
                </c:pt>
                <c:pt idx="670">
                  <c:v>1.4256790956638291E-3</c:v>
                </c:pt>
                <c:pt idx="671">
                  <c:v>6.7154825516187319E-4</c:v>
                </c:pt>
                <c:pt idx="672">
                  <c:v>1.112308627646051E-3</c:v>
                </c:pt>
                <c:pt idx="673">
                  <c:v>1.3379926015916689E-3</c:v>
                </c:pt>
                <c:pt idx="674">
                  <c:v>2.3921745426725934E-3</c:v>
                </c:pt>
                <c:pt idx="675">
                  <c:v>2.5147810267801319E-4</c:v>
                </c:pt>
                <c:pt idx="676">
                  <c:v>5.8971074821215035E-4</c:v>
                </c:pt>
                <c:pt idx="677">
                  <c:v>1.5169286324129027E-3</c:v>
                </c:pt>
                <c:pt idx="678">
                  <c:v>-4.2052953592128998E-4</c:v>
                </c:pt>
                <c:pt idx="679">
                  <c:v>6.0326567820468133E-5</c:v>
                </c:pt>
                <c:pt idx="680">
                  <c:v>-1.163104790656981E-3</c:v>
                </c:pt>
                <c:pt idx="681">
                  <c:v>-3.797813123901012E-3</c:v>
                </c:pt>
                <c:pt idx="682">
                  <c:v>-1.604399418038109E-3</c:v>
                </c:pt>
                <c:pt idx="683">
                  <c:v>4.7401760790217665E-4</c:v>
                </c:pt>
                <c:pt idx="684">
                  <c:v>6.7455543068690516E-4</c:v>
                </c:pt>
                <c:pt idx="685">
                  <c:v>6.6199099206185811E-4</c:v>
                </c:pt>
                <c:pt idx="686">
                  <c:v>3.3265300713024916E-4</c:v>
                </c:pt>
                <c:pt idx="687">
                  <c:v>3.7952281916479993E-4</c:v>
                </c:pt>
                <c:pt idx="688">
                  <c:v>4.3995288932797944E-4</c:v>
                </c:pt>
                <c:pt idx="689">
                  <c:v>-1.0278062307941993E-3</c:v>
                </c:pt>
                <c:pt idx="690">
                  <c:v>6.344633844396118E-4</c:v>
                </c:pt>
                <c:pt idx="691">
                  <c:v>1.8389188698926539E-4</c:v>
                </c:pt>
                <c:pt idx="692">
                  <c:v>2.7455145555662448E-4</c:v>
                </c:pt>
                <c:pt idx="693">
                  <c:v>7.4101433551077513E-5</c:v>
                </c:pt>
                <c:pt idx="694">
                  <c:v>8.9302683379341061E-4</c:v>
                </c:pt>
                <c:pt idx="695">
                  <c:v>7.5331116367831439E-4</c:v>
                </c:pt>
                <c:pt idx="696">
                  <c:v>-2.2421678090397788E-4</c:v>
                </c:pt>
                <c:pt idx="697">
                  <c:v>1.0425506121954176E-3</c:v>
                </c:pt>
                <c:pt idx="698">
                  <c:v>3.0265424884631554E-4</c:v>
                </c:pt>
                <c:pt idx="699">
                  <c:v>1.4517181890240313E-3</c:v>
                </c:pt>
                <c:pt idx="700">
                  <c:v>-2.1184915039669728E-4</c:v>
                </c:pt>
                <c:pt idx="701">
                  <c:v>-2.6876660431977595E-4</c:v>
                </c:pt>
                <c:pt idx="702">
                  <c:v>-1.6036519744078647E-3</c:v>
                </c:pt>
                <c:pt idx="703">
                  <c:v>2.1763838173772157E-4</c:v>
                </c:pt>
                <c:pt idx="704">
                  <c:v>-9.2685441169574224E-4</c:v>
                </c:pt>
                <c:pt idx="705">
                  <c:v>-5.2965725973307771E-4</c:v>
                </c:pt>
                <c:pt idx="706">
                  <c:v>-2.5812652318673749E-4</c:v>
                </c:pt>
                <c:pt idx="707">
                  <c:v>-3.4664571304934724E-4</c:v>
                </c:pt>
                <c:pt idx="708">
                  <c:v>5.4624710529895275E-4</c:v>
                </c:pt>
                <c:pt idx="709">
                  <c:v>5.618812447127146E-3</c:v>
                </c:pt>
                <c:pt idx="710">
                  <c:v>8.4911008875877669E-3</c:v>
                </c:pt>
                <c:pt idx="711">
                  <c:v>2.8924805135258657E-3</c:v>
                </c:pt>
                <c:pt idx="712">
                  <c:v>7.0125963526970552E-4</c:v>
                </c:pt>
                <c:pt idx="713">
                  <c:v>2.5880214863294951E-4</c:v>
                </c:pt>
                <c:pt idx="714">
                  <c:v>9.5258206048658047E-4</c:v>
                </c:pt>
                <c:pt idx="715">
                  <c:v>2.5894204155331481E-3</c:v>
                </c:pt>
                <c:pt idx="716">
                  <c:v>3.0413238815524038E-3</c:v>
                </c:pt>
                <c:pt idx="717">
                  <c:v>2.5102832017399254E-3</c:v>
                </c:pt>
                <c:pt idx="718">
                  <c:v>4.5379043831007685E-4</c:v>
                </c:pt>
                <c:pt idx="719">
                  <c:v>3.0433961635494872E-5</c:v>
                </c:pt>
                <c:pt idx="720">
                  <c:v>4.0562834708140743E-3</c:v>
                </c:pt>
                <c:pt idx="721">
                  <c:v>2.6659266977756158E-3</c:v>
                </c:pt>
                <c:pt idx="722">
                  <c:v>2.3666481730998321E-3</c:v>
                </c:pt>
                <c:pt idx="723">
                  <c:v>3.579689543412735E-3</c:v>
                </c:pt>
                <c:pt idx="724">
                  <c:v>2.9689243027889241E-3</c:v>
                </c:pt>
                <c:pt idx="725">
                  <c:v>1.0086967629306576E-3</c:v>
                </c:pt>
                <c:pt idx="726">
                  <c:v>1.5943364520430367E-3</c:v>
                </c:pt>
                <c:pt idx="727">
                  <c:v>7.9972578381914039E-4</c:v>
                </c:pt>
                <c:pt idx="728">
                  <c:v>1.5460458894726809E-3</c:v>
                </c:pt>
                <c:pt idx="729">
                  <c:v>3.6640935672514483E-3</c:v>
                </c:pt>
                <c:pt idx="730">
                  <c:v>3.8921771209095854E-3</c:v>
                </c:pt>
                <c:pt idx="731">
                  <c:v>2.8196760647870916E-3</c:v>
                </c:pt>
                <c:pt idx="732">
                  <c:v>1.1773707505415303E-3</c:v>
                </c:pt>
                <c:pt idx="733">
                  <c:v>2.0268906393197429E-3</c:v>
                </c:pt>
                <c:pt idx="734">
                  <c:v>1.8006250219459543E-3</c:v>
                </c:pt>
                <c:pt idx="735">
                  <c:v>1.6653136397232838E-3</c:v>
                </c:pt>
                <c:pt idx="736">
                  <c:v>1.7626914989485982E-3</c:v>
                </c:pt>
                <c:pt idx="737">
                  <c:v>2.2672045334485484E-3</c:v>
                </c:pt>
                <c:pt idx="738">
                  <c:v>6.4189514189519792E-4</c:v>
                </c:pt>
                <c:pt idx="739">
                  <c:v>1.5610447458999871E-3</c:v>
                </c:pt>
                <c:pt idx="740">
                  <c:v>1.7477237954300407E-3</c:v>
                </c:pt>
                <c:pt idx="741">
                  <c:v>6.9568907416196844E-4</c:v>
                </c:pt>
                <c:pt idx="742">
                  <c:v>1.4765924404477892E-3</c:v>
                </c:pt>
                <c:pt idx="743">
                  <c:v>1.5171093563053711E-3</c:v>
                </c:pt>
                <c:pt idx="744">
                  <c:v>3.2064423408122576E-3</c:v>
                </c:pt>
                <c:pt idx="745">
                  <c:v>1.1286579633221449E-3</c:v>
                </c:pt>
                <c:pt idx="746">
                  <c:v>1.0266361725229821E-3</c:v>
                </c:pt>
                <c:pt idx="747">
                  <c:v>1.2878576087969164E-3</c:v>
                </c:pt>
                <c:pt idx="748">
                  <c:v>9.8401504466385939E-4</c:v>
                </c:pt>
                <c:pt idx="749">
                  <c:v>1.3778526217989597E-3</c:v>
                </c:pt>
                <c:pt idx="750">
                  <c:v>6.000718232676129E-5</c:v>
                </c:pt>
                <c:pt idx="751">
                  <c:v>7.1096221849985275E-4</c:v>
                </c:pt>
                <c:pt idx="752">
                  <c:v>1.9063513704103837E-3</c:v>
                </c:pt>
                <c:pt idx="753">
                  <c:v>7.7264893130569675E-4</c:v>
                </c:pt>
                <c:pt idx="754">
                  <c:v>1.2679539728061324E-4</c:v>
                </c:pt>
                <c:pt idx="755">
                  <c:v>-2.3145119447770166E-4</c:v>
                </c:pt>
                <c:pt idx="756">
                  <c:v>1.165076420178461E-3</c:v>
                </c:pt>
                <c:pt idx="757">
                  <c:v>-8.2770324017599406E-4</c:v>
                </c:pt>
                <c:pt idx="758">
                  <c:v>-1.8909806713714931E-3</c:v>
                </c:pt>
                <c:pt idx="759">
                  <c:v>-3.4900995220458978E-3</c:v>
                </c:pt>
                <c:pt idx="760">
                  <c:v>-2.0308745795290786E-3</c:v>
                </c:pt>
                <c:pt idx="761">
                  <c:v>-5.1371240147987196E-4</c:v>
                </c:pt>
                <c:pt idx="762">
                  <c:v>7.9287932264847122E-4</c:v>
                </c:pt>
                <c:pt idx="763">
                  <c:v>-3.3138326533756375E-4</c:v>
                </c:pt>
                <c:pt idx="764">
                  <c:v>3.9723545594848905E-4</c:v>
                </c:pt>
                <c:pt idx="765">
                  <c:v>-8.4911316995791528E-5</c:v>
                </c:pt>
                <c:pt idx="766">
                  <c:v>1.8306241374027967E-4</c:v>
                </c:pt>
                <c:pt idx="767">
                  <c:v>1.5272649952641842E-3</c:v>
                </c:pt>
                <c:pt idx="768">
                  <c:v>-7.6770186335400393E-4</c:v>
                </c:pt>
                <c:pt idx="769">
                  <c:v>-1.323546410820063E-4</c:v>
                </c:pt>
                <c:pt idx="770">
                  <c:v>3.3955129329665427E-4</c:v>
                </c:pt>
                <c:pt idx="771">
                  <c:v>3.1706620160989443E-4</c:v>
                </c:pt>
                <c:pt idx="772">
                  <c:v>-1.1709302325581057E-3</c:v>
                </c:pt>
                <c:pt idx="773">
                  <c:v>-1.4917762045953428E-3</c:v>
                </c:pt>
                <c:pt idx="774">
                  <c:v>-1.3881936613584739E-3</c:v>
                </c:pt>
                <c:pt idx="775">
                  <c:v>-1.1210730921443772E-3</c:v>
                </c:pt>
                <c:pt idx="776">
                  <c:v>-2.3481257045096706E-3</c:v>
                </c:pt>
                <c:pt idx="777">
                  <c:v>-7.4708018771679294E-3</c:v>
                </c:pt>
                <c:pt idx="778">
                  <c:v>-1.1016487914198769E-3</c:v>
                </c:pt>
                <c:pt idx="779">
                  <c:v>-1.2872371260185232E-3</c:v>
                </c:pt>
                <c:pt idx="780">
                  <c:v>-1.0179493873159219E-3</c:v>
                </c:pt>
                <c:pt idx="781">
                  <c:v>-2.89170894311311E-3</c:v>
                </c:pt>
                <c:pt idx="782">
                  <c:v>-7.3622130499324738E-6</c:v>
                </c:pt>
                <c:pt idx="783">
                  <c:v>2.1887990325743974E-4</c:v>
                </c:pt>
                <c:pt idx="784">
                  <c:v>-1.4482259232457641E-5</c:v>
                </c:pt>
                <c:pt idx="785">
                  <c:v>9.3985375172903136E-5</c:v>
                </c:pt>
                <c:pt idx="786">
                  <c:v>-6.9919043412877745E-4</c:v>
                </c:pt>
                <c:pt idx="787">
                  <c:v>-7.0731407320591628E-4</c:v>
                </c:pt>
                <c:pt idx="788">
                  <c:v>-1.0948380349487193E-2</c:v>
                </c:pt>
                <c:pt idx="789">
                  <c:v>-3.0036286854923794E-4</c:v>
                </c:pt>
                <c:pt idx="790">
                  <c:v>5.2493797119628544E-5</c:v>
                </c:pt>
                <c:pt idx="791">
                  <c:v>-2.2085374387682065E-4</c:v>
                </c:pt>
                <c:pt idx="792">
                  <c:v>6.9082518025437474E-4</c:v>
                </c:pt>
                <c:pt idx="793">
                  <c:v>1.9105218030377087E-3</c:v>
                </c:pt>
                <c:pt idx="794">
                  <c:v>1.6314623500253264E-3</c:v>
                </c:pt>
                <c:pt idx="795">
                  <c:v>5.6423225959112281E-4</c:v>
                </c:pt>
                <c:pt idx="796">
                  <c:v>1.1383492401853587E-3</c:v>
                </c:pt>
                <c:pt idx="797">
                  <c:v>1.7084183466776835E-3</c:v>
                </c:pt>
                <c:pt idx="798">
                  <c:v>5.409035409035764E-4</c:v>
                </c:pt>
                <c:pt idx="799">
                  <c:v>5.2716505827800244E-4</c:v>
                </c:pt>
                <c:pt idx="800">
                  <c:v>1.4388725264251074E-3</c:v>
                </c:pt>
                <c:pt idx="801">
                  <c:v>-7.1604828160301841E-4</c:v>
                </c:pt>
                <c:pt idx="802">
                  <c:v>-2.6401956018186705E-3</c:v>
                </c:pt>
                <c:pt idx="803">
                  <c:v>9.7913975578607112E-5</c:v>
                </c:pt>
                <c:pt idx="804">
                  <c:v>1.5016937206479043E-4</c:v>
                </c:pt>
                <c:pt idx="805">
                  <c:v>-1.1398897927793646E-3</c:v>
                </c:pt>
                <c:pt idx="806">
                  <c:v>1.4299298619402719E-3</c:v>
                </c:pt>
                <c:pt idx="807">
                  <c:v>6.3075863256690904E-4</c:v>
                </c:pt>
                <c:pt idx="808">
                  <c:v>-1.6596289993915843E-4</c:v>
                </c:pt>
                <c:pt idx="809">
                  <c:v>4.3304009922699107E-5</c:v>
                </c:pt>
                <c:pt idx="810">
                  <c:v>2.0809557638396528E-3</c:v>
                </c:pt>
                <c:pt idx="811">
                  <c:v>1.7158628219611362E-3</c:v>
                </c:pt>
                <c:pt idx="812">
                  <c:v>1.3443144813889644E-3</c:v>
                </c:pt>
                <c:pt idx="813">
                  <c:v>1.4105314372912586E-3</c:v>
                </c:pt>
                <c:pt idx="814">
                  <c:v>1.2099484001132233E-3</c:v>
                </c:pt>
                <c:pt idx="815">
                  <c:v>7.9535788942547761E-4</c:v>
                </c:pt>
                <c:pt idx="816">
                  <c:v>-5.0425514104746553E-3</c:v>
                </c:pt>
                <c:pt idx="817">
                  <c:v>1.446543155396988E-3</c:v>
                </c:pt>
                <c:pt idx="818">
                  <c:v>-4.5781153767194419E-3</c:v>
                </c:pt>
                <c:pt idx="819">
                  <c:v>3.8108982831664968E-4</c:v>
                </c:pt>
                <c:pt idx="820">
                  <c:v>4.5268458375543859E-3</c:v>
                </c:pt>
                <c:pt idx="821">
                  <c:v>1.4271555531238036E-2</c:v>
                </c:pt>
                <c:pt idx="822">
                  <c:v>4.6681734127799641E-3</c:v>
                </c:pt>
                <c:pt idx="823">
                  <c:v>2.7145683410710348E-4</c:v>
                </c:pt>
                <c:pt idx="824">
                  <c:v>1.409044595971462E-3</c:v>
                </c:pt>
                <c:pt idx="825">
                  <c:v>1.5869724920414517E-3</c:v>
                </c:pt>
                <c:pt idx="826">
                  <c:v>1.5782840218042079E-3</c:v>
                </c:pt>
                <c:pt idx="827">
                  <c:v>1.8036204059243279E-3</c:v>
                </c:pt>
                <c:pt idx="828">
                  <c:v>3.4384841041909019E-3</c:v>
                </c:pt>
                <c:pt idx="829">
                  <c:v>2.0115190341259488E-3</c:v>
                </c:pt>
                <c:pt idx="830">
                  <c:v>8.6693653988600993E-4</c:v>
                </c:pt>
                <c:pt idx="831">
                  <c:v>1.3716927432348472E-3</c:v>
                </c:pt>
                <c:pt idx="832">
                  <c:v>1.5024285447412984E-3</c:v>
                </c:pt>
                <c:pt idx="833">
                  <c:v>1.7452423990877075E-3</c:v>
                </c:pt>
                <c:pt idx="834">
                  <c:v>1.0258422469335475E-3</c:v>
                </c:pt>
                <c:pt idx="835">
                  <c:v>2.4587668304687778E-3</c:v>
                </c:pt>
                <c:pt idx="836">
                  <c:v>1.6506109115703956E-3</c:v>
                </c:pt>
                <c:pt idx="837">
                  <c:v>1.161405598570555E-3</c:v>
                </c:pt>
                <c:pt idx="838">
                  <c:v>6.106782106781915E-4</c:v>
                </c:pt>
                <c:pt idx="839">
                  <c:v>3.9509204561066031E-3</c:v>
                </c:pt>
                <c:pt idx="840">
                  <c:v>1.8993732000678065E-3</c:v>
                </c:pt>
                <c:pt idx="841">
                  <c:v>8.6572789364463382E-4</c:v>
                </c:pt>
                <c:pt idx="842">
                  <c:v>7.9371291701233761E-4</c:v>
                </c:pt>
                <c:pt idx="843">
                  <c:v>-5.437245129139574E-5</c:v>
                </c:pt>
                <c:pt idx="844">
                  <c:v>1.0892069350610586E-3</c:v>
                </c:pt>
                <c:pt idx="845">
                  <c:v>9.1748862368686436E-4</c:v>
                </c:pt>
                <c:pt idx="846">
                  <c:v>2.1118063223332095E-4</c:v>
                </c:pt>
                <c:pt idx="847">
                  <c:v>8.706617600405973E-4</c:v>
                </c:pt>
                <c:pt idx="848">
                  <c:v>1.8801379162791893E-3</c:v>
                </c:pt>
                <c:pt idx="849">
                  <c:v>1.4909315237507281E-3</c:v>
                </c:pt>
                <c:pt idx="850">
                  <c:v>9.3377612815003874E-4</c:v>
                </c:pt>
                <c:pt idx="851">
                  <c:v>1.6230437236214266E-4</c:v>
                </c:pt>
                <c:pt idx="852">
                  <c:v>9.3050848835035877E-4</c:v>
                </c:pt>
                <c:pt idx="853">
                  <c:v>-7.8365929170126733E-4</c:v>
                </c:pt>
                <c:pt idx="854">
                  <c:v>-3.2213550850189411E-4</c:v>
                </c:pt>
                <c:pt idx="855">
                  <c:v>1.8368336628489084E-4</c:v>
                </c:pt>
                <c:pt idx="856">
                  <c:v>-6.2485985499559233E-5</c:v>
                </c:pt>
                <c:pt idx="857">
                  <c:v>-8.0756545431305167E-5</c:v>
                </c:pt>
                <c:pt idx="858">
                  <c:v>-1.7693093412436408E-2</c:v>
                </c:pt>
                <c:pt idx="859">
                  <c:v>-7.8733605477071065E-3</c:v>
                </c:pt>
                <c:pt idx="860">
                  <c:v>-1.8545123431808648E-3</c:v>
                </c:pt>
                <c:pt idx="861">
                  <c:v>-5.977217740452765E-4</c:v>
                </c:pt>
                <c:pt idx="862">
                  <c:v>-2.503608871261465E-4</c:v>
                </c:pt>
                <c:pt idx="863">
                  <c:v>-4.9275153263618455E-4</c:v>
                </c:pt>
                <c:pt idx="864">
                  <c:v>-8.6142212749798931E-4</c:v>
                </c:pt>
                <c:pt idx="865">
                  <c:v>-1.0615225092889542E-3</c:v>
                </c:pt>
                <c:pt idx="866">
                  <c:v>-8.8249702056731065E-4</c:v>
                </c:pt>
                <c:pt idx="867">
                  <c:v>6.1978581149035828E-4</c:v>
                </c:pt>
                <c:pt idx="868">
                  <c:v>1.5034734917731388E-4</c:v>
                </c:pt>
                <c:pt idx="869">
                  <c:v>2.6296296296296294E-4</c:v>
                </c:pt>
                <c:pt idx="870">
                  <c:v>-5.3650364925805782E-4</c:v>
                </c:pt>
                <c:pt idx="871">
                  <c:v>4.8982784447711104E-4</c:v>
                </c:pt>
                <c:pt idx="872">
                  <c:v>6.9145343220847633E-5</c:v>
                </c:pt>
                <c:pt idx="873">
                  <c:v>-1.8983531078448734E-3</c:v>
                </c:pt>
                <c:pt idx="874">
                  <c:v>-2.3010317393381842E-3</c:v>
                </c:pt>
                <c:pt idx="875">
                  <c:v>6.3825581067017913E-5</c:v>
                </c:pt>
                <c:pt idx="876">
                  <c:v>1.2108845499380089E-3</c:v>
                </c:pt>
                <c:pt idx="877">
                  <c:v>7.0276896452258332E-4</c:v>
                </c:pt>
                <c:pt idx="878">
                  <c:v>-1.2198359679481939E-5</c:v>
                </c:pt>
                <c:pt idx="879">
                  <c:v>5.9745284307864536E-4</c:v>
                </c:pt>
                <c:pt idx="880">
                  <c:v>4.8824311180744478E-4</c:v>
                </c:pt>
                <c:pt idx="881">
                  <c:v>6.3397409599724654E-4</c:v>
                </c:pt>
                <c:pt idx="882">
                  <c:v>2.2480829139699798E-4</c:v>
                </c:pt>
                <c:pt idx="883">
                  <c:v>1.6468057060174139E-3</c:v>
                </c:pt>
                <c:pt idx="884">
                  <c:v>1.2411958526041436E-3</c:v>
                </c:pt>
                <c:pt idx="885">
                  <c:v>5.0141868460111808E-5</c:v>
                </c:pt>
                <c:pt idx="886">
                  <c:v>9.7144920123953403E-4</c:v>
                </c:pt>
                <c:pt idx="887">
                  <c:v>1.3966025680407983E-3</c:v>
                </c:pt>
                <c:pt idx="888">
                  <c:v>1.0495523582980879E-3</c:v>
                </c:pt>
                <c:pt idx="889">
                  <c:v>5.3347312590569039E-5</c:v>
                </c:pt>
                <c:pt idx="890">
                  <c:v>6.3769065219424566E-4</c:v>
                </c:pt>
                <c:pt idx="891">
                  <c:v>-3.968531876653221E-5</c:v>
                </c:pt>
                <c:pt idx="892">
                  <c:v>2.3501092705787392E-4</c:v>
                </c:pt>
                <c:pt idx="893">
                  <c:v>1.5981007404456294E-3</c:v>
                </c:pt>
                <c:pt idx="894">
                  <c:v>1.2735646697910566E-3</c:v>
                </c:pt>
                <c:pt idx="895">
                  <c:v>6.8009537120777082E-4</c:v>
                </c:pt>
                <c:pt idx="896">
                  <c:v>8.4879259577712231E-4</c:v>
                </c:pt>
                <c:pt idx="897">
                  <c:v>1.5504235812927403E-3</c:v>
                </c:pt>
                <c:pt idx="898">
                  <c:v>1.3779175252653501E-3</c:v>
                </c:pt>
                <c:pt idx="899">
                  <c:v>5.6006953027202318E-4</c:v>
                </c:pt>
                <c:pt idx="900">
                  <c:v>6.9977247052464158E-4</c:v>
                </c:pt>
                <c:pt idx="901">
                  <c:v>9.2539021265277321E-4</c:v>
                </c:pt>
                <c:pt idx="902">
                  <c:v>1.3702434805747642E-3</c:v>
                </c:pt>
                <c:pt idx="903">
                  <c:v>1.4996974294659848E-3</c:v>
                </c:pt>
                <c:pt idx="904">
                  <c:v>2.3616386087018377E-3</c:v>
                </c:pt>
                <c:pt idx="905">
                  <c:v>1.7501181119272023E-3</c:v>
                </c:pt>
                <c:pt idx="906">
                  <c:v>9.2430806688383721E-4</c:v>
                </c:pt>
                <c:pt idx="907">
                  <c:v>9.3300064363119925E-4</c:v>
                </c:pt>
                <c:pt idx="908">
                  <c:v>1.1243353184008549E-3</c:v>
                </c:pt>
                <c:pt idx="909">
                  <c:v>1.8720167710526592E-3</c:v>
                </c:pt>
                <c:pt idx="910">
                  <c:v>1.2314295434917562E-3</c:v>
                </c:pt>
                <c:pt idx="911">
                  <c:v>1.2128017967433524E-3</c:v>
                </c:pt>
                <c:pt idx="912">
                  <c:v>-4.8543017287952265E-3</c:v>
                </c:pt>
                <c:pt idx="913">
                  <c:v>-3.195682044446351E-4</c:v>
                </c:pt>
                <c:pt idx="914">
                  <c:v>3.436054637129466E-4</c:v>
                </c:pt>
                <c:pt idx="915">
                  <c:v>1.1392336958610443E-3</c:v>
                </c:pt>
                <c:pt idx="916">
                  <c:v>1.2627192708659014E-3</c:v>
                </c:pt>
                <c:pt idx="917">
                  <c:v>9.473634842965677E-4</c:v>
                </c:pt>
                <c:pt idx="918">
                  <c:v>-2.7478419990861004E-4</c:v>
                </c:pt>
                <c:pt idx="919">
                  <c:v>-7.3238849210188577E-4</c:v>
                </c:pt>
                <c:pt idx="920">
                  <c:v>-7.9245393690107486E-3</c:v>
                </c:pt>
                <c:pt idx="921">
                  <c:v>9.3611413425732275E-4</c:v>
                </c:pt>
                <c:pt idx="922">
                  <c:v>-8.9683718955626917E-4</c:v>
                </c:pt>
                <c:pt idx="923">
                  <c:v>6.4554628149126431E-4</c:v>
                </c:pt>
                <c:pt idx="924">
                  <c:v>5.880833345996184E-4</c:v>
                </c:pt>
                <c:pt idx="925">
                  <c:v>-1.5623504465436984E-4</c:v>
                </c:pt>
                <c:pt idx="926">
                  <c:v>-8.8417238636696665E-4</c:v>
                </c:pt>
                <c:pt idx="927">
                  <c:v>-2.4944522970784053E-4</c:v>
                </c:pt>
                <c:pt idx="928">
                  <c:v>6.3099089384143089E-4</c:v>
                </c:pt>
                <c:pt idx="929">
                  <c:v>8.7196918196240142E-4</c:v>
                </c:pt>
                <c:pt idx="930">
                  <c:v>9.4923386472684954E-4</c:v>
                </c:pt>
                <c:pt idx="931">
                  <c:v>1.1009792437087731E-4</c:v>
                </c:pt>
                <c:pt idx="932">
                  <c:v>6.6289233375963858E-3</c:v>
                </c:pt>
                <c:pt idx="933">
                  <c:v>5.2445858192965537E-3</c:v>
                </c:pt>
                <c:pt idx="934">
                  <c:v>3.0883314407625338E-3</c:v>
                </c:pt>
                <c:pt idx="935">
                  <c:v>4.7984819031750871E-3</c:v>
                </c:pt>
                <c:pt idx="936">
                  <c:v>2.5547256356026633E-3</c:v>
                </c:pt>
                <c:pt idx="937">
                  <c:v>2.6392403341229123E-4</c:v>
                </c:pt>
                <c:pt idx="938">
                  <c:v>1.4796017641717472E-3</c:v>
                </c:pt>
                <c:pt idx="939">
                  <c:v>1.4431752814528338E-3</c:v>
                </c:pt>
                <c:pt idx="940">
                  <c:v>2.3524775884149153E-3</c:v>
                </c:pt>
                <c:pt idx="941">
                  <c:v>1.1918713589752522E-3</c:v>
                </c:pt>
                <c:pt idx="942">
                  <c:v>1.172713638125352E-3</c:v>
                </c:pt>
                <c:pt idx="943">
                  <c:v>1.2982939773355914E-3</c:v>
                </c:pt>
                <c:pt idx="944">
                  <c:v>1.3428892827924883E-3</c:v>
                </c:pt>
                <c:pt idx="945">
                  <c:v>1.3010137543688763E-3</c:v>
                </c:pt>
                <c:pt idx="946">
                  <c:v>5.8303046771512087E-4</c:v>
                </c:pt>
                <c:pt idx="947">
                  <c:v>2.363047955280926E-3</c:v>
                </c:pt>
                <c:pt idx="948">
                  <c:v>1.7194136183039021E-3</c:v>
                </c:pt>
                <c:pt idx="949">
                  <c:v>1.1848935328907777E-3</c:v>
                </c:pt>
                <c:pt idx="950">
                  <c:v>1.2007593735167894E-3</c:v>
                </c:pt>
                <c:pt idx="951">
                  <c:v>-1.9413823558278465E-4</c:v>
                </c:pt>
                <c:pt idx="952">
                  <c:v>7.5890454067393284E-4</c:v>
                </c:pt>
                <c:pt idx="953">
                  <c:v>-4.8233769882773917E-4</c:v>
                </c:pt>
                <c:pt idx="954">
                  <c:v>-1.2935493923340105E-3</c:v>
                </c:pt>
                <c:pt idx="955">
                  <c:v>-2.2144547549355922E-3</c:v>
                </c:pt>
                <c:pt idx="956">
                  <c:v>1.2448264883794507E-3</c:v>
                </c:pt>
                <c:pt idx="957">
                  <c:v>2.1812057931963084E-3</c:v>
                </c:pt>
                <c:pt idx="958">
                  <c:v>1.3390050248701759E-3</c:v>
                </c:pt>
                <c:pt idx="959">
                  <c:v>1.7960710944807839E-3</c:v>
                </c:pt>
                <c:pt idx="960">
                  <c:v>1.1466186088619614E-3</c:v>
                </c:pt>
                <c:pt idx="961">
                  <c:v>-1.328154154086533E-4</c:v>
                </c:pt>
                <c:pt idx="962">
                  <c:v>2.1179531050857705E-3</c:v>
                </c:pt>
                <c:pt idx="963">
                  <c:v>8.7649267616115331E-4</c:v>
                </c:pt>
                <c:pt idx="964">
                  <c:v>1.4397869303345598E-3</c:v>
                </c:pt>
                <c:pt idx="965">
                  <c:v>1.3833633939436033E-3</c:v>
                </c:pt>
                <c:pt idx="966">
                  <c:v>7.3227848664825202E-4</c:v>
                </c:pt>
                <c:pt idx="967">
                  <c:v>5.0671215604835501E-3</c:v>
                </c:pt>
                <c:pt idx="968">
                  <c:v>3.2304551459108656E-3</c:v>
                </c:pt>
                <c:pt idx="969">
                  <c:v>2.1710004648237504E-3</c:v>
                </c:pt>
                <c:pt idx="970">
                  <c:v>1.1003832224004975E-3</c:v>
                </c:pt>
                <c:pt idx="971">
                  <c:v>5.2228382048009414E-4</c:v>
                </c:pt>
                <c:pt idx="972">
                  <c:v>5.7916910167727178E-4</c:v>
                </c:pt>
                <c:pt idx="973">
                  <c:v>1.0513546300040186E-3</c:v>
                </c:pt>
                <c:pt idx="974">
                  <c:v>-7.3656122727162963E-4</c:v>
                </c:pt>
                <c:pt idx="975">
                  <c:v>-7.02426990265359E-4</c:v>
                </c:pt>
                <c:pt idx="976">
                  <c:v>9.5620765202968777E-4</c:v>
                </c:pt>
                <c:pt idx="977">
                  <c:v>-3.8274140464543226E-4</c:v>
                </c:pt>
                <c:pt idx="978">
                  <c:v>2.8490170227938428E-4</c:v>
                </c:pt>
                <c:pt idx="979">
                  <c:v>3.7393015328053683E-4</c:v>
                </c:pt>
                <c:pt idx="980">
                  <c:v>-6.7922070701859343E-4</c:v>
                </c:pt>
                <c:pt idx="981">
                  <c:v>2.4203499224859857E-4</c:v>
                </c:pt>
                <c:pt idx="982">
                  <c:v>7.5375178609487364E-4</c:v>
                </c:pt>
                <c:pt idx="983">
                  <c:v>5.0948799446136166E-4</c:v>
                </c:pt>
                <c:pt idx="984">
                  <c:v>6.7624456010927439E-4</c:v>
                </c:pt>
                <c:pt idx="985">
                  <c:v>3.3741352611142261E-4</c:v>
                </c:pt>
                <c:pt idx="986">
                  <c:v>8.4751402224542832E-4</c:v>
                </c:pt>
                <c:pt idx="987">
                  <c:v>3.2010557652764604E-4</c:v>
                </c:pt>
                <c:pt idx="988">
                  <c:v>6.8886861313873036E-4</c:v>
                </c:pt>
                <c:pt idx="989">
                  <c:v>6.1157853172560332E-4</c:v>
                </c:pt>
                <c:pt idx="990">
                  <c:v>6.5007927796071805E-4</c:v>
                </c:pt>
                <c:pt idx="991">
                  <c:v>1.3629575784391962E-3</c:v>
                </c:pt>
                <c:pt idx="992">
                  <c:v>1.7199558985666508E-3</c:v>
                </c:pt>
                <c:pt idx="993">
                  <c:v>1.0242618731387283E-3</c:v>
                </c:pt>
                <c:pt idx="994">
                  <c:v>1.3309838279371513E-3</c:v>
                </c:pt>
                <c:pt idx="995">
                  <c:v>6.5593580819797508E-4</c:v>
                </c:pt>
                <c:pt idx="996">
                  <c:v>7.5130389920272382E-4</c:v>
                </c:pt>
                <c:pt idx="997">
                  <c:v>2.2611825029056337E-4</c:v>
                </c:pt>
                <c:pt idx="998">
                  <c:v>1.3190931536154354E-3</c:v>
                </c:pt>
                <c:pt idx="999">
                  <c:v>1.3145880136241335E-3</c:v>
                </c:pt>
                <c:pt idx="1000">
                  <c:v>1.1340819022457116E-3</c:v>
                </c:pt>
                <c:pt idx="1001">
                  <c:v>9.9214976847623914E-4</c:v>
                </c:pt>
                <c:pt idx="1002">
                  <c:v>-7.3912278175159341E-4</c:v>
                </c:pt>
                <c:pt idx="1003">
                  <c:v>-1.6271760728959173E-3</c:v>
                </c:pt>
                <c:pt idx="1004">
                  <c:v>-3.0593291154351059E-3</c:v>
                </c:pt>
                <c:pt idx="1005">
                  <c:v>-1.2283197626903697E-3</c:v>
                </c:pt>
                <c:pt idx="1006">
                  <c:v>-1.100426394728176E-3</c:v>
                </c:pt>
                <c:pt idx="1007">
                  <c:v>-8.7439052361322771E-4</c:v>
                </c:pt>
                <c:pt idx="1008">
                  <c:v>-1.2621035058431149E-3</c:v>
                </c:pt>
                <c:pt idx="1009">
                  <c:v>-1.8929704287317959E-4</c:v>
                </c:pt>
                <c:pt idx="1010">
                  <c:v>-1.3648862107296406E-3</c:v>
                </c:pt>
                <c:pt idx="1011">
                  <c:v>-3.7402943562405418E-3</c:v>
                </c:pt>
                <c:pt idx="1012">
                  <c:v>-6.3786665082898018E-4</c:v>
                </c:pt>
                <c:pt idx="1013">
                  <c:v>-1.6499373112840196E-4</c:v>
                </c:pt>
                <c:pt idx="1014">
                  <c:v>4.2539139310422398E-4</c:v>
                </c:pt>
                <c:pt idx="1015">
                  <c:v>-1.3157122741142284E-4</c:v>
                </c:pt>
                <c:pt idx="1016">
                  <c:v>3.4802393950543434E-3</c:v>
                </c:pt>
                <c:pt idx="1017">
                  <c:v>2.0334835417350388E-3</c:v>
                </c:pt>
                <c:pt idx="1018">
                  <c:v>2.8077197577829234E-4</c:v>
                </c:pt>
                <c:pt idx="1019">
                  <c:v>-2.4830021948794843E-3</c:v>
                </c:pt>
                <c:pt idx="1020">
                  <c:v>-1.6119210122962212E-3</c:v>
                </c:pt>
                <c:pt idx="1021">
                  <c:v>5.6524893756645925E-5</c:v>
                </c:pt>
                <c:pt idx="1022">
                  <c:v>1.0777215352085934E-3</c:v>
                </c:pt>
                <c:pt idx="1023">
                  <c:v>1.2430102264794655E-3</c:v>
                </c:pt>
                <c:pt idx="1024">
                  <c:v>3.4163962794722547E-3</c:v>
                </c:pt>
                <c:pt idx="1025">
                  <c:v>2.4420473804033275E-3</c:v>
                </c:pt>
                <c:pt idx="1026">
                  <c:v>1.3918289975439169E-3</c:v>
                </c:pt>
                <c:pt idx="1027">
                  <c:v>1.7615668628129604E-3</c:v>
                </c:pt>
                <c:pt idx="1028">
                  <c:v>-6.1115921815404718E-3</c:v>
                </c:pt>
                <c:pt idx="1029">
                  <c:v>-1.6539094921282338E-3</c:v>
                </c:pt>
                <c:pt idx="1030">
                  <c:v>-6.8345911333271797E-4</c:v>
                </c:pt>
                <c:pt idx="1031">
                  <c:v>-8.8515654543800976E-4</c:v>
                </c:pt>
                <c:pt idx="1032">
                  <c:v>-3.9627940500304385E-3</c:v>
                </c:pt>
                <c:pt idx="1033">
                  <c:v>-1.2897217298331471E-2</c:v>
                </c:pt>
                <c:pt idx="1034">
                  <c:v>-9.5778134883905876E-3</c:v>
                </c:pt>
                <c:pt idx="1035">
                  <c:v>-4.1129878594391147E-3</c:v>
                </c:pt>
                <c:pt idx="1036">
                  <c:v>-2.6308709465063023E-4</c:v>
                </c:pt>
                <c:pt idx="1037">
                  <c:v>-4.121840783732551E-3</c:v>
                </c:pt>
                <c:pt idx="1038">
                  <c:v>-6.0523007014602727E-3</c:v>
                </c:pt>
                <c:pt idx="1039">
                  <c:v>-4.9166105917617482E-3</c:v>
                </c:pt>
                <c:pt idx="1040">
                  <c:v>-9.2820716603744737E-4</c:v>
                </c:pt>
                <c:pt idx="1041">
                  <c:v>-2.560512102419729E-4</c:v>
                </c:pt>
                <c:pt idx="1042">
                  <c:v>-2.0243442518750425E-3</c:v>
                </c:pt>
                <c:pt idx="1043">
                  <c:v>-7.448854783619379E-3</c:v>
                </c:pt>
                <c:pt idx="1044">
                  <c:v>-6.7503168439815029E-3</c:v>
                </c:pt>
                <c:pt idx="1045">
                  <c:v>-7.2296706723029057E-3</c:v>
                </c:pt>
                <c:pt idx="1046">
                  <c:v>-1.8484190348005958E-3</c:v>
                </c:pt>
                <c:pt idx="1047">
                  <c:v>-2.0353520967802676E-3</c:v>
                </c:pt>
                <c:pt idx="1048">
                  <c:v>-4.1380285366281221E-4</c:v>
                </c:pt>
                <c:pt idx="1049">
                  <c:v>-1.0867039979163711E-3</c:v>
                </c:pt>
                <c:pt idx="1050">
                  <c:v>-4.3517091896694949E-4</c:v>
                </c:pt>
                <c:pt idx="1051">
                  <c:v>-2.0350916749511338E-3</c:v>
                </c:pt>
                <c:pt idx="1052">
                  <c:v>-2.9434216318391777E-3</c:v>
                </c:pt>
                <c:pt idx="1053">
                  <c:v>-3.3109909243594611E-3</c:v>
                </c:pt>
                <c:pt idx="1054">
                  <c:v>-1.20742404736715E-3</c:v>
                </c:pt>
                <c:pt idx="1055">
                  <c:v>-2.6255429517827327E-3</c:v>
                </c:pt>
                <c:pt idx="1056">
                  <c:v>-2.4328590799619341E-3</c:v>
                </c:pt>
                <c:pt idx="1057">
                  <c:v>-1.5281796743861543E-4</c:v>
                </c:pt>
                <c:pt idx="1058">
                  <c:v>-2.4888937805170896E-3</c:v>
                </c:pt>
                <c:pt idx="1059">
                  <c:v>-2.9163167366526928E-3</c:v>
                </c:pt>
                <c:pt idx="1060">
                  <c:v>-2.412230471526753E-3</c:v>
                </c:pt>
                <c:pt idx="1061">
                  <c:v>3.838927277020793E-4</c:v>
                </c:pt>
                <c:pt idx="1062">
                  <c:v>2.4839664018537389E-3</c:v>
                </c:pt>
                <c:pt idx="1063">
                  <c:v>-3.0326803843587977E-3</c:v>
                </c:pt>
                <c:pt idx="1064">
                  <c:v>-1.3124781370247062E-3</c:v>
                </c:pt>
                <c:pt idx="1065">
                  <c:v>-6.7669988074473941E-4</c:v>
                </c:pt>
                <c:pt idx="1066">
                  <c:v>-1.7198120973426177E-3</c:v>
                </c:pt>
                <c:pt idx="1067">
                  <c:v>-3.3722042589013602E-3</c:v>
                </c:pt>
                <c:pt idx="1068">
                  <c:v>-3.7727103578545349E-3</c:v>
                </c:pt>
                <c:pt idx="1069">
                  <c:v>-2.7511961722494069E-4</c:v>
                </c:pt>
                <c:pt idx="1070">
                  <c:v>3.9738008706420894E-4</c:v>
                </c:pt>
                <c:pt idx="1071">
                  <c:v>3.4402119771179858E-3</c:v>
                </c:pt>
                <c:pt idx="1072">
                  <c:v>3.992162399983611E-3</c:v>
                </c:pt>
                <c:pt idx="1073">
                  <c:v>3.2738946566926957E-3</c:v>
                </c:pt>
                <c:pt idx="1074">
                  <c:v>2.4111946067320641E-3</c:v>
                </c:pt>
                <c:pt idx="1075">
                  <c:v>6.8719528925091644E-4</c:v>
                </c:pt>
                <c:pt idx="1076">
                  <c:v>7.8298347023634932E-4</c:v>
                </c:pt>
                <c:pt idx="1077">
                  <c:v>4.9506843800324401E-4</c:v>
                </c:pt>
                <c:pt idx="1078">
                  <c:v>5.0353657070269795E-4</c:v>
                </c:pt>
                <c:pt idx="1079">
                  <c:v>8.7043792713434548E-4</c:v>
                </c:pt>
                <c:pt idx="1080">
                  <c:v>-5.6479714920920968E-4</c:v>
                </c:pt>
                <c:pt idx="1081">
                  <c:v>-7.5095539699083353E-4</c:v>
                </c:pt>
                <c:pt idx="1082">
                  <c:v>1.4220772910343538E-4</c:v>
                </c:pt>
                <c:pt idx="1083">
                  <c:v>1.2380651483587252E-4</c:v>
                </c:pt>
                <c:pt idx="1084">
                  <c:v>-3.8363360977832677E-4</c:v>
                </c:pt>
                <c:pt idx="1085">
                  <c:v>-1.0140269602405977E-3</c:v>
                </c:pt>
                <c:pt idx="1086">
                  <c:v>-2.7022675979561195E-3</c:v>
                </c:pt>
                <c:pt idx="1087">
                  <c:v>-1.2386586967811516E-3</c:v>
                </c:pt>
                <c:pt idx="1088">
                  <c:v>-2.2861443179444965E-4</c:v>
                </c:pt>
                <c:pt idx="1089">
                  <c:v>-2.6531580208404102E-4</c:v>
                </c:pt>
                <c:pt idx="1090">
                  <c:v>1.0603973523600633E-3</c:v>
                </c:pt>
                <c:pt idx="1091">
                  <c:v>1.0187328983372228E-3</c:v>
                </c:pt>
                <c:pt idx="1092">
                  <c:v>2.1916297773670523E-3</c:v>
                </c:pt>
                <c:pt idx="1093">
                  <c:v>1.4736186145746296E-3</c:v>
                </c:pt>
                <c:pt idx="1094">
                  <c:v>1.0155183904039669E-4</c:v>
                </c:pt>
                <c:pt idx="1095">
                  <c:v>1.1792662531490514E-3</c:v>
                </c:pt>
                <c:pt idx="1096">
                  <c:v>1.0986161458476074E-4</c:v>
                </c:pt>
                <c:pt idx="1097">
                  <c:v>8.9832555102377452E-4</c:v>
                </c:pt>
                <c:pt idx="1098">
                  <c:v>-4.3264733395696909E-3</c:v>
                </c:pt>
                <c:pt idx="1099">
                  <c:v>-1.504567329338009E-3</c:v>
                </c:pt>
                <c:pt idx="1100">
                  <c:v>-3.5255523535061939E-3</c:v>
                </c:pt>
                <c:pt idx="1101">
                  <c:v>-8.4963266087538861E-3</c:v>
                </c:pt>
                <c:pt idx="1102">
                  <c:v>1.4283739757132295E-3</c:v>
                </c:pt>
                <c:pt idx="1103">
                  <c:v>2.2004531064213481E-3</c:v>
                </c:pt>
                <c:pt idx="1104">
                  <c:v>-9.3058963719338161E-4</c:v>
                </c:pt>
                <c:pt idx="1105">
                  <c:v>6.481521681451542E-4</c:v>
                </c:pt>
                <c:pt idx="1106">
                  <c:v>1.1888603305705567E-3</c:v>
                </c:pt>
                <c:pt idx="1107">
                  <c:v>5.7176930782801142E-4</c:v>
                </c:pt>
                <c:pt idx="1108">
                  <c:v>1.5694328358209233E-3</c:v>
                </c:pt>
                <c:pt idx="1109">
                  <c:v>1.4626460890093556E-3</c:v>
                </c:pt>
                <c:pt idx="1110">
                  <c:v>4.1795111814665946E-4</c:v>
                </c:pt>
                <c:pt idx="1111">
                  <c:v>1.0208424888528517E-3</c:v>
                </c:pt>
                <c:pt idx="1112">
                  <c:v>-4.8710643159832111E-4</c:v>
                </c:pt>
                <c:pt idx="1113">
                  <c:v>-1.345922402429972E-3</c:v>
                </c:pt>
                <c:pt idx="1114">
                  <c:v>2.4907680584592565E-3</c:v>
                </c:pt>
                <c:pt idx="1115">
                  <c:v>4.5793170644408861E-3</c:v>
                </c:pt>
                <c:pt idx="1116">
                  <c:v>2.5310854825162888E-3</c:v>
                </c:pt>
                <c:pt idx="1117">
                  <c:v>2.0193341553638115E-3</c:v>
                </c:pt>
                <c:pt idx="1118">
                  <c:v>2.5506857864929333E-3</c:v>
                </c:pt>
                <c:pt idx="1119">
                  <c:v>1.0038158255800348E-3</c:v>
                </c:pt>
                <c:pt idx="1120">
                  <c:v>1.1984335826615939E-3</c:v>
                </c:pt>
                <c:pt idx="1121">
                  <c:v>1.7463057123458031E-3</c:v>
                </c:pt>
                <c:pt idx="1122">
                  <c:v>2.2362438237841058E-3</c:v>
                </c:pt>
                <c:pt idx="1123">
                  <c:v>7.5601196431439245E-4</c:v>
                </c:pt>
                <c:pt idx="1124">
                  <c:v>5.181793918987859E-4</c:v>
                </c:pt>
                <c:pt idx="1125">
                  <c:v>6.9630434328455401E-4</c:v>
                </c:pt>
                <c:pt idx="1126">
                  <c:v>4.5606700975602503E-4</c:v>
                </c:pt>
                <c:pt idx="1127">
                  <c:v>8.0385985256356562E-4</c:v>
                </c:pt>
                <c:pt idx="1128">
                  <c:v>1.0061712245495414E-3</c:v>
                </c:pt>
                <c:pt idx="1129">
                  <c:v>1.5475452183138776E-3</c:v>
                </c:pt>
                <c:pt idx="1130">
                  <c:v>1.5233297598851007E-3</c:v>
                </c:pt>
                <c:pt idx="1131">
                  <c:v>8.2186344743993649E-5</c:v>
                </c:pt>
                <c:pt idx="1132">
                  <c:v>6.0035050090245779E-4</c:v>
                </c:pt>
                <c:pt idx="1133">
                  <c:v>-2.3085601904564625E-3</c:v>
                </c:pt>
                <c:pt idx="1134">
                  <c:v>-4.9796541200403956E-4</c:v>
                </c:pt>
                <c:pt idx="1135">
                  <c:v>-3.9252773519711162E-4</c:v>
                </c:pt>
                <c:pt idx="1136">
                  <c:v>-1.0568385957828649E-3</c:v>
                </c:pt>
                <c:pt idx="1137">
                  <c:v>-2.3741817596643774E-3</c:v>
                </c:pt>
                <c:pt idx="1138">
                  <c:v>8.1476828968564418E-4</c:v>
                </c:pt>
                <c:pt idx="1139">
                  <c:v>3.6502115655859881E-4</c:v>
                </c:pt>
                <c:pt idx="1140">
                  <c:v>-2.5977112571449633E-4</c:v>
                </c:pt>
                <c:pt idx="1141">
                  <c:v>-1.3653328294039864E-4</c:v>
                </c:pt>
                <c:pt idx="1142">
                  <c:v>1.0986116055535986E-3</c:v>
                </c:pt>
                <c:pt idx="1143">
                  <c:v>2.3683690203422309E-3</c:v>
                </c:pt>
                <c:pt idx="1144">
                  <c:v>9.0814068858671259E-4</c:v>
                </c:pt>
                <c:pt idx="1145">
                  <c:v>1.3542217086582693E-3</c:v>
                </c:pt>
                <c:pt idx="1146">
                  <c:v>1.2722821381678574E-3</c:v>
                </c:pt>
                <c:pt idx="1147">
                  <c:v>1.011513294127353E-3</c:v>
                </c:pt>
                <c:pt idx="1148">
                  <c:v>8.6504227859368046E-4</c:v>
                </c:pt>
                <c:pt idx="1149">
                  <c:v>7.3629465624213916E-4</c:v>
                </c:pt>
                <c:pt idx="1150">
                  <c:v>1.2111857108868672E-3</c:v>
                </c:pt>
                <c:pt idx="1151">
                  <c:v>6.7760267223586888E-4</c:v>
                </c:pt>
                <c:pt idx="1152">
                  <c:v>1.0737750840379156E-3</c:v>
                </c:pt>
                <c:pt idx="1153">
                  <c:v>8.3089490735993078E-4</c:v>
                </c:pt>
                <c:pt idx="1154">
                  <c:v>1.1038359195144904E-3</c:v>
                </c:pt>
                <c:pt idx="1155">
                  <c:v>1.1738502733185012E-3</c:v>
                </c:pt>
                <c:pt idx="1156">
                  <c:v>6.6112906549704398E-4</c:v>
                </c:pt>
                <c:pt idx="1157">
                  <c:v>9.9116173596228195E-4</c:v>
                </c:pt>
                <c:pt idx="1158">
                  <c:v>1.1070030210820305E-3</c:v>
                </c:pt>
                <c:pt idx="1159">
                  <c:v>7.3349079920483008E-4</c:v>
                </c:pt>
                <c:pt idx="1160">
                  <c:v>7.9700361482501849E-4</c:v>
                </c:pt>
                <c:pt idx="1161">
                  <c:v>6.720786176489552E-4</c:v>
                </c:pt>
                <c:pt idx="1162">
                  <c:v>9.1467690369515214E-4</c:v>
                </c:pt>
                <c:pt idx="1163">
                  <c:v>2.7931165801876949E-4</c:v>
                </c:pt>
                <c:pt idx="1164">
                  <c:v>3.3749191475344274E-4</c:v>
                </c:pt>
                <c:pt idx="1165">
                  <c:v>9.165717473674491E-4</c:v>
                </c:pt>
                <c:pt idx="1166">
                  <c:v>4.9782864406569863E-4</c:v>
                </c:pt>
                <c:pt idx="1167">
                  <c:v>1.5457046914591247E-4</c:v>
                </c:pt>
                <c:pt idx="1168">
                  <c:v>7.749948203227715E-4</c:v>
                </c:pt>
                <c:pt idx="1169">
                  <c:v>6.6358256584484062E-4</c:v>
                </c:pt>
                <c:pt idx="1170">
                  <c:v>9.0353696605532008E-4</c:v>
                </c:pt>
                <c:pt idx="1171">
                  <c:v>1.4907697244540313E-3</c:v>
                </c:pt>
                <c:pt idx="1172">
                  <c:v>7.9804320922439347E-4</c:v>
                </c:pt>
                <c:pt idx="1173">
                  <c:v>1.3781801476598626E-4</c:v>
                </c:pt>
                <c:pt idx="1174">
                  <c:v>3.336305464609221E-4</c:v>
                </c:pt>
                <c:pt idx="1175">
                  <c:v>8.0015231756752636E-4</c:v>
                </c:pt>
                <c:pt idx="1176">
                  <c:v>7.557468879418707E-4</c:v>
                </c:pt>
                <c:pt idx="1177">
                  <c:v>8.2318175256518696E-5</c:v>
                </c:pt>
                <c:pt idx="1178">
                  <c:v>-4.5757405474818784E-4</c:v>
                </c:pt>
                <c:pt idx="1179">
                  <c:v>-2.7642014841155744E-4</c:v>
                </c:pt>
                <c:pt idx="1180">
                  <c:v>8.8133407504812386E-4</c:v>
                </c:pt>
                <c:pt idx="1181">
                  <c:v>6.1482801999679793E-4</c:v>
                </c:pt>
                <c:pt idx="1182">
                  <c:v>4.7104165733020785E-4</c:v>
                </c:pt>
                <c:pt idx="1183">
                  <c:v>9.1649899396384121E-4</c:v>
                </c:pt>
                <c:pt idx="1184">
                  <c:v>3.2023900940682389E-4</c:v>
                </c:pt>
                <c:pt idx="1185">
                  <c:v>1.7707795560144349E-3</c:v>
                </c:pt>
                <c:pt idx="1186">
                  <c:v>1.0185049103071727E-3</c:v>
                </c:pt>
                <c:pt idx="1187">
                  <c:v>9.6666587806668199E-4</c:v>
                </c:pt>
                <c:pt idx="1188">
                  <c:v>1.1363717912837416E-3</c:v>
                </c:pt>
                <c:pt idx="1189">
                  <c:v>3.7748651833870698E-4</c:v>
                </c:pt>
                <c:pt idx="1190">
                  <c:v>5.3314270370584838E-4</c:v>
                </c:pt>
                <c:pt idx="1191">
                  <c:v>1.2162386277482734E-3</c:v>
                </c:pt>
                <c:pt idx="1192">
                  <c:v>5.845126493478231E-5</c:v>
                </c:pt>
                <c:pt idx="1193">
                  <c:v>9.779072362316012E-4</c:v>
                </c:pt>
                <c:pt idx="1194">
                  <c:v>4.4998748129340053E-4</c:v>
                </c:pt>
                <c:pt idx="1195">
                  <c:v>-9.5845312214127014E-4</c:v>
                </c:pt>
                <c:pt idx="1196">
                  <c:v>6.9755700273569645E-4</c:v>
                </c:pt>
                <c:pt idx="1197">
                  <c:v>2.7472761321083362E-4</c:v>
                </c:pt>
                <c:pt idx="1198">
                  <c:v>1.0738843411671323E-3</c:v>
                </c:pt>
                <c:pt idx="1199">
                  <c:v>1.3039558365155761E-3</c:v>
                </c:pt>
                <c:pt idx="1200">
                  <c:v>8.6958934043515753E-4</c:v>
                </c:pt>
                <c:pt idx="1201">
                  <c:v>2.6911665301442472E-4</c:v>
                </c:pt>
                <c:pt idx="1202">
                  <c:v>1.1074077257499947E-3</c:v>
                </c:pt>
                <c:pt idx="1203">
                  <c:v>2.281863224183068E-4</c:v>
                </c:pt>
                <c:pt idx="1204">
                  <c:v>-1.6180491779149849E-4</c:v>
                </c:pt>
                <c:pt idx="1205">
                  <c:v>6.1085879438473381E-4</c:v>
                </c:pt>
                <c:pt idx="1206">
                  <c:v>1.3868806556542703E-3</c:v>
                </c:pt>
                <c:pt idx="1207">
                  <c:v>1.5663762825885779E-3</c:v>
                </c:pt>
                <c:pt idx="1208">
                  <c:v>8.5162107931143123E-4</c:v>
                </c:pt>
                <c:pt idx="1209">
                  <c:v>6.1207136148672884E-4</c:v>
                </c:pt>
                <c:pt idx="1210">
                  <c:v>-7.0098684516496069E-6</c:v>
                </c:pt>
                <c:pt idx="1211">
                  <c:v>-1.3295399065398833E-3</c:v>
                </c:pt>
                <c:pt idx="1212">
                  <c:v>-8.1817828553665544E-4</c:v>
                </c:pt>
                <c:pt idx="1213">
                  <c:v>-1.4743513264580651E-3</c:v>
                </c:pt>
                <c:pt idx="1214">
                  <c:v>-3.0006214276315679E-3</c:v>
                </c:pt>
                <c:pt idx="1215">
                  <c:v>-4.4476229396546213E-4</c:v>
                </c:pt>
                <c:pt idx="1216">
                  <c:v>2.2190201729112221E-4</c:v>
                </c:pt>
                <c:pt idx="1217">
                  <c:v>8.3386321512306607E-4</c:v>
                </c:pt>
                <c:pt idx="1218">
                  <c:v>6.3672043674060268E-4</c:v>
                </c:pt>
                <c:pt idx="1219">
                  <c:v>9.3689220906280628E-4</c:v>
                </c:pt>
                <c:pt idx="1220">
                  <c:v>1.1373344983383049E-3</c:v>
                </c:pt>
                <c:pt idx="1221">
                  <c:v>3.5527782970531279E-4</c:v>
                </c:pt>
                <c:pt idx="1222">
                  <c:v>7.1993626669525774E-5</c:v>
                </c:pt>
                <c:pt idx="1223">
                  <c:v>1.8458404939215652E-4</c:v>
                </c:pt>
                <c:pt idx="1224">
                  <c:v>-3.660023658364167E-4</c:v>
                </c:pt>
                <c:pt idx="1225">
                  <c:v>-8.8084743289103035E-4</c:v>
                </c:pt>
                <c:pt idx="1226">
                  <c:v>6.032142221360715E-4</c:v>
                </c:pt>
                <c:pt idx="1227">
                  <c:v>9.3908433940676243E-4</c:v>
                </c:pt>
                <c:pt idx="1228">
                  <c:v>9.8379576535691997E-4</c:v>
                </c:pt>
                <c:pt idx="1229">
                  <c:v>9.9687414623704588E-5</c:v>
                </c:pt>
                <c:pt idx="1230">
                  <c:v>9.4818921560994331E-5</c:v>
                </c:pt>
                <c:pt idx="1231">
                  <c:v>5.8809774782135355E-4</c:v>
                </c:pt>
                <c:pt idx="1232">
                  <c:v>1.2908679291055672E-3</c:v>
                </c:pt>
                <c:pt idx="1233">
                  <c:v>6.939730026521635E-4</c:v>
                </c:pt>
                <c:pt idx="1234">
                  <c:v>1.5951472653183566E-3</c:v>
                </c:pt>
                <c:pt idx="1235">
                  <c:v>1.3206184405703651E-3</c:v>
                </c:pt>
                <c:pt idx="1236">
                  <c:v>4.0260873836662277E-4</c:v>
                </c:pt>
                <c:pt idx="1237">
                  <c:v>2.3640594657731059E-4</c:v>
                </c:pt>
                <c:pt idx="1238">
                  <c:v>5.6679844842025717E-4</c:v>
                </c:pt>
                <c:pt idx="1239">
                  <c:v>1.0522312997681728E-3</c:v>
                </c:pt>
                <c:pt idx="1240">
                  <c:v>5.1665914203903195E-4</c:v>
                </c:pt>
                <c:pt idx="1241">
                  <c:v>-2.0932371391476098E-5</c:v>
                </c:pt>
                <c:pt idx="1242">
                  <c:v>4.8619254775868632E-4</c:v>
                </c:pt>
                <c:pt idx="1243">
                  <c:v>-3.9092261364852081E-5</c:v>
                </c:pt>
                <c:pt idx="1244">
                  <c:v>2.6145451081613347E-4</c:v>
                </c:pt>
                <c:pt idx="1245">
                  <c:v>5.3255047952562799E-4</c:v>
                </c:pt>
                <c:pt idx="1246">
                  <c:v>1.726266089383136E-3</c:v>
                </c:pt>
                <c:pt idx="1247">
                  <c:v>3.6306897462000566E-4</c:v>
                </c:pt>
                <c:pt idx="1248">
                  <c:v>7.6013665761873184E-4</c:v>
                </c:pt>
                <c:pt idx="1249">
                  <c:v>3.2304453846347251E-5</c:v>
                </c:pt>
                <c:pt idx="1250">
                  <c:v>2.09203649545596E-4</c:v>
                </c:pt>
                <c:pt idx="1251">
                  <c:v>-8.9640624327292016E-5</c:v>
                </c:pt>
                <c:pt idx="1252">
                  <c:v>1.5658690143906229E-4</c:v>
                </c:pt>
                <c:pt idx="1253">
                  <c:v>-7.4545060099593256E-5</c:v>
                </c:pt>
                <c:pt idx="1254">
                  <c:v>1.2869954288370596E-3</c:v>
                </c:pt>
                <c:pt idx="1255">
                  <c:v>8.2873063462882038E-4</c:v>
                </c:pt>
                <c:pt idx="1256">
                  <c:v>4.0309039269848434E-4</c:v>
                </c:pt>
                <c:pt idx="1257">
                  <c:v>6.4882623850660739E-4</c:v>
                </c:pt>
                <c:pt idx="1258">
                  <c:v>5.4392911010555322E-4</c:v>
                </c:pt>
                <c:pt idx="1259">
                  <c:v>4.9951511075126945E-4</c:v>
                </c:pt>
                <c:pt idx="1260">
                  <c:v>1.0002860631182041E-4</c:v>
                </c:pt>
                <c:pt idx="1261">
                  <c:v>7.0394314650256817E-4</c:v>
                </c:pt>
                <c:pt idx="1262">
                  <c:v>3.683127974716661E-4</c:v>
                </c:pt>
                <c:pt idx="1263">
                  <c:v>1.3735109913190651E-4</c:v>
                </c:pt>
                <c:pt idx="1264">
                  <c:v>4.7079010211181532E-4</c:v>
                </c:pt>
                <c:pt idx="1265">
                  <c:v>8.6389919819329945E-4</c:v>
                </c:pt>
                <c:pt idx="1266">
                  <c:v>1.8283114487123602E-5</c:v>
                </c:pt>
                <c:pt idx="1267">
                  <c:v>5.8709504314004811E-4</c:v>
                </c:pt>
                <c:pt idx="1268">
                  <c:v>1.1428719612941883E-3</c:v>
                </c:pt>
                <c:pt idx="1269">
                  <c:v>1.0772188638085668E-3</c:v>
                </c:pt>
                <c:pt idx="1270">
                  <c:v>4.5584395244265788E-4</c:v>
                </c:pt>
                <c:pt idx="1271">
                  <c:v>4.7411670238017183E-4</c:v>
                </c:pt>
                <c:pt idx="1272">
                  <c:v>3.5003305663699536E-4</c:v>
                </c:pt>
                <c:pt idx="1273">
                  <c:v>3.2898255403618809E-5</c:v>
                </c:pt>
                <c:pt idx="1274">
                  <c:v>-7.1613500047848161E-3</c:v>
                </c:pt>
                <c:pt idx="1275">
                  <c:v>-5.6191522992661167E-3</c:v>
                </c:pt>
                <c:pt idx="1276">
                  <c:v>-6.9197263038674418E-3</c:v>
                </c:pt>
                <c:pt idx="1277">
                  <c:v>-3.6872826835536495E-3</c:v>
                </c:pt>
                <c:pt idx="1278">
                  <c:v>-1.6073788982524757E-3</c:v>
                </c:pt>
                <c:pt idx="1279">
                  <c:v>-9.3876785233721401E-4</c:v>
                </c:pt>
                <c:pt idx="1280">
                  <c:v>-4.8526144724164478E-4</c:v>
                </c:pt>
                <c:pt idx="1281">
                  <c:v>-1.1756763556465199E-3</c:v>
                </c:pt>
                <c:pt idx="1282">
                  <c:v>-1.0839306914835767E-3</c:v>
                </c:pt>
                <c:pt idx="1283">
                  <c:v>-8.0387092943864599E-4</c:v>
                </c:pt>
                <c:pt idx="1284">
                  <c:v>-9.2995313165747471E-4</c:v>
                </c:pt>
                <c:pt idx="1285">
                  <c:v>-3.4076250079829768E-4</c:v>
                </c:pt>
                <c:pt idx="1286">
                  <c:v>-9.6429502215282525E-4</c:v>
                </c:pt>
                <c:pt idx="1287">
                  <c:v>-5.2607302061869556E-5</c:v>
                </c:pt>
                <c:pt idx="1288">
                  <c:v>5.8286478888665076E-6</c:v>
                </c:pt>
                <c:pt idx="1289">
                  <c:v>-1.0843410346867619E-3</c:v>
                </c:pt>
                <c:pt idx="1290">
                  <c:v>-8.3738730413347392E-4</c:v>
                </c:pt>
                <c:pt idx="1291">
                  <c:v>-6.9475307014578273E-4</c:v>
                </c:pt>
                <c:pt idx="1292">
                  <c:v>-3.3623010673833629E-5</c:v>
                </c:pt>
                <c:pt idx="1293">
                  <c:v>2.2069662780305985E-4</c:v>
                </c:pt>
                <c:pt idx="1294">
                  <c:v>-1.2538434503873649E-4</c:v>
                </c:pt>
                <c:pt idx="1295">
                  <c:v>7.3947520334061818E-4</c:v>
                </c:pt>
                <c:pt idx="1296">
                  <c:v>1.2456711954433163E-3</c:v>
                </c:pt>
                <c:pt idx="1297">
                  <c:v>8.8105100353767351E-4</c:v>
                </c:pt>
                <c:pt idx="1298">
                  <c:v>1.2653803805600561E-3</c:v>
                </c:pt>
                <c:pt idx="1299">
                  <c:v>6.7396798652067573E-4</c:v>
                </c:pt>
                <c:pt idx="1300">
                  <c:v>3.7529602109083384E-4</c:v>
                </c:pt>
                <c:pt idx="1301">
                  <c:v>5.3902307937150429E-4</c:v>
                </c:pt>
                <c:pt idx="1302">
                  <c:v>1.6771095825101384E-4</c:v>
                </c:pt>
                <c:pt idx="1303">
                  <c:v>-1.1566521213575852E-3</c:v>
                </c:pt>
                <c:pt idx="1304">
                  <c:v>-4.6568240343347993E-3</c:v>
                </c:pt>
                <c:pt idx="1305">
                  <c:v>-1.973677040306022E-3</c:v>
                </c:pt>
                <c:pt idx="1306">
                  <c:v>-9.973801922312598E-5</c:v>
                </c:pt>
                <c:pt idx="1307">
                  <c:v>-9.420201774643979E-4</c:v>
                </c:pt>
                <c:pt idx="1308">
                  <c:v>-4.967159077827488E-3</c:v>
                </c:pt>
                <c:pt idx="1309">
                  <c:v>3.6204210334215826E-4</c:v>
                </c:pt>
                <c:pt idx="1310">
                  <c:v>1.2914949955527086E-3</c:v>
                </c:pt>
                <c:pt idx="1311">
                  <c:v>1.95799513972242E-3</c:v>
                </c:pt>
                <c:pt idx="1312">
                  <c:v>5.0588266349226355E-4</c:v>
                </c:pt>
                <c:pt idx="1313">
                  <c:v>7.2735189014257781E-4</c:v>
                </c:pt>
                <c:pt idx="1314">
                  <c:v>5.1347779494399933E-4</c:v>
                </c:pt>
                <c:pt idx="1315">
                  <c:v>7.2419486725137905E-4</c:v>
                </c:pt>
                <c:pt idx="1316">
                  <c:v>6.8827347399283857E-5</c:v>
                </c:pt>
                <c:pt idx="1317">
                  <c:v>-6.2724859191623057E-3</c:v>
                </c:pt>
                <c:pt idx="1318">
                  <c:v>-6.2773985749057697E-3</c:v>
                </c:pt>
                <c:pt idx="1319">
                  <c:v>-1.5891795890104379E-3</c:v>
                </c:pt>
                <c:pt idx="1320">
                  <c:v>9.3880038841892999E-4</c:v>
                </c:pt>
                <c:pt idx="1321">
                  <c:v>4.1568822577653283E-4</c:v>
                </c:pt>
                <c:pt idx="1322">
                  <c:v>5.5184878785694686E-4</c:v>
                </c:pt>
                <c:pt idx="1323">
                  <c:v>3.1601360742505494E-4</c:v>
                </c:pt>
                <c:pt idx="1324">
                  <c:v>6.9222193921818253E-4</c:v>
                </c:pt>
                <c:pt idx="1325">
                  <c:v>1.1232184525199393E-3</c:v>
                </c:pt>
                <c:pt idx="1326">
                  <c:v>5.0500523486678801E-4</c:v>
                </c:pt>
                <c:pt idx="1327">
                  <c:v>6.6451572134663039E-4</c:v>
                </c:pt>
                <c:pt idx="1328">
                  <c:v>-3.4175335660280167E-5</c:v>
                </c:pt>
                <c:pt idx="1329">
                  <c:v>5.9977223159324398E-4</c:v>
                </c:pt>
                <c:pt idx="1330">
                  <c:v>7.7987416837364636E-4</c:v>
                </c:pt>
                <c:pt idx="1331">
                  <c:v>4.744211185636192E-4</c:v>
                </c:pt>
                <c:pt idx="1332">
                  <c:v>8.7376992782724628E-4</c:v>
                </c:pt>
                <c:pt idx="1333">
                  <c:v>4.9869609873830548E-4</c:v>
                </c:pt>
                <c:pt idx="1334">
                  <c:v>4.8960274784513435E-4</c:v>
                </c:pt>
                <c:pt idx="1335">
                  <c:v>3.2132454227172546E-4</c:v>
                </c:pt>
                <c:pt idx="1336">
                  <c:v>6.4333967896224359E-5</c:v>
                </c:pt>
                <c:pt idx="1337">
                  <c:v>3.7531283285846106E-4</c:v>
                </c:pt>
                <c:pt idx="1338">
                  <c:v>-7.0029676658846013E-4</c:v>
                </c:pt>
                <c:pt idx="1339">
                  <c:v>-2.7760117938016781E-3</c:v>
                </c:pt>
                <c:pt idx="1340">
                  <c:v>1.0468379768873814E-4</c:v>
                </c:pt>
                <c:pt idx="1341">
                  <c:v>2.2190208223904246E-4</c:v>
                </c:pt>
                <c:pt idx="1342">
                  <c:v>7.1732104227359558E-4</c:v>
                </c:pt>
                <c:pt idx="1343">
                  <c:v>1.126849596498121E-4</c:v>
                </c:pt>
                <c:pt idx="1344">
                  <c:v>8.489087593892237E-5</c:v>
                </c:pt>
                <c:pt idx="1345">
                  <c:v>1.2262792658408255E-3</c:v>
                </c:pt>
                <c:pt idx="1346">
                  <c:v>1.4550716169412989E-3</c:v>
                </c:pt>
                <c:pt idx="1347">
                  <c:v>6.51100076268197E-4</c:v>
                </c:pt>
                <c:pt idx="1348">
                  <c:v>1.0251372056202365E-3</c:v>
                </c:pt>
                <c:pt idx="1349">
                  <c:v>7.6050109485012777E-4</c:v>
                </c:pt>
                <c:pt idx="1350">
                  <c:v>4.8174292277372826E-4</c:v>
                </c:pt>
                <c:pt idx="1351">
                  <c:v>6.0818968839103219E-4</c:v>
                </c:pt>
                <c:pt idx="1352">
                  <c:v>1.0925588181652168E-3</c:v>
                </c:pt>
                <c:pt idx="1353">
                  <c:v>1.392090205840083E-3</c:v>
                </c:pt>
                <c:pt idx="1354">
                  <c:v>8.3743148449960572E-4</c:v>
                </c:pt>
                <c:pt idx="1355">
                  <c:v>5.7146556029943278E-4</c:v>
                </c:pt>
                <c:pt idx="1356">
                  <c:v>3.6624414697822055E-4</c:v>
                </c:pt>
                <c:pt idx="1357">
                  <c:v>-4.9638334822712116E-4</c:v>
                </c:pt>
                <c:pt idx="1358">
                  <c:v>-3.3032841214228537E-4</c:v>
                </c:pt>
                <c:pt idx="1359">
                  <c:v>-1.348316444618925E-3</c:v>
                </c:pt>
                <c:pt idx="1360">
                  <c:v>-2.6145937502042855E-3</c:v>
                </c:pt>
                <c:pt idx="1361">
                  <c:v>-4.2087375811194951E-3</c:v>
                </c:pt>
                <c:pt idx="1362">
                  <c:v>-2.2899997914317023E-3</c:v>
                </c:pt>
                <c:pt idx="1363">
                  <c:v>1.456099466343934E-4</c:v>
                </c:pt>
                <c:pt idx="1364">
                  <c:v>2.4699289195834656E-4</c:v>
                </c:pt>
                <c:pt idx="1365">
                  <c:v>-3.2587666164229288E-4</c:v>
                </c:pt>
                <c:pt idx="1366">
                  <c:v>1.379584070796454E-2</c:v>
                </c:pt>
                <c:pt idx="1367">
                  <c:v>1.5750900202393038E-2</c:v>
                </c:pt>
                <c:pt idx="1368">
                  <c:v>2.0884797547280798E-3</c:v>
                </c:pt>
                <c:pt idx="1369">
                  <c:v>9.879230701129141E-4</c:v>
                </c:pt>
                <c:pt idx="1370">
                  <c:v>6.395445522834563E-4</c:v>
                </c:pt>
                <c:pt idx="1371">
                  <c:v>4.9178448156779811E-4</c:v>
                </c:pt>
                <c:pt idx="1372">
                  <c:v>8.8526093701749812E-4</c:v>
                </c:pt>
                <c:pt idx="1373">
                  <c:v>1.2211439438927002E-3</c:v>
                </c:pt>
                <c:pt idx="1374">
                  <c:v>1.4805684143538551E-3</c:v>
                </c:pt>
                <c:pt idx="1375">
                  <c:v>1.0203893772725717E-3</c:v>
                </c:pt>
                <c:pt idx="1376">
                  <c:v>4.7215609201698799E-4</c:v>
                </c:pt>
                <c:pt idx="1377">
                  <c:v>3.3802281123074631E-4</c:v>
                </c:pt>
                <c:pt idx="1378">
                  <c:v>4.4122214349341085E-4</c:v>
                </c:pt>
                <c:pt idx="1379">
                  <c:v>4.7634192663133256E-4</c:v>
                </c:pt>
                <c:pt idx="1380">
                  <c:v>2.6976229562837112E-4</c:v>
                </c:pt>
                <c:pt idx="1381">
                  <c:v>-6.8807401096017816E-5</c:v>
                </c:pt>
                <c:pt idx="1382">
                  <c:v>-4.4975062855874391E-5</c:v>
                </c:pt>
                <c:pt idx="1383">
                  <c:v>1.5053097895996689E-4</c:v>
                </c:pt>
                <c:pt idx="1384">
                  <c:v>9.1971984954232814E-4</c:v>
                </c:pt>
                <c:pt idx="1385">
                  <c:v>5.3615524772064615E-4</c:v>
                </c:pt>
                <c:pt idx="1386">
                  <c:v>8.1466564437015446E-4</c:v>
                </c:pt>
                <c:pt idx="1387">
                  <c:v>-4.1471877282686501E-4</c:v>
                </c:pt>
                <c:pt idx="1388">
                  <c:v>-9.079530653073526E-4</c:v>
                </c:pt>
                <c:pt idx="1389">
                  <c:v>-1.5476457683193535E-4</c:v>
                </c:pt>
                <c:pt idx="1390">
                  <c:v>2.375325903162597E-5</c:v>
                </c:pt>
                <c:pt idx="1391">
                  <c:v>7.696813010630956E-4</c:v>
                </c:pt>
                <c:pt idx="1392">
                  <c:v>7.3665250768145099E-4</c:v>
                </c:pt>
                <c:pt idx="1393">
                  <c:v>6.2644894717656682E-4</c:v>
                </c:pt>
                <c:pt idx="1394">
                  <c:v>-7.3025927109602779E-5</c:v>
                </c:pt>
                <c:pt idx="1395">
                  <c:v>-5.3007646010619662E-5</c:v>
                </c:pt>
                <c:pt idx="1396">
                  <c:v>-1.0501471543788211E-4</c:v>
                </c:pt>
                <c:pt idx="1397">
                  <c:v>1.784064060170551E-5</c:v>
                </c:pt>
                <c:pt idx="1398">
                  <c:v>6.6453087111526758E-4</c:v>
                </c:pt>
                <c:pt idx="1399">
                  <c:v>8.7583207492563915E-4</c:v>
                </c:pt>
                <c:pt idx="1400">
                  <c:v>9.594334582584545E-4</c:v>
                </c:pt>
                <c:pt idx="1401">
                  <c:v>4.4231532699890255E-4</c:v>
                </c:pt>
                <c:pt idx="1402">
                  <c:v>8.4569784208817791E-4</c:v>
                </c:pt>
                <c:pt idx="1403">
                  <c:v>-4.4615595386140772E-4</c:v>
                </c:pt>
                <c:pt idx="1404">
                  <c:v>-5.8645961531975782E-4</c:v>
                </c:pt>
                <c:pt idx="1405">
                  <c:v>2.4128634368826248E-4</c:v>
                </c:pt>
                <c:pt idx="1406">
                  <c:v>5.0476657143741694E-4</c:v>
                </c:pt>
                <c:pt idx="1407">
                  <c:v>5.2978264112015655E-4</c:v>
                </c:pt>
                <c:pt idx="1408">
                  <c:v>8.6858250298994853E-4</c:v>
                </c:pt>
                <c:pt idx="1409">
                  <c:v>1.3824106235674342E-3</c:v>
                </c:pt>
                <c:pt idx="1410">
                  <c:v>9.5211864260298662E-4</c:v>
                </c:pt>
                <c:pt idx="1411">
                  <c:v>8.3032981978912795E-4</c:v>
                </c:pt>
                <c:pt idx="1412">
                  <c:v>8.7854959698284571E-4</c:v>
                </c:pt>
                <c:pt idx="1413">
                  <c:v>8.2595831066660085E-4</c:v>
                </c:pt>
                <c:pt idx="1414">
                  <c:v>7.2963117532946862E-4</c:v>
                </c:pt>
                <c:pt idx="1415">
                  <c:v>9.6601451332808215E-4</c:v>
                </c:pt>
                <c:pt idx="1416">
                  <c:v>1.2653180807874387E-3</c:v>
                </c:pt>
                <c:pt idx="1417">
                  <c:v>8.7745615210119816E-4</c:v>
                </c:pt>
                <c:pt idx="1418">
                  <c:v>3.1471619901665655E-4</c:v>
                </c:pt>
                <c:pt idx="1419">
                  <c:v>1.8381990469407719E-4</c:v>
                </c:pt>
                <c:pt idx="1420">
                  <c:v>4.0829871965057397E-4</c:v>
                </c:pt>
                <c:pt idx="1421">
                  <c:v>3.8536660612328256E-3</c:v>
                </c:pt>
                <c:pt idx="1422">
                  <c:v>-1.8251199204450436E-5</c:v>
                </c:pt>
                <c:pt idx="1423">
                  <c:v>5.2787692362892197E-4</c:v>
                </c:pt>
                <c:pt idx="1424">
                  <c:v>-1.6156769354377511E-4</c:v>
                </c:pt>
                <c:pt idx="1425">
                  <c:v>8.7007191005280149E-4</c:v>
                </c:pt>
                <c:pt idx="1426">
                  <c:v>4.1807544999234038E-4</c:v>
                </c:pt>
                <c:pt idx="1427">
                  <c:v>5.9676442805626397E-5</c:v>
                </c:pt>
                <c:pt idx="1428">
                  <c:v>2.7425485270027951E-4</c:v>
                </c:pt>
                <c:pt idx="1429">
                  <c:v>1.1730023273855315E-3</c:v>
                </c:pt>
                <c:pt idx="1430">
                  <c:v>2.7320436018635728E-4</c:v>
                </c:pt>
                <c:pt idx="1431">
                  <c:v>8.9830416152213459E-4</c:v>
                </c:pt>
                <c:pt idx="1432">
                  <c:v>1.1860617770898141E-3</c:v>
                </c:pt>
                <c:pt idx="1433">
                  <c:v>4.6614126597263302E-4</c:v>
                </c:pt>
                <c:pt idx="1434">
                  <c:v>-1.9890590149399244E-3</c:v>
                </c:pt>
                <c:pt idx="1435">
                  <c:v>4.0818715503965799E-4</c:v>
                </c:pt>
                <c:pt idx="1436">
                  <c:v>1.8828772654325271E-3</c:v>
                </c:pt>
                <c:pt idx="1437">
                  <c:v>1.1439353869049978E-3</c:v>
                </c:pt>
                <c:pt idx="1438">
                  <c:v>-1.4353294677111703E-3</c:v>
                </c:pt>
                <c:pt idx="1439">
                  <c:v>3.2415460028409762E-5</c:v>
                </c:pt>
                <c:pt idx="1440">
                  <c:v>-2.1944097360483555E-3</c:v>
                </c:pt>
                <c:pt idx="1441">
                  <c:v>1.2056790222126474E-3</c:v>
                </c:pt>
                <c:pt idx="1442">
                  <c:v>7.5431726999819232E-4</c:v>
                </c:pt>
                <c:pt idx="1443">
                  <c:v>6.5546794337778731E-4</c:v>
                </c:pt>
                <c:pt idx="1444">
                  <c:v>6.8495491349485462E-4</c:v>
                </c:pt>
                <c:pt idx="1445">
                  <c:v>-2.290158884823896E-3</c:v>
                </c:pt>
                <c:pt idx="1446">
                  <c:v>6.7820849201043654E-4</c:v>
                </c:pt>
                <c:pt idx="1447">
                  <c:v>1.1004017609144595E-3</c:v>
                </c:pt>
                <c:pt idx="1448">
                  <c:v>5.9394217835180942E-4</c:v>
                </c:pt>
                <c:pt idx="1449">
                  <c:v>4.7160238833956266E-4</c:v>
                </c:pt>
                <c:pt idx="1450">
                  <c:v>1.6203742319356059E-4</c:v>
                </c:pt>
                <c:pt idx="1451">
                  <c:v>7.9985866660780343E-4</c:v>
                </c:pt>
                <c:pt idx="1452">
                  <c:v>1.2355748467967524E-3</c:v>
                </c:pt>
                <c:pt idx="1453">
                  <c:v>7.9420989863474673E-4</c:v>
                </c:pt>
                <c:pt idx="1454">
                  <c:v>8.1040599301145132E-4</c:v>
                </c:pt>
                <c:pt idx="1455">
                  <c:v>5.5217923963855127E-4</c:v>
                </c:pt>
                <c:pt idx="1456">
                  <c:v>5.9250237165831606E-4</c:v>
                </c:pt>
                <c:pt idx="1457">
                  <c:v>8.8551318986986017E-4</c:v>
                </c:pt>
                <c:pt idx="1458">
                  <c:v>5.897410075287224E-4</c:v>
                </c:pt>
                <c:pt idx="1459">
                  <c:v>-1.4813494146695855E-4</c:v>
                </c:pt>
                <c:pt idx="1460">
                  <c:v>3.4245222999803834E-4</c:v>
                </c:pt>
                <c:pt idx="1461">
                  <c:v>3.3182313952512184E-4</c:v>
                </c:pt>
                <c:pt idx="1462">
                  <c:v>1.3686473166237005E-3</c:v>
                </c:pt>
                <c:pt idx="1463">
                  <c:v>3.2212811842426348E-4</c:v>
                </c:pt>
                <c:pt idx="1464">
                  <c:v>4.6392557079403813E-4</c:v>
                </c:pt>
                <c:pt idx="1465">
                  <c:v>9.0163236158682166E-4</c:v>
                </c:pt>
                <c:pt idx="1466">
                  <c:v>3.6487420654560538E-4</c:v>
                </c:pt>
                <c:pt idx="1467">
                  <c:v>1.0194376232143892E-3</c:v>
                </c:pt>
                <c:pt idx="1468">
                  <c:v>1.0884094812155022E-3</c:v>
                </c:pt>
                <c:pt idx="1469">
                  <c:v>9.8359004208824381E-4</c:v>
                </c:pt>
                <c:pt idx="1470">
                  <c:v>2.1410738463630455E-4</c:v>
                </c:pt>
                <c:pt idx="1471">
                  <c:v>7.0002381109412917E-4</c:v>
                </c:pt>
                <c:pt idx="1472">
                  <c:v>7.9375238608549853E-4</c:v>
                </c:pt>
                <c:pt idx="1473">
                  <c:v>1.5574866232922731E-4</c:v>
                </c:pt>
                <c:pt idx="1474">
                  <c:v>9.9746553076501062E-4</c:v>
                </c:pt>
                <c:pt idx="1475">
                  <c:v>4.9835844768071592E-4</c:v>
                </c:pt>
                <c:pt idx="1476">
                  <c:v>5.1666891012695369E-4</c:v>
                </c:pt>
                <c:pt idx="1477">
                  <c:v>1.6877781986931407E-3</c:v>
                </c:pt>
                <c:pt idx="1478">
                  <c:v>6.004313594003772E-4</c:v>
                </c:pt>
                <c:pt idx="1479">
                  <c:v>-4.0423383764026302E-4</c:v>
                </c:pt>
                <c:pt idx="1480">
                  <c:v>1.7603975594844084E-3</c:v>
                </c:pt>
                <c:pt idx="1481">
                  <c:v>5.1697722172427659E-4</c:v>
                </c:pt>
                <c:pt idx="1482">
                  <c:v>-9.0346942395963612E-5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A-DF49-B9D5-A0AB749DA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619744"/>
        <c:axId val="298621456"/>
      </c:lineChart>
      <c:catAx>
        <c:axId val="298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21456"/>
        <c:crosses val="autoZero"/>
        <c:auto val="1"/>
        <c:lblAlgn val="ctr"/>
        <c:lblOffset val="100"/>
        <c:noMultiLvlLbl val="0"/>
      </c:catAx>
      <c:valAx>
        <c:axId val="298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'usdc '!$J$1:$J$9</c:f>
              <c:strCache>
                <c:ptCount val="9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'usdc '!$I$10:$I$1492</c:f>
              <c:strCache>
                <c:ptCount val="1483"/>
                <c:pt idx="0">
                  <c:v>time</c:v>
                </c:pt>
                <c:pt idx="1">
                  <c:v>14/1/2022</c:v>
                </c:pt>
                <c:pt idx="2">
                  <c:v>15/1/2022</c:v>
                </c:pt>
                <c:pt idx="3">
                  <c:v>16/1/2022</c:v>
                </c:pt>
                <c:pt idx="4">
                  <c:v>17/1/2022</c:v>
                </c:pt>
                <c:pt idx="5">
                  <c:v>18/1/2022</c:v>
                </c:pt>
                <c:pt idx="6">
                  <c:v>19/1/2022</c:v>
                </c:pt>
                <c:pt idx="7">
                  <c:v>20/1/2022</c:v>
                </c:pt>
                <c:pt idx="8">
                  <c:v>21/1/2022</c:v>
                </c:pt>
                <c:pt idx="9">
                  <c:v>22/1/2022</c:v>
                </c:pt>
                <c:pt idx="10">
                  <c:v>23/1/2022</c:v>
                </c:pt>
                <c:pt idx="11">
                  <c:v>24/1/2022</c:v>
                </c:pt>
                <c:pt idx="12">
                  <c:v>25/1/2022</c:v>
                </c:pt>
                <c:pt idx="13">
                  <c:v>26/1/2022</c:v>
                </c:pt>
                <c:pt idx="14">
                  <c:v>27/1/2022</c:v>
                </c:pt>
                <c:pt idx="15">
                  <c:v>28/1/2022</c:v>
                </c:pt>
                <c:pt idx="16">
                  <c:v>29/1/2022</c:v>
                </c:pt>
                <c:pt idx="17">
                  <c:v>30/1/2022</c:v>
                </c:pt>
                <c:pt idx="18">
                  <c:v>31/1/2022</c:v>
                </c:pt>
                <c:pt idx="19">
                  <c:v>1/2/2022</c:v>
                </c:pt>
                <c:pt idx="20">
                  <c:v>2/2/2022</c:v>
                </c:pt>
                <c:pt idx="21">
                  <c:v>3/2/2022</c:v>
                </c:pt>
                <c:pt idx="22">
                  <c:v>4/2/2022</c:v>
                </c:pt>
                <c:pt idx="23">
                  <c:v>5/2/2022</c:v>
                </c:pt>
                <c:pt idx="24">
                  <c:v>6/2/2022</c:v>
                </c:pt>
                <c:pt idx="25">
                  <c:v>7/2/2022</c:v>
                </c:pt>
                <c:pt idx="26">
                  <c:v>8/2/2022</c:v>
                </c:pt>
                <c:pt idx="27">
                  <c:v>9/2/2022</c:v>
                </c:pt>
                <c:pt idx="28">
                  <c:v>10/2/2022</c:v>
                </c:pt>
                <c:pt idx="29">
                  <c:v>11/2/2022</c:v>
                </c:pt>
                <c:pt idx="30">
                  <c:v>12/2/2022</c:v>
                </c:pt>
                <c:pt idx="31">
                  <c:v>13/2/2022</c:v>
                </c:pt>
                <c:pt idx="32">
                  <c:v>14/2/2022</c:v>
                </c:pt>
                <c:pt idx="33">
                  <c:v>15/2/2022</c:v>
                </c:pt>
                <c:pt idx="34">
                  <c:v>16/2/2022</c:v>
                </c:pt>
                <c:pt idx="35">
                  <c:v>17/2/2022</c:v>
                </c:pt>
                <c:pt idx="36">
                  <c:v>18/2/2022</c:v>
                </c:pt>
                <c:pt idx="37">
                  <c:v>19/2/2022</c:v>
                </c:pt>
                <c:pt idx="38">
                  <c:v>20/2/2022</c:v>
                </c:pt>
                <c:pt idx="39">
                  <c:v>21/2/2022</c:v>
                </c:pt>
                <c:pt idx="40">
                  <c:v>22/2/2022</c:v>
                </c:pt>
                <c:pt idx="41">
                  <c:v>23/2/2022</c:v>
                </c:pt>
                <c:pt idx="42">
                  <c:v>24/2/2022</c:v>
                </c:pt>
                <c:pt idx="43">
                  <c:v>25/2/2022</c:v>
                </c:pt>
                <c:pt idx="44">
                  <c:v>26/2/2022</c:v>
                </c:pt>
                <c:pt idx="45">
                  <c:v>27/2/2022</c:v>
                </c:pt>
                <c:pt idx="46">
                  <c:v>28/2/2022</c:v>
                </c:pt>
                <c:pt idx="47">
                  <c:v>1/3/2022</c:v>
                </c:pt>
                <c:pt idx="48">
                  <c:v>2/3/2022</c:v>
                </c:pt>
                <c:pt idx="49">
                  <c:v>3/3/2022</c:v>
                </c:pt>
                <c:pt idx="50">
                  <c:v>4/3/2022</c:v>
                </c:pt>
                <c:pt idx="51">
                  <c:v>5/3/2022</c:v>
                </c:pt>
                <c:pt idx="52">
                  <c:v>6/3/2022</c:v>
                </c:pt>
                <c:pt idx="53">
                  <c:v>7/3/2022</c:v>
                </c:pt>
                <c:pt idx="54">
                  <c:v>8/3/2022</c:v>
                </c:pt>
                <c:pt idx="55">
                  <c:v>9/3/2022</c:v>
                </c:pt>
                <c:pt idx="56">
                  <c:v>10/3/2022</c:v>
                </c:pt>
                <c:pt idx="57">
                  <c:v>11/3/2022</c:v>
                </c:pt>
                <c:pt idx="58">
                  <c:v>12/3/2022</c:v>
                </c:pt>
                <c:pt idx="59">
                  <c:v>13/3/2022</c:v>
                </c:pt>
                <c:pt idx="60">
                  <c:v>14/3/2022</c:v>
                </c:pt>
                <c:pt idx="61">
                  <c:v>15/3/2022</c:v>
                </c:pt>
                <c:pt idx="62">
                  <c:v>16/3/2022</c:v>
                </c:pt>
                <c:pt idx="63">
                  <c:v>17/3/2022</c:v>
                </c:pt>
                <c:pt idx="64">
                  <c:v>18/3/2022</c:v>
                </c:pt>
                <c:pt idx="65">
                  <c:v>19/3/2022</c:v>
                </c:pt>
                <c:pt idx="66">
                  <c:v>20/3/2022</c:v>
                </c:pt>
                <c:pt idx="67">
                  <c:v>21/3/2022</c:v>
                </c:pt>
                <c:pt idx="68">
                  <c:v>22/3/2022</c:v>
                </c:pt>
                <c:pt idx="69">
                  <c:v>23/3/2022</c:v>
                </c:pt>
                <c:pt idx="70">
                  <c:v>24/3/2022</c:v>
                </c:pt>
                <c:pt idx="71">
                  <c:v>25/3/2022</c:v>
                </c:pt>
                <c:pt idx="72">
                  <c:v>26/3/2022</c:v>
                </c:pt>
                <c:pt idx="73">
                  <c:v>27/3/2022</c:v>
                </c:pt>
                <c:pt idx="74">
                  <c:v>28/3/2022</c:v>
                </c:pt>
                <c:pt idx="75">
                  <c:v>29/3/2022</c:v>
                </c:pt>
                <c:pt idx="76">
                  <c:v>30/3/2022</c:v>
                </c:pt>
                <c:pt idx="77">
                  <c:v>31/3/2022</c:v>
                </c:pt>
                <c:pt idx="78">
                  <c:v>1/4/2022</c:v>
                </c:pt>
                <c:pt idx="79">
                  <c:v>2/4/2022</c:v>
                </c:pt>
                <c:pt idx="80">
                  <c:v>3/4/2022</c:v>
                </c:pt>
                <c:pt idx="81">
                  <c:v>4/4/2022</c:v>
                </c:pt>
                <c:pt idx="82">
                  <c:v>5/4/2022</c:v>
                </c:pt>
                <c:pt idx="83">
                  <c:v>6/4/2022</c:v>
                </c:pt>
                <c:pt idx="84">
                  <c:v>7/4/2022</c:v>
                </c:pt>
                <c:pt idx="85">
                  <c:v>8/4/2022</c:v>
                </c:pt>
                <c:pt idx="86">
                  <c:v>9/4/2022</c:v>
                </c:pt>
                <c:pt idx="87">
                  <c:v>10/4/2022</c:v>
                </c:pt>
                <c:pt idx="88">
                  <c:v>11/4/2022</c:v>
                </c:pt>
                <c:pt idx="89">
                  <c:v>12/4/2022</c:v>
                </c:pt>
                <c:pt idx="90">
                  <c:v>13/4/2022</c:v>
                </c:pt>
                <c:pt idx="91">
                  <c:v>14/4/2022</c:v>
                </c:pt>
                <c:pt idx="92">
                  <c:v>15/4/2022</c:v>
                </c:pt>
                <c:pt idx="93">
                  <c:v>16/4/2022</c:v>
                </c:pt>
                <c:pt idx="94">
                  <c:v>17/4/2022</c:v>
                </c:pt>
                <c:pt idx="95">
                  <c:v>18/4/2022</c:v>
                </c:pt>
                <c:pt idx="96">
                  <c:v>19/4/2022</c:v>
                </c:pt>
                <c:pt idx="97">
                  <c:v>20/4/2022</c:v>
                </c:pt>
                <c:pt idx="98">
                  <c:v>21/4/2022</c:v>
                </c:pt>
                <c:pt idx="99">
                  <c:v>22/4/2022</c:v>
                </c:pt>
                <c:pt idx="100">
                  <c:v>23/4/2022</c:v>
                </c:pt>
                <c:pt idx="101">
                  <c:v>24/4/2022</c:v>
                </c:pt>
                <c:pt idx="102">
                  <c:v>25/4/2022</c:v>
                </c:pt>
                <c:pt idx="103">
                  <c:v>26/4/2022</c:v>
                </c:pt>
                <c:pt idx="104">
                  <c:v>27/4/2022</c:v>
                </c:pt>
                <c:pt idx="105">
                  <c:v>28/4/2022</c:v>
                </c:pt>
                <c:pt idx="106">
                  <c:v>29/4/2022</c:v>
                </c:pt>
                <c:pt idx="107">
                  <c:v>30/4/2022</c:v>
                </c:pt>
                <c:pt idx="108">
                  <c:v>1/5/2022</c:v>
                </c:pt>
                <c:pt idx="109">
                  <c:v>2/5/2022</c:v>
                </c:pt>
                <c:pt idx="110">
                  <c:v>3/5/2022</c:v>
                </c:pt>
                <c:pt idx="111">
                  <c:v>4/5/2022</c:v>
                </c:pt>
                <c:pt idx="112">
                  <c:v>5/5/2022</c:v>
                </c:pt>
                <c:pt idx="113">
                  <c:v>6/5/2022</c:v>
                </c:pt>
                <c:pt idx="114">
                  <c:v>7/5/2022</c:v>
                </c:pt>
                <c:pt idx="115">
                  <c:v>8/5/2022</c:v>
                </c:pt>
                <c:pt idx="116">
                  <c:v>9/5/2022</c:v>
                </c:pt>
                <c:pt idx="117">
                  <c:v>10/5/2022</c:v>
                </c:pt>
                <c:pt idx="118">
                  <c:v>11/5/2022</c:v>
                </c:pt>
                <c:pt idx="119">
                  <c:v>12/5/2022</c:v>
                </c:pt>
                <c:pt idx="120">
                  <c:v>13/5/2022</c:v>
                </c:pt>
                <c:pt idx="121">
                  <c:v>14/5/2022</c:v>
                </c:pt>
                <c:pt idx="122">
                  <c:v>15/5/2022</c:v>
                </c:pt>
                <c:pt idx="123">
                  <c:v>16/5/2022</c:v>
                </c:pt>
                <c:pt idx="124">
                  <c:v>17/5/2022</c:v>
                </c:pt>
                <c:pt idx="125">
                  <c:v>18/5/2022</c:v>
                </c:pt>
                <c:pt idx="126">
                  <c:v>19/5/2022</c:v>
                </c:pt>
                <c:pt idx="127">
                  <c:v>20/5/2022</c:v>
                </c:pt>
                <c:pt idx="128">
                  <c:v>21/5/2022</c:v>
                </c:pt>
                <c:pt idx="129">
                  <c:v>22/5/2022</c:v>
                </c:pt>
                <c:pt idx="130">
                  <c:v>23/5/2022</c:v>
                </c:pt>
                <c:pt idx="131">
                  <c:v>24/5/2022</c:v>
                </c:pt>
                <c:pt idx="132">
                  <c:v>25/5/2022</c:v>
                </c:pt>
                <c:pt idx="133">
                  <c:v>26/5/2022</c:v>
                </c:pt>
                <c:pt idx="134">
                  <c:v>27/5/2022</c:v>
                </c:pt>
                <c:pt idx="135">
                  <c:v>28/5/2022</c:v>
                </c:pt>
                <c:pt idx="136">
                  <c:v>29/5/2022</c:v>
                </c:pt>
                <c:pt idx="137">
                  <c:v>30/5/2022</c:v>
                </c:pt>
                <c:pt idx="138">
                  <c:v>31/5/2022</c:v>
                </c:pt>
                <c:pt idx="139">
                  <c:v>1/6/2022</c:v>
                </c:pt>
                <c:pt idx="140">
                  <c:v>2/6/2022</c:v>
                </c:pt>
                <c:pt idx="141">
                  <c:v>3/6/2022</c:v>
                </c:pt>
                <c:pt idx="142">
                  <c:v>4/6/2022</c:v>
                </c:pt>
                <c:pt idx="143">
                  <c:v>5/6/2022</c:v>
                </c:pt>
                <c:pt idx="144">
                  <c:v>6/6/2022</c:v>
                </c:pt>
                <c:pt idx="145">
                  <c:v>7/6/2022</c:v>
                </c:pt>
                <c:pt idx="146">
                  <c:v>8/6/2022</c:v>
                </c:pt>
                <c:pt idx="147">
                  <c:v>9/6/2022</c:v>
                </c:pt>
                <c:pt idx="148">
                  <c:v>10/6/2022</c:v>
                </c:pt>
                <c:pt idx="149">
                  <c:v>11/6/2022</c:v>
                </c:pt>
                <c:pt idx="150">
                  <c:v>12/6/2022</c:v>
                </c:pt>
                <c:pt idx="151">
                  <c:v>13/6/2022</c:v>
                </c:pt>
                <c:pt idx="152">
                  <c:v>14/6/2022</c:v>
                </c:pt>
                <c:pt idx="153">
                  <c:v>15/6/2022</c:v>
                </c:pt>
                <c:pt idx="154">
                  <c:v>16/6/2022</c:v>
                </c:pt>
                <c:pt idx="155">
                  <c:v>17/6/2022</c:v>
                </c:pt>
                <c:pt idx="156">
                  <c:v>18/6/2022</c:v>
                </c:pt>
                <c:pt idx="157">
                  <c:v>19/6/2022</c:v>
                </c:pt>
                <c:pt idx="158">
                  <c:v>20/6/2022</c:v>
                </c:pt>
                <c:pt idx="159">
                  <c:v>21/6/2022</c:v>
                </c:pt>
                <c:pt idx="160">
                  <c:v>22/6/2022</c:v>
                </c:pt>
                <c:pt idx="161">
                  <c:v>23/6/2022</c:v>
                </c:pt>
                <c:pt idx="162">
                  <c:v>24/6/2022</c:v>
                </c:pt>
                <c:pt idx="163">
                  <c:v>25/6/2022</c:v>
                </c:pt>
                <c:pt idx="164">
                  <c:v>26/6/2022</c:v>
                </c:pt>
                <c:pt idx="165">
                  <c:v>27/6/2022</c:v>
                </c:pt>
                <c:pt idx="166">
                  <c:v>28/6/2022</c:v>
                </c:pt>
                <c:pt idx="167">
                  <c:v>29/6/2022</c:v>
                </c:pt>
                <c:pt idx="168">
                  <c:v>30/6/2022</c:v>
                </c:pt>
                <c:pt idx="169">
                  <c:v>1/7/2022</c:v>
                </c:pt>
                <c:pt idx="170">
                  <c:v>2/7/2022</c:v>
                </c:pt>
                <c:pt idx="171">
                  <c:v>3/7/2022</c:v>
                </c:pt>
                <c:pt idx="172">
                  <c:v>4/7/2022</c:v>
                </c:pt>
                <c:pt idx="173">
                  <c:v>5/7/2022</c:v>
                </c:pt>
                <c:pt idx="174">
                  <c:v>6/7/2022</c:v>
                </c:pt>
                <c:pt idx="175">
                  <c:v>7/7/2022</c:v>
                </c:pt>
                <c:pt idx="176">
                  <c:v>8/7/2022</c:v>
                </c:pt>
                <c:pt idx="177">
                  <c:v>9/7/2022</c:v>
                </c:pt>
                <c:pt idx="178">
                  <c:v>10/7/2022</c:v>
                </c:pt>
                <c:pt idx="179">
                  <c:v>11/7/2022</c:v>
                </c:pt>
                <c:pt idx="180">
                  <c:v>12/7/2022</c:v>
                </c:pt>
                <c:pt idx="181">
                  <c:v>13/7/2022</c:v>
                </c:pt>
                <c:pt idx="182">
                  <c:v>14/7/2022</c:v>
                </c:pt>
                <c:pt idx="183">
                  <c:v>15/7/2022</c:v>
                </c:pt>
                <c:pt idx="184">
                  <c:v>16/7/2022</c:v>
                </c:pt>
                <c:pt idx="185">
                  <c:v>17/7/2022</c:v>
                </c:pt>
                <c:pt idx="186">
                  <c:v>18/7/2022</c:v>
                </c:pt>
                <c:pt idx="187">
                  <c:v>19/7/2022</c:v>
                </c:pt>
                <c:pt idx="188">
                  <c:v>20/7/2022</c:v>
                </c:pt>
                <c:pt idx="189">
                  <c:v>21/7/2022</c:v>
                </c:pt>
                <c:pt idx="190">
                  <c:v>22/7/2022</c:v>
                </c:pt>
                <c:pt idx="191">
                  <c:v>23/7/2022</c:v>
                </c:pt>
                <c:pt idx="192">
                  <c:v>24/7/2022</c:v>
                </c:pt>
                <c:pt idx="193">
                  <c:v>25/7/2022</c:v>
                </c:pt>
                <c:pt idx="194">
                  <c:v>26/7/2022</c:v>
                </c:pt>
                <c:pt idx="195">
                  <c:v>27/7/2022</c:v>
                </c:pt>
                <c:pt idx="196">
                  <c:v>28/7/2022</c:v>
                </c:pt>
                <c:pt idx="197">
                  <c:v>29/7/2022</c:v>
                </c:pt>
                <c:pt idx="198">
                  <c:v>30/7/2022</c:v>
                </c:pt>
                <c:pt idx="199">
                  <c:v>31/7/2022</c:v>
                </c:pt>
                <c:pt idx="200">
                  <c:v>1/8/2022</c:v>
                </c:pt>
                <c:pt idx="201">
                  <c:v>2/8/2022</c:v>
                </c:pt>
                <c:pt idx="202">
                  <c:v>3/8/2022</c:v>
                </c:pt>
                <c:pt idx="203">
                  <c:v>4/8/2022</c:v>
                </c:pt>
                <c:pt idx="204">
                  <c:v>5/8/2022</c:v>
                </c:pt>
                <c:pt idx="205">
                  <c:v>6/8/2022</c:v>
                </c:pt>
                <c:pt idx="206">
                  <c:v>7/8/2022</c:v>
                </c:pt>
                <c:pt idx="207">
                  <c:v>8/8/2022</c:v>
                </c:pt>
                <c:pt idx="208">
                  <c:v>9/8/2022</c:v>
                </c:pt>
                <c:pt idx="209">
                  <c:v>10/8/2022</c:v>
                </c:pt>
                <c:pt idx="210">
                  <c:v>11/8/2022</c:v>
                </c:pt>
                <c:pt idx="211">
                  <c:v>12/8/2022</c:v>
                </c:pt>
                <c:pt idx="212">
                  <c:v>13/8/2022</c:v>
                </c:pt>
                <c:pt idx="213">
                  <c:v>14/8/2022</c:v>
                </c:pt>
                <c:pt idx="214">
                  <c:v>15/8/2022</c:v>
                </c:pt>
                <c:pt idx="215">
                  <c:v>16/8/2022</c:v>
                </c:pt>
                <c:pt idx="216">
                  <c:v>17/8/2022</c:v>
                </c:pt>
                <c:pt idx="217">
                  <c:v>18/8/2022</c:v>
                </c:pt>
                <c:pt idx="218">
                  <c:v>19/8/2022</c:v>
                </c:pt>
                <c:pt idx="219">
                  <c:v>20/8/2022</c:v>
                </c:pt>
                <c:pt idx="220">
                  <c:v>21/8/2022</c:v>
                </c:pt>
                <c:pt idx="221">
                  <c:v>22/8/2022</c:v>
                </c:pt>
                <c:pt idx="222">
                  <c:v>23/8/2022</c:v>
                </c:pt>
                <c:pt idx="223">
                  <c:v>24/8/2022</c:v>
                </c:pt>
                <c:pt idx="224">
                  <c:v>25/8/2022</c:v>
                </c:pt>
                <c:pt idx="225">
                  <c:v>26/8/2022</c:v>
                </c:pt>
                <c:pt idx="226">
                  <c:v>27/8/2022</c:v>
                </c:pt>
                <c:pt idx="227">
                  <c:v>28/8/2022</c:v>
                </c:pt>
                <c:pt idx="228">
                  <c:v>29/8/2022</c:v>
                </c:pt>
                <c:pt idx="229">
                  <c:v>30/8/2022</c:v>
                </c:pt>
                <c:pt idx="230">
                  <c:v>31/8/2022</c:v>
                </c:pt>
                <c:pt idx="231">
                  <c:v>1/9/2022</c:v>
                </c:pt>
                <c:pt idx="232">
                  <c:v>2/9/2022</c:v>
                </c:pt>
                <c:pt idx="233">
                  <c:v>3/9/2022</c:v>
                </c:pt>
                <c:pt idx="234">
                  <c:v>4/9/2022</c:v>
                </c:pt>
                <c:pt idx="235">
                  <c:v>5/9/2022</c:v>
                </c:pt>
                <c:pt idx="236">
                  <c:v>6/9/2022</c:v>
                </c:pt>
                <c:pt idx="237">
                  <c:v>7/9/2022</c:v>
                </c:pt>
                <c:pt idx="238">
                  <c:v>8/9/2022</c:v>
                </c:pt>
                <c:pt idx="239">
                  <c:v>9/9/2022</c:v>
                </c:pt>
                <c:pt idx="240">
                  <c:v>10/9/2022</c:v>
                </c:pt>
                <c:pt idx="241">
                  <c:v>11/9/2022</c:v>
                </c:pt>
                <c:pt idx="242">
                  <c:v>12/9/2022</c:v>
                </c:pt>
                <c:pt idx="243">
                  <c:v>13/9/2022</c:v>
                </c:pt>
                <c:pt idx="244">
                  <c:v>14/9/2022</c:v>
                </c:pt>
                <c:pt idx="245">
                  <c:v>15/9/2022</c:v>
                </c:pt>
                <c:pt idx="246">
                  <c:v>16/9/2022</c:v>
                </c:pt>
                <c:pt idx="247">
                  <c:v>17/9/2022</c:v>
                </c:pt>
                <c:pt idx="248">
                  <c:v>18/9/2022</c:v>
                </c:pt>
                <c:pt idx="249">
                  <c:v>19/9/2022</c:v>
                </c:pt>
                <c:pt idx="250">
                  <c:v>20/9/2022</c:v>
                </c:pt>
                <c:pt idx="251">
                  <c:v>21/9/2022</c:v>
                </c:pt>
                <c:pt idx="252">
                  <c:v>22/9/2022</c:v>
                </c:pt>
                <c:pt idx="253">
                  <c:v>23/9/2022</c:v>
                </c:pt>
                <c:pt idx="254">
                  <c:v>24/9/2022</c:v>
                </c:pt>
                <c:pt idx="255">
                  <c:v>25/9/2022</c:v>
                </c:pt>
                <c:pt idx="256">
                  <c:v>26/9/2022</c:v>
                </c:pt>
                <c:pt idx="257">
                  <c:v>27/9/2022</c:v>
                </c:pt>
                <c:pt idx="258">
                  <c:v>28/9/2022</c:v>
                </c:pt>
                <c:pt idx="259">
                  <c:v>29/9/2022</c:v>
                </c:pt>
                <c:pt idx="260">
                  <c:v>30/9/2022</c:v>
                </c:pt>
                <c:pt idx="261">
                  <c:v>1/10/2022</c:v>
                </c:pt>
                <c:pt idx="262">
                  <c:v>2/10/2022</c:v>
                </c:pt>
                <c:pt idx="263">
                  <c:v>3/10/2022</c:v>
                </c:pt>
                <c:pt idx="264">
                  <c:v>4/10/2022</c:v>
                </c:pt>
                <c:pt idx="265">
                  <c:v>5/10/2022</c:v>
                </c:pt>
                <c:pt idx="266">
                  <c:v>6/10/2022</c:v>
                </c:pt>
                <c:pt idx="267">
                  <c:v>7/10/2022</c:v>
                </c:pt>
                <c:pt idx="268">
                  <c:v>8/10/2022</c:v>
                </c:pt>
                <c:pt idx="269">
                  <c:v>9/10/2022</c:v>
                </c:pt>
                <c:pt idx="270">
                  <c:v>10/10/2022</c:v>
                </c:pt>
                <c:pt idx="271">
                  <c:v>11/10/2022</c:v>
                </c:pt>
                <c:pt idx="272">
                  <c:v>12/10/2022</c:v>
                </c:pt>
                <c:pt idx="273">
                  <c:v>13/10/2022</c:v>
                </c:pt>
                <c:pt idx="274">
                  <c:v>14/10/2022</c:v>
                </c:pt>
                <c:pt idx="275">
                  <c:v>15/10/2022</c:v>
                </c:pt>
                <c:pt idx="276">
                  <c:v>16/10/2022</c:v>
                </c:pt>
                <c:pt idx="277">
                  <c:v>17/10/2022</c:v>
                </c:pt>
                <c:pt idx="278">
                  <c:v>18/10/2022</c:v>
                </c:pt>
                <c:pt idx="279">
                  <c:v>19/10/2022</c:v>
                </c:pt>
                <c:pt idx="280">
                  <c:v>20/10/2022</c:v>
                </c:pt>
                <c:pt idx="281">
                  <c:v>21/10/2022</c:v>
                </c:pt>
                <c:pt idx="282">
                  <c:v>22/10/2022</c:v>
                </c:pt>
                <c:pt idx="283">
                  <c:v>23/10/2022</c:v>
                </c:pt>
                <c:pt idx="284">
                  <c:v>24/10/2022</c:v>
                </c:pt>
                <c:pt idx="285">
                  <c:v>25/10/2022</c:v>
                </c:pt>
                <c:pt idx="286">
                  <c:v>26/10/2022</c:v>
                </c:pt>
                <c:pt idx="287">
                  <c:v>27/10/2022</c:v>
                </c:pt>
                <c:pt idx="288">
                  <c:v>28/10/2022</c:v>
                </c:pt>
                <c:pt idx="289">
                  <c:v>29/10/2022</c:v>
                </c:pt>
                <c:pt idx="290">
                  <c:v>30/10/2022</c:v>
                </c:pt>
                <c:pt idx="291">
                  <c:v>31/10/2022</c:v>
                </c:pt>
                <c:pt idx="292">
                  <c:v>1/11/2022</c:v>
                </c:pt>
                <c:pt idx="293">
                  <c:v>2/11/2022</c:v>
                </c:pt>
                <c:pt idx="294">
                  <c:v>3/11/2022</c:v>
                </c:pt>
                <c:pt idx="295">
                  <c:v>4/11/2022</c:v>
                </c:pt>
                <c:pt idx="296">
                  <c:v>5/11/2022</c:v>
                </c:pt>
                <c:pt idx="297">
                  <c:v>6/11/2022</c:v>
                </c:pt>
                <c:pt idx="298">
                  <c:v>7/11/2022</c:v>
                </c:pt>
                <c:pt idx="299">
                  <c:v>8/11/2022</c:v>
                </c:pt>
                <c:pt idx="300">
                  <c:v>9/11/2022</c:v>
                </c:pt>
                <c:pt idx="301">
                  <c:v>10/11/2022</c:v>
                </c:pt>
                <c:pt idx="302">
                  <c:v>11/11/2022</c:v>
                </c:pt>
                <c:pt idx="303">
                  <c:v>12/11/2022</c:v>
                </c:pt>
                <c:pt idx="304">
                  <c:v>13/11/2022</c:v>
                </c:pt>
                <c:pt idx="305">
                  <c:v>14/11/2022</c:v>
                </c:pt>
                <c:pt idx="306">
                  <c:v>15/11/2022</c:v>
                </c:pt>
                <c:pt idx="307">
                  <c:v>16/11/2022</c:v>
                </c:pt>
                <c:pt idx="308">
                  <c:v>17/11/2022</c:v>
                </c:pt>
                <c:pt idx="309">
                  <c:v>18/11/2022</c:v>
                </c:pt>
                <c:pt idx="310">
                  <c:v>19/11/2022</c:v>
                </c:pt>
                <c:pt idx="311">
                  <c:v>20/11/2022</c:v>
                </c:pt>
                <c:pt idx="312">
                  <c:v>21/11/2022</c:v>
                </c:pt>
                <c:pt idx="313">
                  <c:v>22/11/2022</c:v>
                </c:pt>
                <c:pt idx="314">
                  <c:v>23/11/2022</c:v>
                </c:pt>
                <c:pt idx="315">
                  <c:v>24/11/2022</c:v>
                </c:pt>
                <c:pt idx="316">
                  <c:v>25/11/2022</c:v>
                </c:pt>
                <c:pt idx="317">
                  <c:v>26/11/2022</c:v>
                </c:pt>
                <c:pt idx="318">
                  <c:v>27/11/2022</c:v>
                </c:pt>
                <c:pt idx="319">
                  <c:v>28/11/2022</c:v>
                </c:pt>
                <c:pt idx="320">
                  <c:v>29/11/2022</c:v>
                </c:pt>
                <c:pt idx="321">
                  <c:v>30/11/2022</c:v>
                </c:pt>
                <c:pt idx="322">
                  <c:v>1/12/2022</c:v>
                </c:pt>
                <c:pt idx="323">
                  <c:v>2/12/2022</c:v>
                </c:pt>
                <c:pt idx="324">
                  <c:v>3/12/2022</c:v>
                </c:pt>
                <c:pt idx="325">
                  <c:v>4/12/2022</c:v>
                </c:pt>
                <c:pt idx="326">
                  <c:v>5/12/2022</c:v>
                </c:pt>
                <c:pt idx="327">
                  <c:v>6/12/2022</c:v>
                </c:pt>
                <c:pt idx="328">
                  <c:v>7/12/2022</c:v>
                </c:pt>
                <c:pt idx="329">
                  <c:v>8/12/2022</c:v>
                </c:pt>
                <c:pt idx="330">
                  <c:v>9/12/2022</c:v>
                </c:pt>
                <c:pt idx="331">
                  <c:v>10/12/2022</c:v>
                </c:pt>
                <c:pt idx="332">
                  <c:v>11/12/2022</c:v>
                </c:pt>
                <c:pt idx="333">
                  <c:v>12/12/2022</c:v>
                </c:pt>
                <c:pt idx="334">
                  <c:v>13/12/2022</c:v>
                </c:pt>
                <c:pt idx="335">
                  <c:v>14/12/2022</c:v>
                </c:pt>
                <c:pt idx="336">
                  <c:v>15/12/2022</c:v>
                </c:pt>
                <c:pt idx="337">
                  <c:v>16/12/2022</c:v>
                </c:pt>
                <c:pt idx="338">
                  <c:v>17/12/2022</c:v>
                </c:pt>
                <c:pt idx="339">
                  <c:v>18/12/2022</c:v>
                </c:pt>
                <c:pt idx="340">
                  <c:v>19/12/2022</c:v>
                </c:pt>
                <c:pt idx="341">
                  <c:v>20/12/2022</c:v>
                </c:pt>
                <c:pt idx="342">
                  <c:v>21/12/2022</c:v>
                </c:pt>
                <c:pt idx="343">
                  <c:v>22/12/2022</c:v>
                </c:pt>
                <c:pt idx="344">
                  <c:v>23/12/2022</c:v>
                </c:pt>
                <c:pt idx="345">
                  <c:v>24/12/2022</c:v>
                </c:pt>
                <c:pt idx="346">
                  <c:v>25/12/2022</c:v>
                </c:pt>
                <c:pt idx="347">
                  <c:v>26/12/2022</c:v>
                </c:pt>
                <c:pt idx="348">
                  <c:v>27/12/2022</c:v>
                </c:pt>
                <c:pt idx="349">
                  <c:v>28/12/2022</c:v>
                </c:pt>
                <c:pt idx="350">
                  <c:v>29/12/2022</c:v>
                </c:pt>
                <c:pt idx="351">
                  <c:v>30/12/2022</c:v>
                </c:pt>
                <c:pt idx="352">
                  <c:v>31/12/2022</c:v>
                </c:pt>
                <c:pt idx="353">
                  <c:v>1/1/2023</c:v>
                </c:pt>
                <c:pt idx="354">
                  <c:v>2/1/2023</c:v>
                </c:pt>
                <c:pt idx="355">
                  <c:v>3/1/2023</c:v>
                </c:pt>
                <c:pt idx="356">
                  <c:v>4/1/2023</c:v>
                </c:pt>
                <c:pt idx="357">
                  <c:v>5/1/2023</c:v>
                </c:pt>
                <c:pt idx="358">
                  <c:v>6/1/2023</c:v>
                </c:pt>
                <c:pt idx="359">
                  <c:v>7/1/2023</c:v>
                </c:pt>
                <c:pt idx="360">
                  <c:v>8/1/2023</c:v>
                </c:pt>
                <c:pt idx="361">
                  <c:v>9/1/2023</c:v>
                </c:pt>
                <c:pt idx="362">
                  <c:v>10/1/2023</c:v>
                </c:pt>
                <c:pt idx="363">
                  <c:v>11/1/2023</c:v>
                </c:pt>
                <c:pt idx="364">
                  <c:v>12/1/2023</c:v>
                </c:pt>
                <c:pt idx="365">
                  <c:v>13/1/2023</c:v>
                </c:pt>
                <c:pt idx="366">
                  <c:v>14/1/2023</c:v>
                </c:pt>
                <c:pt idx="367">
                  <c:v>15/1/2023</c:v>
                </c:pt>
                <c:pt idx="368">
                  <c:v>16/1/2023</c:v>
                </c:pt>
                <c:pt idx="369">
                  <c:v>17/1/2023</c:v>
                </c:pt>
                <c:pt idx="370">
                  <c:v>18/1/2023</c:v>
                </c:pt>
                <c:pt idx="371">
                  <c:v>19/1/2023</c:v>
                </c:pt>
                <c:pt idx="372">
                  <c:v>20/1/2023</c:v>
                </c:pt>
                <c:pt idx="373">
                  <c:v>21/1/2023</c:v>
                </c:pt>
                <c:pt idx="374">
                  <c:v>22/1/2023</c:v>
                </c:pt>
                <c:pt idx="375">
                  <c:v>23/1/2023</c:v>
                </c:pt>
                <c:pt idx="376">
                  <c:v>24/1/2023</c:v>
                </c:pt>
                <c:pt idx="377">
                  <c:v>25/1/2023</c:v>
                </c:pt>
                <c:pt idx="378">
                  <c:v>26/1/2023</c:v>
                </c:pt>
                <c:pt idx="379">
                  <c:v>27/1/2023</c:v>
                </c:pt>
                <c:pt idx="380">
                  <c:v>28/1/2023</c:v>
                </c:pt>
                <c:pt idx="381">
                  <c:v>29/1/2023</c:v>
                </c:pt>
                <c:pt idx="382">
                  <c:v>30/1/2023</c:v>
                </c:pt>
                <c:pt idx="383">
                  <c:v>31/1/2023</c:v>
                </c:pt>
                <c:pt idx="384">
                  <c:v>1/2/2023</c:v>
                </c:pt>
                <c:pt idx="385">
                  <c:v>2/2/2023</c:v>
                </c:pt>
                <c:pt idx="386">
                  <c:v>3/2/2023</c:v>
                </c:pt>
                <c:pt idx="387">
                  <c:v>4/2/2023</c:v>
                </c:pt>
                <c:pt idx="388">
                  <c:v>5/2/2023</c:v>
                </c:pt>
                <c:pt idx="389">
                  <c:v>6/2/2023</c:v>
                </c:pt>
                <c:pt idx="390">
                  <c:v>7/2/2023</c:v>
                </c:pt>
                <c:pt idx="391">
                  <c:v>8/2/2023</c:v>
                </c:pt>
                <c:pt idx="392">
                  <c:v>9/2/2023</c:v>
                </c:pt>
                <c:pt idx="393">
                  <c:v>10/2/2023</c:v>
                </c:pt>
                <c:pt idx="394">
                  <c:v>11/2/2023</c:v>
                </c:pt>
                <c:pt idx="395">
                  <c:v>12/2/2023</c:v>
                </c:pt>
                <c:pt idx="396">
                  <c:v>13/2/2023</c:v>
                </c:pt>
                <c:pt idx="397">
                  <c:v>14/2/2023</c:v>
                </c:pt>
                <c:pt idx="398">
                  <c:v>15/2/2023</c:v>
                </c:pt>
                <c:pt idx="399">
                  <c:v>16/2/2023</c:v>
                </c:pt>
                <c:pt idx="400">
                  <c:v>17/2/2023</c:v>
                </c:pt>
                <c:pt idx="401">
                  <c:v>18/2/2023</c:v>
                </c:pt>
                <c:pt idx="402">
                  <c:v>19/2/2023</c:v>
                </c:pt>
                <c:pt idx="403">
                  <c:v>20/2/2023</c:v>
                </c:pt>
                <c:pt idx="404">
                  <c:v>21/2/2023</c:v>
                </c:pt>
                <c:pt idx="405">
                  <c:v>22/2/2023</c:v>
                </c:pt>
                <c:pt idx="406">
                  <c:v>23/2/2023</c:v>
                </c:pt>
                <c:pt idx="407">
                  <c:v>24/2/2023</c:v>
                </c:pt>
                <c:pt idx="408">
                  <c:v>25/2/2023</c:v>
                </c:pt>
                <c:pt idx="409">
                  <c:v>26/2/2023</c:v>
                </c:pt>
                <c:pt idx="410">
                  <c:v>27/2/2023</c:v>
                </c:pt>
                <c:pt idx="411">
                  <c:v>28/2/2023</c:v>
                </c:pt>
                <c:pt idx="412">
                  <c:v>1/3/2023</c:v>
                </c:pt>
                <c:pt idx="413">
                  <c:v>2/3/2023</c:v>
                </c:pt>
                <c:pt idx="414">
                  <c:v>3/3/2023</c:v>
                </c:pt>
                <c:pt idx="415">
                  <c:v>4/3/2023</c:v>
                </c:pt>
                <c:pt idx="416">
                  <c:v>5/3/2023</c:v>
                </c:pt>
                <c:pt idx="417">
                  <c:v>6/3/2023</c:v>
                </c:pt>
                <c:pt idx="418">
                  <c:v>7/3/2023</c:v>
                </c:pt>
                <c:pt idx="419">
                  <c:v>8/3/2023</c:v>
                </c:pt>
                <c:pt idx="420">
                  <c:v>9/3/2023</c:v>
                </c:pt>
                <c:pt idx="421">
                  <c:v>10/3/2023</c:v>
                </c:pt>
                <c:pt idx="422">
                  <c:v>11/3/2023</c:v>
                </c:pt>
                <c:pt idx="423">
                  <c:v>12/3/2023</c:v>
                </c:pt>
                <c:pt idx="424">
                  <c:v>13/3/2023</c:v>
                </c:pt>
                <c:pt idx="425">
                  <c:v>14/3/2023</c:v>
                </c:pt>
                <c:pt idx="426">
                  <c:v>15/3/2023</c:v>
                </c:pt>
                <c:pt idx="427">
                  <c:v>16/3/2023</c:v>
                </c:pt>
                <c:pt idx="428">
                  <c:v>17/3/2023</c:v>
                </c:pt>
                <c:pt idx="429">
                  <c:v>18/3/2023</c:v>
                </c:pt>
                <c:pt idx="430">
                  <c:v>19/3/2023</c:v>
                </c:pt>
                <c:pt idx="431">
                  <c:v>20/3/2023</c:v>
                </c:pt>
                <c:pt idx="432">
                  <c:v>21/3/2023</c:v>
                </c:pt>
                <c:pt idx="433">
                  <c:v>22/3/2023</c:v>
                </c:pt>
                <c:pt idx="434">
                  <c:v>23/3/2023</c:v>
                </c:pt>
                <c:pt idx="435">
                  <c:v>24/3/2023</c:v>
                </c:pt>
                <c:pt idx="436">
                  <c:v>25/3/2023</c:v>
                </c:pt>
                <c:pt idx="437">
                  <c:v>26/3/2023</c:v>
                </c:pt>
                <c:pt idx="438">
                  <c:v>27/3/2023</c:v>
                </c:pt>
                <c:pt idx="439">
                  <c:v>28/3/2023</c:v>
                </c:pt>
                <c:pt idx="440">
                  <c:v>29/3/2023</c:v>
                </c:pt>
                <c:pt idx="441">
                  <c:v>30/3/2023</c:v>
                </c:pt>
                <c:pt idx="442">
                  <c:v>31/3/2023</c:v>
                </c:pt>
                <c:pt idx="443">
                  <c:v>1/4/2023</c:v>
                </c:pt>
                <c:pt idx="444">
                  <c:v>2/4/2023</c:v>
                </c:pt>
                <c:pt idx="445">
                  <c:v>3/4/2023</c:v>
                </c:pt>
                <c:pt idx="446">
                  <c:v>4/4/2023</c:v>
                </c:pt>
                <c:pt idx="447">
                  <c:v>5/4/2023</c:v>
                </c:pt>
                <c:pt idx="448">
                  <c:v>6/4/2023</c:v>
                </c:pt>
                <c:pt idx="449">
                  <c:v>7/4/2023</c:v>
                </c:pt>
                <c:pt idx="450">
                  <c:v>8/4/2023</c:v>
                </c:pt>
                <c:pt idx="451">
                  <c:v>9/4/2023</c:v>
                </c:pt>
                <c:pt idx="452">
                  <c:v>10/4/2023</c:v>
                </c:pt>
                <c:pt idx="453">
                  <c:v>11/4/2023</c:v>
                </c:pt>
                <c:pt idx="454">
                  <c:v>12/4/2023</c:v>
                </c:pt>
                <c:pt idx="455">
                  <c:v>13/4/2023</c:v>
                </c:pt>
                <c:pt idx="456">
                  <c:v>14/4/2023</c:v>
                </c:pt>
                <c:pt idx="457">
                  <c:v>15/4/2023</c:v>
                </c:pt>
                <c:pt idx="458">
                  <c:v>16/4/2023</c:v>
                </c:pt>
                <c:pt idx="459">
                  <c:v>17/4/2023</c:v>
                </c:pt>
                <c:pt idx="460">
                  <c:v>18/4/2023</c:v>
                </c:pt>
                <c:pt idx="461">
                  <c:v>19/4/2023</c:v>
                </c:pt>
                <c:pt idx="462">
                  <c:v>20/4/2023</c:v>
                </c:pt>
                <c:pt idx="463">
                  <c:v>21/4/2023</c:v>
                </c:pt>
                <c:pt idx="464">
                  <c:v>22/4/2023</c:v>
                </c:pt>
                <c:pt idx="465">
                  <c:v>23/4/2023</c:v>
                </c:pt>
                <c:pt idx="466">
                  <c:v>24/4/2023</c:v>
                </c:pt>
                <c:pt idx="467">
                  <c:v>25/4/2023</c:v>
                </c:pt>
                <c:pt idx="468">
                  <c:v>26/4/2023</c:v>
                </c:pt>
                <c:pt idx="469">
                  <c:v>27/4/2023</c:v>
                </c:pt>
                <c:pt idx="470">
                  <c:v>28/4/2023</c:v>
                </c:pt>
                <c:pt idx="471">
                  <c:v>29/4/2023</c:v>
                </c:pt>
                <c:pt idx="472">
                  <c:v>30/4/2023</c:v>
                </c:pt>
                <c:pt idx="473">
                  <c:v>1/5/2023</c:v>
                </c:pt>
                <c:pt idx="474">
                  <c:v>2/5/2023</c:v>
                </c:pt>
                <c:pt idx="475">
                  <c:v>3/5/2023</c:v>
                </c:pt>
                <c:pt idx="476">
                  <c:v>4/5/2023</c:v>
                </c:pt>
                <c:pt idx="477">
                  <c:v>5/5/2023</c:v>
                </c:pt>
                <c:pt idx="478">
                  <c:v>6/5/2023</c:v>
                </c:pt>
                <c:pt idx="479">
                  <c:v>7/5/2023</c:v>
                </c:pt>
                <c:pt idx="480">
                  <c:v>8/5/2023</c:v>
                </c:pt>
                <c:pt idx="481">
                  <c:v>9/5/2023</c:v>
                </c:pt>
                <c:pt idx="482">
                  <c:v>10/5/2023</c:v>
                </c:pt>
                <c:pt idx="483">
                  <c:v>11/5/2023</c:v>
                </c:pt>
                <c:pt idx="484">
                  <c:v>12/5/2023</c:v>
                </c:pt>
                <c:pt idx="485">
                  <c:v>13/5/2023</c:v>
                </c:pt>
                <c:pt idx="486">
                  <c:v>14/5/2023</c:v>
                </c:pt>
                <c:pt idx="487">
                  <c:v>15/5/2023</c:v>
                </c:pt>
                <c:pt idx="488">
                  <c:v>16/5/2023</c:v>
                </c:pt>
                <c:pt idx="489">
                  <c:v>17/5/2023</c:v>
                </c:pt>
                <c:pt idx="490">
                  <c:v>18/5/2023</c:v>
                </c:pt>
                <c:pt idx="491">
                  <c:v>19/5/2023</c:v>
                </c:pt>
                <c:pt idx="492">
                  <c:v>20/5/2023</c:v>
                </c:pt>
                <c:pt idx="493">
                  <c:v>21/5/2023</c:v>
                </c:pt>
                <c:pt idx="494">
                  <c:v>22/5/2023</c:v>
                </c:pt>
                <c:pt idx="495">
                  <c:v>23/5/2023</c:v>
                </c:pt>
                <c:pt idx="496">
                  <c:v>24/5/2023</c:v>
                </c:pt>
                <c:pt idx="497">
                  <c:v>25/5/2023</c:v>
                </c:pt>
                <c:pt idx="498">
                  <c:v>26/5/2023</c:v>
                </c:pt>
                <c:pt idx="499">
                  <c:v>27/5/2023</c:v>
                </c:pt>
                <c:pt idx="500">
                  <c:v>28/5/2023</c:v>
                </c:pt>
                <c:pt idx="501">
                  <c:v>29/5/2023</c:v>
                </c:pt>
                <c:pt idx="502">
                  <c:v>30/5/2023</c:v>
                </c:pt>
                <c:pt idx="503">
                  <c:v>31/5/2023</c:v>
                </c:pt>
                <c:pt idx="504">
                  <c:v>1/6/2023</c:v>
                </c:pt>
                <c:pt idx="505">
                  <c:v>2/6/2023</c:v>
                </c:pt>
                <c:pt idx="506">
                  <c:v>3/6/2023</c:v>
                </c:pt>
                <c:pt idx="507">
                  <c:v>4/6/2023</c:v>
                </c:pt>
                <c:pt idx="508">
                  <c:v>5/6/2023</c:v>
                </c:pt>
                <c:pt idx="509">
                  <c:v>6/6/2023</c:v>
                </c:pt>
                <c:pt idx="510">
                  <c:v>7/6/2023</c:v>
                </c:pt>
                <c:pt idx="511">
                  <c:v>8/6/2023</c:v>
                </c:pt>
                <c:pt idx="512">
                  <c:v>9/6/2023</c:v>
                </c:pt>
                <c:pt idx="513">
                  <c:v>10/6/2023</c:v>
                </c:pt>
                <c:pt idx="514">
                  <c:v>11/6/2023</c:v>
                </c:pt>
                <c:pt idx="515">
                  <c:v>12/6/2023</c:v>
                </c:pt>
                <c:pt idx="516">
                  <c:v>13/6/2023</c:v>
                </c:pt>
                <c:pt idx="517">
                  <c:v>14/6/2023</c:v>
                </c:pt>
                <c:pt idx="518">
                  <c:v>15/6/2023</c:v>
                </c:pt>
                <c:pt idx="519">
                  <c:v>16/6/2023</c:v>
                </c:pt>
                <c:pt idx="520">
                  <c:v>17/6/2023</c:v>
                </c:pt>
                <c:pt idx="521">
                  <c:v>18/6/2023</c:v>
                </c:pt>
                <c:pt idx="522">
                  <c:v>19/6/2023</c:v>
                </c:pt>
                <c:pt idx="523">
                  <c:v>20/6/2023</c:v>
                </c:pt>
                <c:pt idx="524">
                  <c:v>21/6/2023</c:v>
                </c:pt>
                <c:pt idx="525">
                  <c:v>22/6/2023</c:v>
                </c:pt>
                <c:pt idx="526">
                  <c:v>23/6/2023</c:v>
                </c:pt>
                <c:pt idx="527">
                  <c:v>24/6/2023</c:v>
                </c:pt>
                <c:pt idx="528">
                  <c:v>25/6/2023</c:v>
                </c:pt>
                <c:pt idx="529">
                  <c:v>26/6/2023</c:v>
                </c:pt>
                <c:pt idx="530">
                  <c:v>27/6/2023</c:v>
                </c:pt>
                <c:pt idx="531">
                  <c:v>28/6/2023</c:v>
                </c:pt>
                <c:pt idx="532">
                  <c:v>29/6/2023</c:v>
                </c:pt>
                <c:pt idx="533">
                  <c:v>30/6/2023</c:v>
                </c:pt>
                <c:pt idx="534">
                  <c:v>1/7/2023</c:v>
                </c:pt>
                <c:pt idx="535">
                  <c:v>2/7/2023</c:v>
                </c:pt>
                <c:pt idx="536">
                  <c:v>3/7/2023</c:v>
                </c:pt>
                <c:pt idx="537">
                  <c:v>4/7/2023</c:v>
                </c:pt>
                <c:pt idx="538">
                  <c:v>5/7/2023</c:v>
                </c:pt>
                <c:pt idx="539">
                  <c:v>6/7/2023</c:v>
                </c:pt>
                <c:pt idx="540">
                  <c:v>7/7/2023</c:v>
                </c:pt>
                <c:pt idx="541">
                  <c:v>8/7/2023</c:v>
                </c:pt>
                <c:pt idx="542">
                  <c:v>9/7/2023</c:v>
                </c:pt>
                <c:pt idx="543">
                  <c:v>10/7/2023</c:v>
                </c:pt>
                <c:pt idx="544">
                  <c:v>11/7/2023</c:v>
                </c:pt>
                <c:pt idx="545">
                  <c:v>12/7/2023</c:v>
                </c:pt>
                <c:pt idx="546">
                  <c:v>13/7/2023</c:v>
                </c:pt>
                <c:pt idx="547">
                  <c:v>14/7/2023</c:v>
                </c:pt>
                <c:pt idx="548">
                  <c:v>15/7/2023</c:v>
                </c:pt>
                <c:pt idx="549">
                  <c:v>16/7/2023</c:v>
                </c:pt>
                <c:pt idx="550">
                  <c:v>17/7/2023</c:v>
                </c:pt>
                <c:pt idx="551">
                  <c:v>18/7/2023</c:v>
                </c:pt>
                <c:pt idx="552">
                  <c:v>19/7/2023</c:v>
                </c:pt>
                <c:pt idx="553">
                  <c:v>20/7/2023</c:v>
                </c:pt>
                <c:pt idx="554">
                  <c:v>21/7/2023</c:v>
                </c:pt>
                <c:pt idx="555">
                  <c:v>22/7/2023</c:v>
                </c:pt>
                <c:pt idx="556">
                  <c:v>23/7/2023</c:v>
                </c:pt>
                <c:pt idx="557">
                  <c:v>24/7/2023</c:v>
                </c:pt>
                <c:pt idx="558">
                  <c:v>25/7/2023</c:v>
                </c:pt>
                <c:pt idx="559">
                  <c:v>26/7/2023</c:v>
                </c:pt>
                <c:pt idx="560">
                  <c:v>27/7/2023</c:v>
                </c:pt>
                <c:pt idx="561">
                  <c:v>28/7/2023</c:v>
                </c:pt>
                <c:pt idx="562">
                  <c:v>29/7/2023</c:v>
                </c:pt>
                <c:pt idx="563">
                  <c:v>30/7/2023</c:v>
                </c:pt>
                <c:pt idx="564">
                  <c:v>31/7/2023</c:v>
                </c:pt>
                <c:pt idx="565">
                  <c:v>1/8/2023</c:v>
                </c:pt>
                <c:pt idx="566">
                  <c:v>2/8/2023</c:v>
                </c:pt>
                <c:pt idx="567">
                  <c:v>3/8/2023</c:v>
                </c:pt>
                <c:pt idx="568">
                  <c:v>4/8/2023</c:v>
                </c:pt>
                <c:pt idx="569">
                  <c:v>5/8/2023</c:v>
                </c:pt>
                <c:pt idx="570">
                  <c:v>6/8/2023</c:v>
                </c:pt>
                <c:pt idx="571">
                  <c:v>7/8/2023</c:v>
                </c:pt>
                <c:pt idx="572">
                  <c:v>8/8/2023</c:v>
                </c:pt>
                <c:pt idx="573">
                  <c:v>9/8/2023</c:v>
                </c:pt>
                <c:pt idx="574">
                  <c:v>10/8/2023</c:v>
                </c:pt>
                <c:pt idx="575">
                  <c:v>11/8/2023</c:v>
                </c:pt>
                <c:pt idx="576">
                  <c:v>12/8/2023</c:v>
                </c:pt>
                <c:pt idx="577">
                  <c:v>13/8/2023</c:v>
                </c:pt>
                <c:pt idx="578">
                  <c:v>14/8/2023</c:v>
                </c:pt>
                <c:pt idx="579">
                  <c:v>15/8/2023</c:v>
                </c:pt>
                <c:pt idx="580">
                  <c:v>16/8/2023</c:v>
                </c:pt>
                <c:pt idx="581">
                  <c:v>17/8/2023</c:v>
                </c:pt>
                <c:pt idx="582">
                  <c:v>18/8/2023</c:v>
                </c:pt>
                <c:pt idx="583">
                  <c:v>19/8/2023</c:v>
                </c:pt>
                <c:pt idx="584">
                  <c:v>20/8/2023</c:v>
                </c:pt>
                <c:pt idx="585">
                  <c:v>21/8/2023</c:v>
                </c:pt>
                <c:pt idx="586">
                  <c:v>22/8/2023</c:v>
                </c:pt>
                <c:pt idx="587">
                  <c:v>23/8/2023</c:v>
                </c:pt>
                <c:pt idx="588">
                  <c:v>24/8/2023</c:v>
                </c:pt>
                <c:pt idx="589">
                  <c:v>25/8/2023</c:v>
                </c:pt>
                <c:pt idx="590">
                  <c:v>26/8/2023</c:v>
                </c:pt>
                <c:pt idx="591">
                  <c:v>27/8/2023</c:v>
                </c:pt>
                <c:pt idx="592">
                  <c:v>28/8/2023</c:v>
                </c:pt>
                <c:pt idx="593">
                  <c:v>29/8/2023</c:v>
                </c:pt>
                <c:pt idx="594">
                  <c:v>30/8/2023</c:v>
                </c:pt>
                <c:pt idx="595">
                  <c:v>31/8/2023</c:v>
                </c:pt>
                <c:pt idx="596">
                  <c:v>1/9/2023</c:v>
                </c:pt>
                <c:pt idx="597">
                  <c:v>2/9/2023</c:v>
                </c:pt>
                <c:pt idx="598">
                  <c:v>3/9/2023</c:v>
                </c:pt>
                <c:pt idx="599">
                  <c:v>4/9/2023</c:v>
                </c:pt>
                <c:pt idx="600">
                  <c:v>5/9/2023</c:v>
                </c:pt>
                <c:pt idx="601">
                  <c:v>6/9/2023</c:v>
                </c:pt>
                <c:pt idx="602">
                  <c:v>7/9/2023</c:v>
                </c:pt>
                <c:pt idx="603">
                  <c:v>8/9/2023</c:v>
                </c:pt>
                <c:pt idx="604">
                  <c:v>9/9/2023</c:v>
                </c:pt>
                <c:pt idx="605">
                  <c:v>10/9/2023</c:v>
                </c:pt>
                <c:pt idx="606">
                  <c:v>11/9/2023</c:v>
                </c:pt>
                <c:pt idx="607">
                  <c:v>12/9/2023</c:v>
                </c:pt>
                <c:pt idx="608">
                  <c:v>13/9/2023</c:v>
                </c:pt>
                <c:pt idx="609">
                  <c:v>14/9/2023</c:v>
                </c:pt>
                <c:pt idx="610">
                  <c:v>15/9/2023</c:v>
                </c:pt>
                <c:pt idx="611">
                  <c:v>16/9/2023</c:v>
                </c:pt>
                <c:pt idx="612">
                  <c:v>17/9/2023</c:v>
                </c:pt>
                <c:pt idx="613">
                  <c:v>18/9/2023</c:v>
                </c:pt>
                <c:pt idx="614">
                  <c:v>19/9/2023</c:v>
                </c:pt>
                <c:pt idx="615">
                  <c:v>20/9/2023</c:v>
                </c:pt>
                <c:pt idx="616">
                  <c:v>21/9/2023</c:v>
                </c:pt>
                <c:pt idx="617">
                  <c:v>22/9/2023</c:v>
                </c:pt>
                <c:pt idx="618">
                  <c:v>23/9/2023</c:v>
                </c:pt>
                <c:pt idx="619">
                  <c:v>24/9/2023</c:v>
                </c:pt>
                <c:pt idx="620">
                  <c:v>25/9/2023</c:v>
                </c:pt>
                <c:pt idx="621">
                  <c:v>26/9/2023</c:v>
                </c:pt>
                <c:pt idx="622">
                  <c:v>27/9/2023</c:v>
                </c:pt>
                <c:pt idx="623">
                  <c:v>28/9/2023</c:v>
                </c:pt>
                <c:pt idx="624">
                  <c:v>29/9/2023</c:v>
                </c:pt>
                <c:pt idx="625">
                  <c:v>30/9/2023</c:v>
                </c:pt>
                <c:pt idx="626">
                  <c:v>1/10/2023</c:v>
                </c:pt>
                <c:pt idx="627">
                  <c:v>2/10/2023</c:v>
                </c:pt>
                <c:pt idx="628">
                  <c:v>3/10/2023</c:v>
                </c:pt>
                <c:pt idx="629">
                  <c:v>4/10/2023</c:v>
                </c:pt>
                <c:pt idx="630">
                  <c:v>5/10/2023</c:v>
                </c:pt>
                <c:pt idx="631">
                  <c:v>6/10/2023</c:v>
                </c:pt>
                <c:pt idx="632">
                  <c:v>7/10/2023</c:v>
                </c:pt>
                <c:pt idx="633">
                  <c:v>8/10/2023</c:v>
                </c:pt>
                <c:pt idx="634">
                  <c:v>9/10/2023</c:v>
                </c:pt>
                <c:pt idx="635">
                  <c:v>10/10/2023</c:v>
                </c:pt>
                <c:pt idx="636">
                  <c:v>11/10/2023</c:v>
                </c:pt>
                <c:pt idx="637">
                  <c:v>12/10/2023</c:v>
                </c:pt>
                <c:pt idx="638">
                  <c:v>13/10/2023</c:v>
                </c:pt>
                <c:pt idx="639">
                  <c:v>14/10/2023</c:v>
                </c:pt>
                <c:pt idx="640">
                  <c:v>15/10/2023</c:v>
                </c:pt>
                <c:pt idx="641">
                  <c:v>16/10/2023</c:v>
                </c:pt>
                <c:pt idx="642">
                  <c:v>17/10/2023</c:v>
                </c:pt>
                <c:pt idx="643">
                  <c:v>18/10/2023</c:v>
                </c:pt>
                <c:pt idx="644">
                  <c:v>19/10/2023</c:v>
                </c:pt>
                <c:pt idx="645">
                  <c:v>20/10/2023</c:v>
                </c:pt>
                <c:pt idx="646">
                  <c:v>21/10/2023</c:v>
                </c:pt>
                <c:pt idx="647">
                  <c:v>22/10/2023</c:v>
                </c:pt>
                <c:pt idx="648">
                  <c:v>23/10/2023</c:v>
                </c:pt>
                <c:pt idx="649">
                  <c:v>24/10/2023</c:v>
                </c:pt>
                <c:pt idx="650">
                  <c:v>25/10/2023</c:v>
                </c:pt>
                <c:pt idx="651">
                  <c:v>26/10/2023</c:v>
                </c:pt>
                <c:pt idx="652">
                  <c:v>27/10/2023</c:v>
                </c:pt>
                <c:pt idx="653">
                  <c:v>28/10/2023</c:v>
                </c:pt>
                <c:pt idx="654">
                  <c:v>29/10/2023</c:v>
                </c:pt>
                <c:pt idx="655">
                  <c:v>30/10/2023</c:v>
                </c:pt>
                <c:pt idx="656">
                  <c:v>31/10/2023</c:v>
                </c:pt>
                <c:pt idx="657">
                  <c:v>1/11/2023</c:v>
                </c:pt>
                <c:pt idx="658">
                  <c:v>2/11/2023</c:v>
                </c:pt>
                <c:pt idx="659">
                  <c:v>3/11/2023</c:v>
                </c:pt>
                <c:pt idx="660">
                  <c:v>4/11/2023</c:v>
                </c:pt>
                <c:pt idx="661">
                  <c:v>5/11/2023</c:v>
                </c:pt>
                <c:pt idx="662">
                  <c:v>6/11/2023</c:v>
                </c:pt>
                <c:pt idx="663">
                  <c:v>7/11/2023</c:v>
                </c:pt>
                <c:pt idx="664">
                  <c:v>8/11/2023</c:v>
                </c:pt>
                <c:pt idx="665">
                  <c:v>9/11/2023</c:v>
                </c:pt>
                <c:pt idx="666">
                  <c:v>10/11/2023</c:v>
                </c:pt>
                <c:pt idx="667">
                  <c:v>11/11/2023</c:v>
                </c:pt>
                <c:pt idx="668">
                  <c:v>12/11/2023</c:v>
                </c:pt>
                <c:pt idx="669">
                  <c:v>13/11/2023</c:v>
                </c:pt>
                <c:pt idx="670">
                  <c:v>14/11/2023</c:v>
                </c:pt>
                <c:pt idx="671">
                  <c:v>15/11/2023</c:v>
                </c:pt>
                <c:pt idx="672">
                  <c:v>16/11/2023</c:v>
                </c:pt>
                <c:pt idx="673">
                  <c:v>17/11/2023</c:v>
                </c:pt>
                <c:pt idx="674">
                  <c:v>18/11/2023</c:v>
                </c:pt>
                <c:pt idx="675">
                  <c:v>19/11/2023</c:v>
                </c:pt>
                <c:pt idx="676">
                  <c:v>20/11/2023</c:v>
                </c:pt>
                <c:pt idx="677">
                  <c:v>21/11/2023</c:v>
                </c:pt>
                <c:pt idx="678">
                  <c:v>22/11/2023</c:v>
                </c:pt>
                <c:pt idx="679">
                  <c:v>23/11/2023</c:v>
                </c:pt>
                <c:pt idx="680">
                  <c:v>24/11/2023</c:v>
                </c:pt>
                <c:pt idx="681">
                  <c:v>25/11/2023</c:v>
                </c:pt>
                <c:pt idx="682">
                  <c:v>26/11/2023</c:v>
                </c:pt>
                <c:pt idx="683">
                  <c:v>27/11/2023</c:v>
                </c:pt>
                <c:pt idx="684">
                  <c:v>28/11/2023</c:v>
                </c:pt>
                <c:pt idx="685">
                  <c:v>29/11/2023</c:v>
                </c:pt>
                <c:pt idx="686">
                  <c:v>30/11/2023</c:v>
                </c:pt>
                <c:pt idx="687">
                  <c:v>1/12/2023</c:v>
                </c:pt>
                <c:pt idx="688">
                  <c:v>2/12/2023</c:v>
                </c:pt>
                <c:pt idx="689">
                  <c:v>3/12/2023</c:v>
                </c:pt>
                <c:pt idx="690">
                  <c:v>4/12/2023</c:v>
                </c:pt>
                <c:pt idx="691">
                  <c:v>5/12/2023</c:v>
                </c:pt>
                <c:pt idx="692">
                  <c:v>6/12/2023</c:v>
                </c:pt>
                <c:pt idx="693">
                  <c:v>7/12/2023</c:v>
                </c:pt>
                <c:pt idx="694">
                  <c:v>8/12/2023</c:v>
                </c:pt>
                <c:pt idx="695">
                  <c:v>9/12/2023</c:v>
                </c:pt>
                <c:pt idx="696">
                  <c:v>10/12/2023</c:v>
                </c:pt>
                <c:pt idx="697">
                  <c:v>11/12/2023</c:v>
                </c:pt>
                <c:pt idx="698">
                  <c:v>12/12/2023</c:v>
                </c:pt>
                <c:pt idx="699">
                  <c:v>13/12/2023</c:v>
                </c:pt>
                <c:pt idx="700">
                  <c:v>14/12/2023</c:v>
                </c:pt>
                <c:pt idx="701">
                  <c:v>15/12/2023</c:v>
                </c:pt>
                <c:pt idx="702">
                  <c:v>16/12/2023</c:v>
                </c:pt>
                <c:pt idx="703">
                  <c:v>17/12/2023</c:v>
                </c:pt>
                <c:pt idx="704">
                  <c:v>18/12/2023</c:v>
                </c:pt>
                <c:pt idx="705">
                  <c:v>19/12/2023</c:v>
                </c:pt>
                <c:pt idx="706">
                  <c:v>20/12/2023</c:v>
                </c:pt>
                <c:pt idx="707">
                  <c:v>21/12/2023</c:v>
                </c:pt>
                <c:pt idx="708">
                  <c:v>22/12/2023</c:v>
                </c:pt>
                <c:pt idx="709">
                  <c:v>23/12/2023</c:v>
                </c:pt>
                <c:pt idx="710">
                  <c:v>24/12/2023</c:v>
                </c:pt>
                <c:pt idx="711">
                  <c:v>25/12/2023</c:v>
                </c:pt>
                <c:pt idx="712">
                  <c:v>26/12/2023</c:v>
                </c:pt>
                <c:pt idx="713">
                  <c:v>27/12/2023</c:v>
                </c:pt>
                <c:pt idx="714">
                  <c:v>28/12/2023</c:v>
                </c:pt>
                <c:pt idx="715">
                  <c:v>29/12/2023</c:v>
                </c:pt>
                <c:pt idx="716">
                  <c:v>30/12/2023</c:v>
                </c:pt>
                <c:pt idx="717">
                  <c:v>31/12/2023</c:v>
                </c:pt>
                <c:pt idx="718">
                  <c:v>1/1/2024</c:v>
                </c:pt>
                <c:pt idx="719">
                  <c:v>2/1/2024</c:v>
                </c:pt>
                <c:pt idx="720">
                  <c:v>3/1/2024</c:v>
                </c:pt>
                <c:pt idx="721">
                  <c:v>4/1/2024</c:v>
                </c:pt>
                <c:pt idx="722">
                  <c:v>5/1/2024</c:v>
                </c:pt>
                <c:pt idx="723">
                  <c:v>6/1/2024</c:v>
                </c:pt>
                <c:pt idx="724">
                  <c:v>7/1/2024</c:v>
                </c:pt>
                <c:pt idx="725">
                  <c:v>8/1/2024</c:v>
                </c:pt>
                <c:pt idx="726">
                  <c:v>9/1/2024</c:v>
                </c:pt>
                <c:pt idx="727">
                  <c:v>10/1/2024</c:v>
                </c:pt>
                <c:pt idx="728">
                  <c:v>11/1/2024</c:v>
                </c:pt>
                <c:pt idx="729">
                  <c:v>12/1/2024</c:v>
                </c:pt>
                <c:pt idx="730">
                  <c:v>13/1/2024</c:v>
                </c:pt>
                <c:pt idx="731">
                  <c:v>14/1/2024</c:v>
                </c:pt>
                <c:pt idx="732">
                  <c:v>15/1/2024</c:v>
                </c:pt>
                <c:pt idx="733">
                  <c:v>16/1/2024</c:v>
                </c:pt>
                <c:pt idx="734">
                  <c:v>17/1/2024</c:v>
                </c:pt>
                <c:pt idx="735">
                  <c:v>18/1/2024</c:v>
                </c:pt>
                <c:pt idx="736">
                  <c:v>19/1/2024</c:v>
                </c:pt>
                <c:pt idx="737">
                  <c:v>20/1/2024</c:v>
                </c:pt>
                <c:pt idx="738">
                  <c:v>21/1/2024</c:v>
                </c:pt>
                <c:pt idx="739">
                  <c:v>22/1/2024</c:v>
                </c:pt>
                <c:pt idx="740">
                  <c:v>23/1/2024</c:v>
                </c:pt>
                <c:pt idx="741">
                  <c:v>24/1/2024</c:v>
                </c:pt>
                <c:pt idx="742">
                  <c:v>25/1/2024</c:v>
                </c:pt>
                <c:pt idx="743">
                  <c:v>26/1/2024</c:v>
                </c:pt>
                <c:pt idx="744">
                  <c:v>27/1/2024</c:v>
                </c:pt>
                <c:pt idx="745">
                  <c:v>28/1/2024</c:v>
                </c:pt>
                <c:pt idx="746">
                  <c:v>29/1/2024</c:v>
                </c:pt>
                <c:pt idx="747">
                  <c:v>30/1/2024</c:v>
                </c:pt>
                <c:pt idx="748">
                  <c:v>31/1/2024</c:v>
                </c:pt>
                <c:pt idx="749">
                  <c:v>1/2/2024</c:v>
                </c:pt>
                <c:pt idx="750">
                  <c:v>2/2/2024</c:v>
                </c:pt>
                <c:pt idx="751">
                  <c:v>3/2/2024</c:v>
                </c:pt>
                <c:pt idx="752">
                  <c:v>4/2/2024</c:v>
                </c:pt>
                <c:pt idx="753">
                  <c:v>5/2/2024</c:v>
                </c:pt>
                <c:pt idx="754">
                  <c:v>6/2/2024</c:v>
                </c:pt>
                <c:pt idx="755">
                  <c:v>7/2/2024</c:v>
                </c:pt>
                <c:pt idx="756">
                  <c:v>8/2/2024</c:v>
                </c:pt>
                <c:pt idx="757">
                  <c:v>9/2/2024</c:v>
                </c:pt>
                <c:pt idx="758">
                  <c:v>10/2/2024</c:v>
                </c:pt>
                <c:pt idx="759">
                  <c:v>11/2/2024</c:v>
                </c:pt>
                <c:pt idx="760">
                  <c:v>12/2/2024</c:v>
                </c:pt>
                <c:pt idx="761">
                  <c:v>13/2/2024</c:v>
                </c:pt>
                <c:pt idx="762">
                  <c:v>14/2/2024</c:v>
                </c:pt>
                <c:pt idx="763">
                  <c:v>15/2/2024</c:v>
                </c:pt>
                <c:pt idx="764">
                  <c:v>16/2/2024</c:v>
                </c:pt>
                <c:pt idx="765">
                  <c:v>17/2/2024</c:v>
                </c:pt>
                <c:pt idx="766">
                  <c:v>18/2/2024</c:v>
                </c:pt>
                <c:pt idx="767">
                  <c:v>19/2/2024</c:v>
                </c:pt>
                <c:pt idx="768">
                  <c:v>20/2/2024</c:v>
                </c:pt>
                <c:pt idx="769">
                  <c:v>21/2/2024</c:v>
                </c:pt>
                <c:pt idx="770">
                  <c:v>22/2/2024</c:v>
                </c:pt>
                <c:pt idx="771">
                  <c:v>23/2/2024</c:v>
                </c:pt>
                <c:pt idx="772">
                  <c:v>24/2/2024</c:v>
                </c:pt>
                <c:pt idx="773">
                  <c:v>25/2/2024</c:v>
                </c:pt>
                <c:pt idx="774">
                  <c:v>26/2/2024</c:v>
                </c:pt>
                <c:pt idx="775">
                  <c:v>27/2/2024</c:v>
                </c:pt>
                <c:pt idx="776">
                  <c:v>28/2/2024</c:v>
                </c:pt>
                <c:pt idx="777">
                  <c:v>29/2/2024</c:v>
                </c:pt>
                <c:pt idx="778">
                  <c:v>1/3/2024</c:v>
                </c:pt>
                <c:pt idx="779">
                  <c:v>2/3/2024</c:v>
                </c:pt>
                <c:pt idx="780">
                  <c:v>3/3/2024</c:v>
                </c:pt>
                <c:pt idx="781">
                  <c:v>4/3/2024</c:v>
                </c:pt>
                <c:pt idx="782">
                  <c:v>5/3/2024</c:v>
                </c:pt>
                <c:pt idx="783">
                  <c:v>6/3/2024</c:v>
                </c:pt>
                <c:pt idx="784">
                  <c:v>7/3/2024</c:v>
                </c:pt>
                <c:pt idx="785">
                  <c:v>8/3/2024</c:v>
                </c:pt>
                <c:pt idx="786">
                  <c:v>9/3/2024</c:v>
                </c:pt>
                <c:pt idx="787">
                  <c:v>10/3/2024</c:v>
                </c:pt>
                <c:pt idx="788">
                  <c:v>11/3/2024</c:v>
                </c:pt>
                <c:pt idx="789">
                  <c:v>12/3/2024</c:v>
                </c:pt>
                <c:pt idx="790">
                  <c:v>13/3/2024</c:v>
                </c:pt>
                <c:pt idx="791">
                  <c:v>14/3/2024</c:v>
                </c:pt>
                <c:pt idx="792">
                  <c:v>15/3/2024</c:v>
                </c:pt>
                <c:pt idx="793">
                  <c:v>16/3/2024</c:v>
                </c:pt>
                <c:pt idx="794">
                  <c:v>17/3/2024</c:v>
                </c:pt>
                <c:pt idx="795">
                  <c:v>18/3/2024</c:v>
                </c:pt>
                <c:pt idx="796">
                  <c:v>19/3/2024</c:v>
                </c:pt>
                <c:pt idx="797">
                  <c:v>20/3/2024</c:v>
                </c:pt>
                <c:pt idx="798">
                  <c:v>21/3/2024</c:v>
                </c:pt>
                <c:pt idx="799">
                  <c:v>22/3/2024</c:v>
                </c:pt>
                <c:pt idx="800">
                  <c:v>23/3/2024</c:v>
                </c:pt>
                <c:pt idx="801">
                  <c:v>24/3/2024</c:v>
                </c:pt>
                <c:pt idx="802">
                  <c:v>25/3/2024</c:v>
                </c:pt>
                <c:pt idx="803">
                  <c:v>26/3/2024</c:v>
                </c:pt>
                <c:pt idx="804">
                  <c:v>27/3/2024</c:v>
                </c:pt>
                <c:pt idx="805">
                  <c:v>28/3/2024</c:v>
                </c:pt>
                <c:pt idx="806">
                  <c:v>29/3/2024</c:v>
                </c:pt>
                <c:pt idx="807">
                  <c:v>30/3/2024</c:v>
                </c:pt>
                <c:pt idx="808">
                  <c:v>31/3/2024</c:v>
                </c:pt>
                <c:pt idx="809">
                  <c:v>1/4/2024</c:v>
                </c:pt>
                <c:pt idx="810">
                  <c:v>2/4/2024</c:v>
                </c:pt>
                <c:pt idx="811">
                  <c:v>3/4/2024</c:v>
                </c:pt>
                <c:pt idx="812">
                  <c:v>4/4/2024</c:v>
                </c:pt>
                <c:pt idx="813">
                  <c:v>5/4/2024</c:v>
                </c:pt>
                <c:pt idx="814">
                  <c:v>6/4/2024</c:v>
                </c:pt>
                <c:pt idx="815">
                  <c:v>7/4/2024</c:v>
                </c:pt>
                <c:pt idx="816">
                  <c:v>8/4/2024</c:v>
                </c:pt>
                <c:pt idx="817">
                  <c:v>9/4/2024</c:v>
                </c:pt>
                <c:pt idx="818">
                  <c:v>10/4/2024</c:v>
                </c:pt>
                <c:pt idx="819">
                  <c:v>11/4/2024</c:v>
                </c:pt>
                <c:pt idx="820">
                  <c:v>12/4/2024</c:v>
                </c:pt>
                <c:pt idx="821">
                  <c:v>13/4/2024</c:v>
                </c:pt>
                <c:pt idx="822">
                  <c:v>14/4/2024</c:v>
                </c:pt>
                <c:pt idx="823">
                  <c:v>15/4/2024</c:v>
                </c:pt>
                <c:pt idx="824">
                  <c:v>16/4/2024</c:v>
                </c:pt>
                <c:pt idx="825">
                  <c:v>17/4/2024</c:v>
                </c:pt>
                <c:pt idx="826">
                  <c:v>18/4/2024</c:v>
                </c:pt>
                <c:pt idx="827">
                  <c:v>19/4/2024</c:v>
                </c:pt>
                <c:pt idx="828">
                  <c:v>20/4/2024</c:v>
                </c:pt>
                <c:pt idx="829">
                  <c:v>21/4/2024</c:v>
                </c:pt>
                <c:pt idx="830">
                  <c:v>22/4/2024</c:v>
                </c:pt>
                <c:pt idx="831">
                  <c:v>23/4/2024</c:v>
                </c:pt>
                <c:pt idx="832">
                  <c:v>24/4/2024</c:v>
                </c:pt>
                <c:pt idx="833">
                  <c:v>25/4/2024</c:v>
                </c:pt>
                <c:pt idx="834">
                  <c:v>26/4/2024</c:v>
                </c:pt>
                <c:pt idx="835">
                  <c:v>27/4/2024</c:v>
                </c:pt>
                <c:pt idx="836">
                  <c:v>28/4/2024</c:v>
                </c:pt>
                <c:pt idx="837">
                  <c:v>29/4/2024</c:v>
                </c:pt>
                <c:pt idx="838">
                  <c:v>30/4/2024</c:v>
                </c:pt>
                <c:pt idx="839">
                  <c:v>1/5/2024</c:v>
                </c:pt>
                <c:pt idx="840">
                  <c:v>2/5/2024</c:v>
                </c:pt>
                <c:pt idx="841">
                  <c:v>3/5/2024</c:v>
                </c:pt>
                <c:pt idx="842">
                  <c:v>4/5/2024</c:v>
                </c:pt>
                <c:pt idx="843">
                  <c:v>5/5/2024</c:v>
                </c:pt>
                <c:pt idx="844">
                  <c:v>6/5/2024</c:v>
                </c:pt>
                <c:pt idx="845">
                  <c:v>7/5/2024</c:v>
                </c:pt>
                <c:pt idx="846">
                  <c:v>8/5/2024</c:v>
                </c:pt>
                <c:pt idx="847">
                  <c:v>9/5/2024</c:v>
                </c:pt>
                <c:pt idx="848">
                  <c:v>10/5/2024</c:v>
                </c:pt>
                <c:pt idx="849">
                  <c:v>11/5/2024</c:v>
                </c:pt>
                <c:pt idx="850">
                  <c:v>12/5/2024</c:v>
                </c:pt>
                <c:pt idx="851">
                  <c:v>13/5/2024</c:v>
                </c:pt>
                <c:pt idx="852">
                  <c:v>14/5/2024</c:v>
                </c:pt>
                <c:pt idx="853">
                  <c:v>15/5/2024</c:v>
                </c:pt>
                <c:pt idx="854">
                  <c:v>16/5/2024</c:v>
                </c:pt>
                <c:pt idx="855">
                  <c:v>17/5/2024</c:v>
                </c:pt>
                <c:pt idx="856">
                  <c:v>18/5/2024</c:v>
                </c:pt>
                <c:pt idx="857">
                  <c:v>19/5/2024</c:v>
                </c:pt>
                <c:pt idx="858">
                  <c:v>20/5/2024</c:v>
                </c:pt>
                <c:pt idx="859">
                  <c:v>21/5/2024</c:v>
                </c:pt>
                <c:pt idx="860">
                  <c:v>22/5/2024</c:v>
                </c:pt>
                <c:pt idx="861">
                  <c:v>23/5/2024</c:v>
                </c:pt>
                <c:pt idx="862">
                  <c:v>24/5/2024</c:v>
                </c:pt>
                <c:pt idx="863">
                  <c:v>25/5/2024</c:v>
                </c:pt>
                <c:pt idx="864">
                  <c:v>26/5/2024</c:v>
                </c:pt>
                <c:pt idx="865">
                  <c:v>27/5/2024</c:v>
                </c:pt>
                <c:pt idx="866">
                  <c:v>28/5/2024</c:v>
                </c:pt>
                <c:pt idx="867">
                  <c:v>29/5/2024</c:v>
                </c:pt>
                <c:pt idx="868">
                  <c:v>30/5/2024</c:v>
                </c:pt>
                <c:pt idx="869">
                  <c:v>31/5/2024</c:v>
                </c:pt>
                <c:pt idx="870">
                  <c:v>1/6/2024</c:v>
                </c:pt>
                <c:pt idx="871">
                  <c:v>2/6/2024</c:v>
                </c:pt>
                <c:pt idx="872">
                  <c:v>3/6/2024</c:v>
                </c:pt>
                <c:pt idx="873">
                  <c:v>4/6/2024</c:v>
                </c:pt>
                <c:pt idx="874">
                  <c:v>5/6/2024</c:v>
                </c:pt>
                <c:pt idx="875">
                  <c:v>6/6/2024</c:v>
                </c:pt>
                <c:pt idx="876">
                  <c:v>7/6/2024</c:v>
                </c:pt>
                <c:pt idx="877">
                  <c:v>8/6/2024</c:v>
                </c:pt>
                <c:pt idx="878">
                  <c:v>9/6/2024</c:v>
                </c:pt>
                <c:pt idx="879">
                  <c:v>10/6/2024</c:v>
                </c:pt>
                <c:pt idx="880">
                  <c:v>11/6/2024</c:v>
                </c:pt>
                <c:pt idx="881">
                  <c:v>12/6/2024</c:v>
                </c:pt>
                <c:pt idx="882">
                  <c:v>13/6/2024</c:v>
                </c:pt>
                <c:pt idx="883">
                  <c:v>14/6/2024</c:v>
                </c:pt>
                <c:pt idx="884">
                  <c:v>15/6/2024</c:v>
                </c:pt>
                <c:pt idx="885">
                  <c:v>16/6/2024</c:v>
                </c:pt>
                <c:pt idx="886">
                  <c:v>17/6/2024</c:v>
                </c:pt>
                <c:pt idx="887">
                  <c:v>18/6/2024</c:v>
                </c:pt>
                <c:pt idx="888">
                  <c:v>19/6/2024</c:v>
                </c:pt>
                <c:pt idx="889">
                  <c:v>20/6/2024</c:v>
                </c:pt>
                <c:pt idx="890">
                  <c:v>21/6/2024</c:v>
                </c:pt>
                <c:pt idx="891">
                  <c:v>22/6/2024</c:v>
                </c:pt>
                <c:pt idx="892">
                  <c:v>23/6/2024</c:v>
                </c:pt>
                <c:pt idx="893">
                  <c:v>24/6/2024</c:v>
                </c:pt>
                <c:pt idx="894">
                  <c:v>25/6/2024</c:v>
                </c:pt>
                <c:pt idx="895">
                  <c:v>26/6/2024</c:v>
                </c:pt>
                <c:pt idx="896">
                  <c:v>27/6/2024</c:v>
                </c:pt>
                <c:pt idx="897">
                  <c:v>28/6/2024</c:v>
                </c:pt>
                <c:pt idx="898">
                  <c:v>29/6/2024</c:v>
                </c:pt>
                <c:pt idx="899">
                  <c:v>30/6/2024</c:v>
                </c:pt>
                <c:pt idx="900">
                  <c:v>1/7/2024</c:v>
                </c:pt>
                <c:pt idx="901">
                  <c:v>2/7/2024</c:v>
                </c:pt>
                <c:pt idx="902">
                  <c:v>3/7/2024</c:v>
                </c:pt>
                <c:pt idx="903">
                  <c:v>4/7/2024</c:v>
                </c:pt>
                <c:pt idx="904">
                  <c:v>5/7/2024</c:v>
                </c:pt>
                <c:pt idx="905">
                  <c:v>6/7/2024</c:v>
                </c:pt>
                <c:pt idx="906">
                  <c:v>7/7/2024</c:v>
                </c:pt>
                <c:pt idx="907">
                  <c:v>8/7/2024</c:v>
                </c:pt>
                <c:pt idx="908">
                  <c:v>9/7/2024</c:v>
                </c:pt>
                <c:pt idx="909">
                  <c:v>10/7/2024</c:v>
                </c:pt>
                <c:pt idx="910">
                  <c:v>11/7/2024</c:v>
                </c:pt>
                <c:pt idx="911">
                  <c:v>12/7/2024</c:v>
                </c:pt>
                <c:pt idx="912">
                  <c:v>13/7/2024</c:v>
                </c:pt>
                <c:pt idx="913">
                  <c:v>14/7/2024</c:v>
                </c:pt>
                <c:pt idx="914">
                  <c:v>15/7/2024</c:v>
                </c:pt>
                <c:pt idx="915">
                  <c:v>16/7/2024</c:v>
                </c:pt>
                <c:pt idx="916">
                  <c:v>17/7/2024</c:v>
                </c:pt>
                <c:pt idx="917">
                  <c:v>18/7/2024</c:v>
                </c:pt>
                <c:pt idx="918">
                  <c:v>19/7/2024</c:v>
                </c:pt>
                <c:pt idx="919">
                  <c:v>20/7/2024</c:v>
                </c:pt>
                <c:pt idx="920">
                  <c:v>21/7/2024</c:v>
                </c:pt>
                <c:pt idx="921">
                  <c:v>22/7/2024</c:v>
                </c:pt>
                <c:pt idx="922">
                  <c:v>23/7/2024</c:v>
                </c:pt>
                <c:pt idx="923">
                  <c:v>24/7/2024</c:v>
                </c:pt>
                <c:pt idx="924">
                  <c:v>25/7/2024</c:v>
                </c:pt>
                <c:pt idx="925">
                  <c:v>26/7/2024</c:v>
                </c:pt>
                <c:pt idx="926">
                  <c:v>27/7/2024</c:v>
                </c:pt>
                <c:pt idx="927">
                  <c:v>28/7/2024</c:v>
                </c:pt>
                <c:pt idx="928">
                  <c:v>29/7/2024</c:v>
                </c:pt>
                <c:pt idx="929">
                  <c:v>30/7/2024</c:v>
                </c:pt>
                <c:pt idx="930">
                  <c:v>31/7/2024</c:v>
                </c:pt>
                <c:pt idx="931">
                  <c:v>1/8/2024</c:v>
                </c:pt>
                <c:pt idx="932">
                  <c:v>2/8/2024</c:v>
                </c:pt>
                <c:pt idx="933">
                  <c:v>3/8/2024</c:v>
                </c:pt>
                <c:pt idx="934">
                  <c:v>4/8/2024</c:v>
                </c:pt>
                <c:pt idx="935">
                  <c:v>5/8/2024</c:v>
                </c:pt>
                <c:pt idx="936">
                  <c:v>6/8/2024</c:v>
                </c:pt>
                <c:pt idx="937">
                  <c:v>7/8/2024</c:v>
                </c:pt>
                <c:pt idx="938">
                  <c:v>8/8/2024</c:v>
                </c:pt>
                <c:pt idx="939">
                  <c:v>9/8/2024</c:v>
                </c:pt>
                <c:pt idx="940">
                  <c:v>10/8/2024</c:v>
                </c:pt>
                <c:pt idx="941">
                  <c:v>11/8/2024</c:v>
                </c:pt>
                <c:pt idx="942">
                  <c:v>12/8/2024</c:v>
                </c:pt>
                <c:pt idx="943">
                  <c:v>13/8/2024</c:v>
                </c:pt>
                <c:pt idx="944">
                  <c:v>14/8/2024</c:v>
                </c:pt>
                <c:pt idx="945">
                  <c:v>15/8/2024</c:v>
                </c:pt>
                <c:pt idx="946">
                  <c:v>16/8/2024</c:v>
                </c:pt>
                <c:pt idx="947">
                  <c:v>17/8/2024</c:v>
                </c:pt>
                <c:pt idx="948">
                  <c:v>18/8/2024</c:v>
                </c:pt>
                <c:pt idx="949">
                  <c:v>19/8/2024</c:v>
                </c:pt>
                <c:pt idx="950">
                  <c:v>20/8/2024</c:v>
                </c:pt>
                <c:pt idx="951">
                  <c:v>21/8/2024</c:v>
                </c:pt>
                <c:pt idx="952">
                  <c:v>22/8/2024</c:v>
                </c:pt>
                <c:pt idx="953">
                  <c:v>23/8/2024</c:v>
                </c:pt>
                <c:pt idx="954">
                  <c:v>24/8/2024</c:v>
                </c:pt>
                <c:pt idx="955">
                  <c:v>25/8/2024</c:v>
                </c:pt>
                <c:pt idx="956">
                  <c:v>26/8/2024</c:v>
                </c:pt>
                <c:pt idx="957">
                  <c:v>27/8/2024</c:v>
                </c:pt>
                <c:pt idx="958">
                  <c:v>28/8/2024</c:v>
                </c:pt>
                <c:pt idx="959">
                  <c:v>29/8/2024</c:v>
                </c:pt>
                <c:pt idx="960">
                  <c:v>30/8/2024</c:v>
                </c:pt>
                <c:pt idx="961">
                  <c:v>31/8/2024</c:v>
                </c:pt>
                <c:pt idx="962">
                  <c:v>1/9/2024</c:v>
                </c:pt>
                <c:pt idx="963">
                  <c:v>2/9/2024</c:v>
                </c:pt>
                <c:pt idx="964">
                  <c:v>3/9/2024</c:v>
                </c:pt>
                <c:pt idx="965">
                  <c:v>4/9/2024</c:v>
                </c:pt>
                <c:pt idx="966">
                  <c:v>5/9/2024</c:v>
                </c:pt>
                <c:pt idx="967">
                  <c:v>6/9/2024</c:v>
                </c:pt>
                <c:pt idx="968">
                  <c:v>7/9/2024</c:v>
                </c:pt>
                <c:pt idx="969">
                  <c:v>8/9/2024</c:v>
                </c:pt>
                <c:pt idx="970">
                  <c:v>9/9/2024</c:v>
                </c:pt>
                <c:pt idx="971">
                  <c:v>10/9/2024</c:v>
                </c:pt>
                <c:pt idx="972">
                  <c:v>11/9/2024</c:v>
                </c:pt>
                <c:pt idx="973">
                  <c:v>12/9/2024</c:v>
                </c:pt>
                <c:pt idx="974">
                  <c:v>13/9/2024</c:v>
                </c:pt>
                <c:pt idx="975">
                  <c:v>14/9/2024</c:v>
                </c:pt>
                <c:pt idx="976">
                  <c:v>15/9/2024</c:v>
                </c:pt>
                <c:pt idx="977">
                  <c:v>16/9/2024</c:v>
                </c:pt>
                <c:pt idx="978">
                  <c:v>17/9/2024</c:v>
                </c:pt>
                <c:pt idx="979">
                  <c:v>18/9/2024</c:v>
                </c:pt>
                <c:pt idx="980">
                  <c:v>19/9/2024</c:v>
                </c:pt>
                <c:pt idx="981">
                  <c:v>20/9/2024</c:v>
                </c:pt>
                <c:pt idx="982">
                  <c:v>21/9/2024</c:v>
                </c:pt>
                <c:pt idx="983">
                  <c:v>22/9/2024</c:v>
                </c:pt>
                <c:pt idx="984">
                  <c:v>23/9/2024</c:v>
                </c:pt>
                <c:pt idx="985">
                  <c:v>24/9/2024</c:v>
                </c:pt>
                <c:pt idx="986">
                  <c:v>25/9/2024</c:v>
                </c:pt>
                <c:pt idx="987">
                  <c:v>26/9/2024</c:v>
                </c:pt>
                <c:pt idx="988">
                  <c:v>27/9/2024</c:v>
                </c:pt>
                <c:pt idx="989">
                  <c:v>28/9/2024</c:v>
                </c:pt>
                <c:pt idx="990">
                  <c:v>29/9/2024</c:v>
                </c:pt>
                <c:pt idx="991">
                  <c:v>30/9/2024</c:v>
                </c:pt>
                <c:pt idx="992">
                  <c:v>1/10/2024</c:v>
                </c:pt>
                <c:pt idx="993">
                  <c:v>2/10/2024</c:v>
                </c:pt>
                <c:pt idx="994">
                  <c:v>3/10/2024</c:v>
                </c:pt>
                <c:pt idx="995">
                  <c:v>4/10/2024</c:v>
                </c:pt>
                <c:pt idx="996">
                  <c:v>5/10/2024</c:v>
                </c:pt>
                <c:pt idx="997">
                  <c:v>6/10/2024</c:v>
                </c:pt>
                <c:pt idx="998">
                  <c:v>7/10/2024</c:v>
                </c:pt>
                <c:pt idx="999">
                  <c:v>8/10/2024</c:v>
                </c:pt>
                <c:pt idx="1000">
                  <c:v>9/10/2024</c:v>
                </c:pt>
                <c:pt idx="1001">
                  <c:v>10/10/2024</c:v>
                </c:pt>
                <c:pt idx="1002">
                  <c:v>11/10/2024</c:v>
                </c:pt>
                <c:pt idx="1003">
                  <c:v>12/10/2024</c:v>
                </c:pt>
                <c:pt idx="1004">
                  <c:v>13/10/2024</c:v>
                </c:pt>
                <c:pt idx="1005">
                  <c:v>14/10/2024</c:v>
                </c:pt>
                <c:pt idx="1006">
                  <c:v>15/10/2024</c:v>
                </c:pt>
                <c:pt idx="1007">
                  <c:v>16/10/2024</c:v>
                </c:pt>
                <c:pt idx="1008">
                  <c:v>17/10/2024</c:v>
                </c:pt>
                <c:pt idx="1009">
                  <c:v>18/10/2024</c:v>
                </c:pt>
                <c:pt idx="1010">
                  <c:v>19/10/2024</c:v>
                </c:pt>
                <c:pt idx="1011">
                  <c:v>20/10/2024</c:v>
                </c:pt>
                <c:pt idx="1012">
                  <c:v>21/10/2024</c:v>
                </c:pt>
                <c:pt idx="1013">
                  <c:v>22/10/2024</c:v>
                </c:pt>
                <c:pt idx="1014">
                  <c:v>23/10/2024</c:v>
                </c:pt>
                <c:pt idx="1015">
                  <c:v>24/10/2024</c:v>
                </c:pt>
                <c:pt idx="1016">
                  <c:v>25/10/2024</c:v>
                </c:pt>
                <c:pt idx="1017">
                  <c:v>26/10/2024</c:v>
                </c:pt>
                <c:pt idx="1018">
                  <c:v>27/10/2024</c:v>
                </c:pt>
                <c:pt idx="1019">
                  <c:v>28/10/2024</c:v>
                </c:pt>
                <c:pt idx="1020">
                  <c:v>29/10/2024</c:v>
                </c:pt>
                <c:pt idx="1021">
                  <c:v>30/10/2024</c:v>
                </c:pt>
                <c:pt idx="1022">
                  <c:v>31/10/2024</c:v>
                </c:pt>
                <c:pt idx="1023">
                  <c:v>1/11/2024</c:v>
                </c:pt>
                <c:pt idx="1024">
                  <c:v>2/11/2024</c:v>
                </c:pt>
                <c:pt idx="1025">
                  <c:v>3/11/2024</c:v>
                </c:pt>
                <c:pt idx="1026">
                  <c:v>4/11/2024</c:v>
                </c:pt>
                <c:pt idx="1027">
                  <c:v>5/11/2024</c:v>
                </c:pt>
                <c:pt idx="1028">
                  <c:v>6/11/2024</c:v>
                </c:pt>
                <c:pt idx="1029">
                  <c:v>7/11/2024</c:v>
                </c:pt>
                <c:pt idx="1030">
                  <c:v>8/11/2024</c:v>
                </c:pt>
                <c:pt idx="1031">
                  <c:v>9/11/2024</c:v>
                </c:pt>
                <c:pt idx="1032">
                  <c:v>10/11/2024</c:v>
                </c:pt>
                <c:pt idx="1033">
                  <c:v>11/11/2024</c:v>
                </c:pt>
                <c:pt idx="1034">
                  <c:v>12/11/2024</c:v>
                </c:pt>
                <c:pt idx="1035">
                  <c:v>13/11/2024</c:v>
                </c:pt>
                <c:pt idx="1036">
                  <c:v>14/11/2024</c:v>
                </c:pt>
                <c:pt idx="1037">
                  <c:v>15/11/2024</c:v>
                </c:pt>
                <c:pt idx="1038">
                  <c:v>16/11/2024</c:v>
                </c:pt>
                <c:pt idx="1039">
                  <c:v>17/11/2024</c:v>
                </c:pt>
                <c:pt idx="1040">
                  <c:v>18/11/2024</c:v>
                </c:pt>
                <c:pt idx="1041">
                  <c:v>19/11/2024</c:v>
                </c:pt>
                <c:pt idx="1042">
                  <c:v>20/11/2024</c:v>
                </c:pt>
                <c:pt idx="1043">
                  <c:v>21/11/2024</c:v>
                </c:pt>
                <c:pt idx="1044">
                  <c:v>22/11/2024</c:v>
                </c:pt>
                <c:pt idx="1045">
                  <c:v>23/11/2024</c:v>
                </c:pt>
                <c:pt idx="1046">
                  <c:v>24/11/2024</c:v>
                </c:pt>
                <c:pt idx="1047">
                  <c:v>25/11/2024</c:v>
                </c:pt>
                <c:pt idx="1048">
                  <c:v>26/11/2024</c:v>
                </c:pt>
                <c:pt idx="1049">
                  <c:v>27/11/2024</c:v>
                </c:pt>
                <c:pt idx="1050">
                  <c:v>28/11/2024</c:v>
                </c:pt>
                <c:pt idx="1051">
                  <c:v>29/11/2024</c:v>
                </c:pt>
                <c:pt idx="1052">
                  <c:v>30/11/2024</c:v>
                </c:pt>
                <c:pt idx="1053">
                  <c:v>1/12/2024</c:v>
                </c:pt>
                <c:pt idx="1054">
                  <c:v>2/12/2024</c:v>
                </c:pt>
                <c:pt idx="1055">
                  <c:v>3/12/2024</c:v>
                </c:pt>
                <c:pt idx="1056">
                  <c:v>4/12/2024</c:v>
                </c:pt>
                <c:pt idx="1057">
                  <c:v>5/12/2024</c:v>
                </c:pt>
                <c:pt idx="1058">
                  <c:v>6/12/2024</c:v>
                </c:pt>
                <c:pt idx="1059">
                  <c:v>7/12/2024</c:v>
                </c:pt>
                <c:pt idx="1060">
                  <c:v>8/12/2024</c:v>
                </c:pt>
                <c:pt idx="1061">
                  <c:v>9/12/2024</c:v>
                </c:pt>
                <c:pt idx="1062">
                  <c:v>10/12/2024</c:v>
                </c:pt>
                <c:pt idx="1063">
                  <c:v>11/12/2024</c:v>
                </c:pt>
                <c:pt idx="1064">
                  <c:v>12/12/2024</c:v>
                </c:pt>
                <c:pt idx="1065">
                  <c:v>13/12/2024</c:v>
                </c:pt>
                <c:pt idx="1066">
                  <c:v>14/12/2024</c:v>
                </c:pt>
                <c:pt idx="1067">
                  <c:v>15/12/2024</c:v>
                </c:pt>
                <c:pt idx="1068">
                  <c:v>16/12/2024</c:v>
                </c:pt>
                <c:pt idx="1069">
                  <c:v>17/12/2024</c:v>
                </c:pt>
                <c:pt idx="1070">
                  <c:v>18/12/2024</c:v>
                </c:pt>
                <c:pt idx="1071">
                  <c:v>19/12/2024</c:v>
                </c:pt>
                <c:pt idx="1072">
                  <c:v>20/12/2024</c:v>
                </c:pt>
                <c:pt idx="1073">
                  <c:v>21/12/2024</c:v>
                </c:pt>
                <c:pt idx="1074">
                  <c:v>22/12/2024</c:v>
                </c:pt>
                <c:pt idx="1075">
                  <c:v>23/12/2024</c:v>
                </c:pt>
                <c:pt idx="1076">
                  <c:v>24/12/2024</c:v>
                </c:pt>
                <c:pt idx="1077">
                  <c:v>25/12/2024</c:v>
                </c:pt>
                <c:pt idx="1078">
                  <c:v>26/12/2024</c:v>
                </c:pt>
                <c:pt idx="1079">
                  <c:v>27/12/2024</c:v>
                </c:pt>
                <c:pt idx="1080">
                  <c:v>28/12/2024</c:v>
                </c:pt>
                <c:pt idx="1081">
                  <c:v>29/12/2024</c:v>
                </c:pt>
                <c:pt idx="1082">
                  <c:v>30/12/2024</c:v>
                </c:pt>
                <c:pt idx="1083">
                  <c:v>31/12/2024</c:v>
                </c:pt>
                <c:pt idx="1084">
                  <c:v>1/1/2025</c:v>
                </c:pt>
                <c:pt idx="1085">
                  <c:v>2/1/2025</c:v>
                </c:pt>
                <c:pt idx="1086">
                  <c:v>3/1/2025</c:v>
                </c:pt>
                <c:pt idx="1087">
                  <c:v>4/1/2025</c:v>
                </c:pt>
                <c:pt idx="1088">
                  <c:v>5/1/2025</c:v>
                </c:pt>
                <c:pt idx="1089">
                  <c:v>6/1/2025</c:v>
                </c:pt>
                <c:pt idx="1090">
                  <c:v>7/1/2025</c:v>
                </c:pt>
                <c:pt idx="1091">
                  <c:v>8/1/2025</c:v>
                </c:pt>
                <c:pt idx="1092">
                  <c:v>9/1/2025</c:v>
                </c:pt>
                <c:pt idx="1093">
                  <c:v>10/1/2025</c:v>
                </c:pt>
                <c:pt idx="1094">
                  <c:v>11/1/2025</c:v>
                </c:pt>
                <c:pt idx="1095">
                  <c:v>12/1/2025</c:v>
                </c:pt>
                <c:pt idx="1096">
                  <c:v>13/1/2025</c:v>
                </c:pt>
                <c:pt idx="1097">
                  <c:v>14/1/2025</c:v>
                </c:pt>
                <c:pt idx="1098">
                  <c:v>15/1/2025</c:v>
                </c:pt>
                <c:pt idx="1099">
                  <c:v>16/1/2025</c:v>
                </c:pt>
                <c:pt idx="1100">
                  <c:v>17/1/2025</c:v>
                </c:pt>
                <c:pt idx="1101">
                  <c:v>18/1/2025</c:v>
                </c:pt>
                <c:pt idx="1102">
                  <c:v>19/1/2025</c:v>
                </c:pt>
                <c:pt idx="1103">
                  <c:v>20/1/2025</c:v>
                </c:pt>
                <c:pt idx="1104">
                  <c:v>21/1/2025</c:v>
                </c:pt>
                <c:pt idx="1105">
                  <c:v>22/1/2025</c:v>
                </c:pt>
                <c:pt idx="1106">
                  <c:v>23/1/2025</c:v>
                </c:pt>
                <c:pt idx="1107">
                  <c:v>24/1/2025</c:v>
                </c:pt>
                <c:pt idx="1108">
                  <c:v>25/1/2025</c:v>
                </c:pt>
                <c:pt idx="1109">
                  <c:v>26/1/2025</c:v>
                </c:pt>
                <c:pt idx="1110">
                  <c:v>27/1/2025</c:v>
                </c:pt>
                <c:pt idx="1111">
                  <c:v>28/1/2025</c:v>
                </c:pt>
                <c:pt idx="1112">
                  <c:v>29/1/2025</c:v>
                </c:pt>
                <c:pt idx="1113">
                  <c:v>30/1/2025</c:v>
                </c:pt>
                <c:pt idx="1114">
                  <c:v>31/1/2025</c:v>
                </c:pt>
                <c:pt idx="1115">
                  <c:v>1/2/2025</c:v>
                </c:pt>
                <c:pt idx="1116">
                  <c:v>2/2/2025</c:v>
                </c:pt>
                <c:pt idx="1117">
                  <c:v>3/2/2025</c:v>
                </c:pt>
                <c:pt idx="1118">
                  <c:v>4/2/2025</c:v>
                </c:pt>
                <c:pt idx="1119">
                  <c:v>5/2/2025</c:v>
                </c:pt>
                <c:pt idx="1120">
                  <c:v>6/2/2025</c:v>
                </c:pt>
                <c:pt idx="1121">
                  <c:v>7/2/2025</c:v>
                </c:pt>
                <c:pt idx="1122">
                  <c:v>8/2/2025</c:v>
                </c:pt>
                <c:pt idx="1123">
                  <c:v>9/2/2025</c:v>
                </c:pt>
                <c:pt idx="1124">
                  <c:v>10/2/2025</c:v>
                </c:pt>
                <c:pt idx="1125">
                  <c:v>11/2/2025</c:v>
                </c:pt>
                <c:pt idx="1126">
                  <c:v>12/2/2025</c:v>
                </c:pt>
                <c:pt idx="1127">
                  <c:v>13/2/2025</c:v>
                </c:pt>
                <c:pt idx="1128">
                  <c:v>14/2/2025</c:v>
                </c:pt>
                <c:pt idx="1129">
                  <c:v>15/2/2025</c:v>
                </c:pt>
                <c:pt idx="1130">
                  <c:v>16/2/2025</c:v>
                </c:pt>
                <c:pt idx="1131">
                  <c:v>17/2/2025</c:v>
                </c:pt>
                <c:pt idx="1132">
                  <c:v>18/2/2025</c:v>
                </c:pt>
                <c:pt idx="1133">
                  <c:v>19/2/2025</c:v>
                </c:pt>
                <c:pt idx="1134">
                  <c:v>20/2/2025</c:v>
                </c:pt>
                <c:pt idx="1135">
                  <c:v>21/2/2025</c:v>
                </c:pt>
                <c:pt idx="1136">
                  <c:v>22/2/2025</c:v>
                </c:pt>
                <c:pt idx="1137">
                  <c:v>23/2/2025</c:v>
                </c:pt>
                <c:pt idx="1138">
                  <c:v>24/2/2025</c:v>
                </c:pt>
                <c:pt idx="1139">
                  <c:v>25/2/2025</c:v>
                </c:pt>
                <c:pt idx="1140">
                  <c:v>26/2/2025</c:v>
                </c:pt>
                <c:pt idx="1141">
                  <c:v>27/2/2025</c:v>
                </c:pt>
                <c:pt idx="1142">
                  <c:v>28/2/2025</c:v>
                </c:pt>
                <c:pt idx="1143">
                  <c:v>1/3/2025</c:v>
                </c:pt>
                <c:pt idx="1144">
                  <c:v>2/3/2025</c:v>
                </c:pt>
                <c:pt idx="1145">
                  <c:v>3/3/2025</c:v>
                </c:pt>
                <c:pt idx="1146">
                  <c:v>4/3/2025</c:v>
                </c:pt>
                <c:pt idx="1147">
                  <c:v>5/3/2025</c:v>
                </c:pt>
                <c:pt idx="1148">
                  <c:v>6/3/2025</c:v>
                </c:pt>
                <c:pt idx="1149">
                  <c:v>7/3/2025</c:v>
                </c:pt>
                <c:pt idx="1150">
                  <c:v>8/3/2025</c:v>
                </c:pt>
                <c:pt idx="1151">
                  <c:v>9/3/2025</c:v>
                </c:pt>
                <c:pt idx="1152">
                  <c:v>10/3/2025</c:v>
                </c:pt>
                <c:pt idx="1153">
                  <c:v>11/3/2025</c:v>
                </c:pt>
                <c:pt idx="1154">
                  <c:v>12/3/2025</c:v>
                </c:pt>
                <c:pt idx="1155">
                  <c:v>13/3/2025</c:v>
                </c:pt>
                <c:pt idx="1156">
                  <c:v>14/3/2025</c:v>
                </c:pt>
                <c:pt idx="1157">
                  <c:v>15/3/2025</c:v>
                </c:pt>
                <c:pt idx="1158">
                  <c:v>16/3/2025</c:v>
                </c:pt>
                <c:pt idx="1159">
                  <c:v>17/3/2025</c:v>
                </c:pt>
                <c:pt idx="1160">
                  <c:v>18/3/2025</c:v>
                </c:pt>
                <c:pt idx="1161">
                  <c:v>19/3/2025</c:v>
                </c:pt>
                <c:pt idx="1162">
                  <c:v>20/3/2025</c:v>
                </c:pt>
                <c:pt idx="1163">
                  <c:v>21/3/2025</c:v>
                </c:pt>
                <c:pt idx="1164">
                  <c:v>22/3/2025</c:v>
                </c:pt>
                <c:pt idx="1165">
                  <c:v>23/3/2025</c:v>
                </c:pt>
                <c:pt idx="1166">
                  <c:v>24/3/2025</c:v>
                </c:pt>
                <c:pt idx="1167">
                  <c:v>25/3/2025</c:v>
                </c:pt>
                <c:pt idx="1168">
                  <c:v>26/3/2025</c:v>
                </c:pt>
                <c:pt idx="1169">
                  <c:v>27/3/2025</c:v>
                </c:pt>
                <c:pt idx="1170">
                  <c:v>28/3/2025</c:v>
                </c:pt>
                <c:pt idx="1171">
                  <c:v>29/3/2025</c:v>
                </c:pt>
                <c:pt idx="1172">
                  <c:v>30/3/2025</c:v>
                </c:pt>
                <c:pt idx="1173">
                  <c:v>31/3/2025</c:v>
                </c:pt>
                <c:pt idx="1174">
                  <c:v>1/4/2025</c:v>
                </c:pt>
                <c:pt idx="1175">
                  <c:v>2/4/2025</c:v>
                </c:pt>
                <c:pt idx="1176">
                  <c:v>3/4/2025</c:v>
                </c:pt>
                <c:pt idx="1177">
                  <c:v>4/4/2025</c:v>
                </c:pt>
                <c:pt idx="1178">
                  <c:v>5/4/2025</c:v>
                </c:pt>
                <c:pt idx="1179">
                  <c:v>6/4/2025</c:v>
                </c:pt>
                <c:pt idx="1180">
                  <c:v>7/4/2025</c:v>
                </c:pt>
                <c:pt idx="1181">
                  <c:v>8/4/2025</c:v>
                </c:pt>
                <c:pt idx="1182">
                  <c:v>9/4/2025</c:v>
                </c:pt>
                <c:pt idx="1183">
                  <c:v>10/4/2025</c:v>
                </c:pt>
                <c:pt idx="1184">
                  <c:v>11/4/2025</c:v>
                </c:pt>
                <c:pt idx="1185">
                  <c:v>12/4/2025</c:v>
                </c:pt>
                <c:pt idx="1186">
                  <c:v>13/4/2025</c:v>
                </c:pt>
                <c:pt idx="1187">
                  <c:v>14/4/2025</c:v>
                </c:pt>
                <c:pt idx="1188">
                  <c:v>15/4/2025</c:v>
                </c:pt>
                <c:pt idx="1189">
                  <c:v>16/4/2025</c:v>
                </c:pt>
                <c:pt idx="1190">
                  <c:v>17/4/2025</c:v>
                </c:pt>
                <c:pt idx="1191">
                  <c:v>18/4/2025</c:v>
                </c:pt>
                <c:pt idx="1192">
                  <c:v>19/4/2025</c:v>
                </c:pt>
                <c:pt idx="1193">
                  <c:v>20/4/2025</c:v>
                </c:pt>
                <c:pt idx="1194">
                  <c:v>21/4/2025</c:v>
                </c:pt>
                <c:pt idx="1195">
                  <c:v>22/4/2025</c:v>
                </c:pt>
                <c:pt idx="1196">
                  <c:v>23/4/2025</c:v>
                </c:pt>
                <c:pt idx="1197">
                  <c:v>24/4/2025</c:v>
                </c:pt>
                <c:pt idx="1198">
                  <c:v>25/4/2025</c:v>
                </c:pt>
                <c:pt idx="1199">
                  <c:v>26/4/2025</c:v>
                </c:pt>
                <c:pt idx="1200">
                  <c:v>27/4/2025</c:v>
                </c:pt>
                <c:pt idx="1201">
                  <c:v>28/4/2025</c:v>
                </c:pt>
                <c:pt idx="1202">
                  <c:v>29/4/2025</c:v>
                </c:pt>
                <c:pt idx="1203">
                  <c:v>30/4/2025</c:v>
                </c:pt>
                <c:pt idx="1204">
                  <c:v>1/5/2025</c:v>
                </c:pt>
                <c:pt idx="1205">
                  <c:v>2/5/2025</c:v>
                </c:pt>
                <c:pt idx="1206">
                  <c:v>3/5/2025</c:v>
                </c:pt>
                <c:pt idx="1207">
                  <c:v>4/5/2025</c:v>
                </c:pt>
                <c:pt idx="1208">
                  <c:v>5/5/2025</c:v>
                </c:pt>
                <c:pt idx="1209">
                  <c:v>6/5/2025</c:v>
                </c:pt>
                <c:pt idx="1210">
                  <c:v>7/5/2025</c:v>
                </c:pt>
                <c:pt idx="1211">
                  <c:v>8/5/2025</c:v>
                </c:pt>
                <c:pt idx="1212">
                  <c:v>9/5/2025</c:v>
                </c:pt>
                <c:pt idx="1213">
                  <c:v>10/5/2025</c:v>
                </c:pt>
                <c:pt idx="1214">
                  <c:v>11/5/2025</c:v>
                </c:pt>
                <c:pt idx="1215">
                  <c:v>12/5/2025</c:v>
                </c:pt>
                <c:pt idx="1216">
                  <c:v>13/5/2025</c:v>
                </c:pt>
                <c:pt idx="1217">
                  <c:v>14/5/2025</c:v>
                </c:pt>
                <c:pt idx="1218">
                  <c:v>15/5/2025</c:v>
                </c:pt>
                <c:pt idx="1219">
                  <c:v>16/5/2025</c:v>
                </c:pt>
                <c:pt idx="1220">
                  <c:v>17/5/2025</c:v>
                </c:pt>
                <c:pt idx="1221">
                  <c:v>18/5/2025</c:v>
                </c:pt>
                <c:pt idx="1222">
                  <c:v>19/5/2025</c:v>
                </c:pt>
                <c:pt idx="1223">
                  <c:v>20/5/2025</c:v>
                </c:pt>
                <c:pt idx="1224">
                  <c:v>21/5/2025</c:v>
                </c:pt>
                <c:pt idx="1225">
                  <c:v>22/5/2025</c:v>
                </c:pt>
                <c:pt idx="1226">
                  <c:v>23/5/2025</c:v>
                </c:pt>
                <c:pt idx="1227">
                  <c:v>24/5/2025</c:v>
                </c:pt>
                <c:pt idx="1228">
                  <c:v>25/5/2025</c:v>
                </c:pt>
                <c:pt idx="1229">
                  <c:v>26/5/2025</c:v>
                </c:pt>
                <c:pt idx="1230">
                  <c:v>27/5/2025</c:v>
                </c:pt>
                <c:pt idx="1231">
                  <c:v>28/5/2025</c:v>
                </c:pt>
                <c:pt idx="1232">
                  <c:v>29/5/2025</c:v>
                </c:pt>
                <c:pt idx="1233">
                  <c:v>30/5/2025</c:v>
                </c:pt>
                <c:pt idx="1234">
                  <c:v>31/5/2025</c:v>
                </c:pt>
                <c:pt idx="1235">
                  <c:v>1/6/2025</c:v>
                </c:pt>
                <c:pt idx="1236">
                  <c:v>2/6/2025</c:v>
                </c:pt>
                <c:pt idx="1237">
                  <c:v>3/6/2025</c:v>
                </c:pt>
                <c:pt idx="1238">
                  <c:v>4/6/2025</c:v>
                </c:pt>
                <c:pt idx="1239">
                  <c:v>5/6/2025</c:v>
                </c:pt>
                <c:pt idx="1240">
                  <c:v>6/6/2025</c:v>
                </c:pt>
                <c:pt idx="1241">
                  <c:v>7/6/2025</c:v>
                </c:pt>
                <c:pt idx="1242">
                  <c:v>8/6/2025</c:v>
                </c:pt>
                <c:pt idx="1243">
                  <c:v>9/6/2025</c:v>
                </c:pt>
                <c:pt idx="1244">
                  <c:v>10/6/2025</c:v>
                </c:pt>
                <c:pt idx="1245">
                  <c:v>11/6/2025</c:v>
                </c:pt>
                <c:pt idx="1246">
                  <c:v>12/6/2025</c:v>
                </c:pt>
                <c:pt idx="1247">
                  <c:v>13/6/2025</c:v>
                </c:pt>
                <c:pt idx="1248">
                  <c:v>14/6/2025</c:v>
                </c:pt>
                <c:pt idx="1249">
                  <c:v>15/6/2025</c:v>
                </c:pt>
                <c:pt idx="1250">
                  <c:v>16/6/2025</c:v>
                </c:pt>
                <c:pt idx="1251">
                  <c:v>17/6/2025</c:v>
                </c:pt>
                <c:pt idx="1252">
                  <c:v>18/6/2025</c:v>
                </c:pt>
                <c:pt idx="1253">
                  <c:v>19/6/2025</c:v>
                </c:pt>
                <c:pt idx="1254">
                  <c:v>20/6/2025</c:v>
                </c:pt>
                <c:pt idx="1255">
                  <c:v>21/6/2025</c:v>
                </c:pt>
                <c:pt idx="1256">
                  <c:v>22/6/2025</c:v>
                </c:pt>
                <c:pt idx="1257">
                  <c:v>23/6/2025</c:v>
                </c:pt>
                <c:pt idx="1258">
                  <c:v>24/6/2025</c:v>
                </c:pt>
                <c:pt idx="1259">
                  <c:v>25/6/2025</c:v>
                </c:pt>
                <c:pt idx="1260">
                  <c:v>26/6/2025</c:v>
                </c:pt>
                <c:pt idx="1261">
                  <c:v>27/6/2025</c:v>
                </c:pt>
                <c:pt idx="1262">
                  <c:v>28/6/2025</c:v>
                </c:pt>
                <c:pt idx="1263">
                  <c:v>29/6/2025</c:v>
                </c:pt>
                <c:pt idx="1264">
                  <c:v>30/6/2025</c:v>
                </c:pt>
                <c:pt idx="1265">
                  <c:v>1/7/2025</c:v>
                </c:pt>
                <c:pt idx="1266">
                  <c:v>2/7/2025</c:v>
                </c:pt>
                <c:pt idx="1267">
                  <c:v>3/7/2025</c:v>
                </c:pt>
                <c:pt idx="1268">
                  <c:v>4/7/2025</c:v>
                </c:pt>
                <c:pt idx="1269">
                  <c:v>5/7/2025</c:v>
                </c:pt>
                <c:pt idx="1270">
                  <c:v>6/7/2025</c:v>
                </c:pt>
                <c:pt idx="1271">
                  <c:v>7/7/2025</c:v>
                </c:pt>
                <c:pt idx="1272">
                  <c:v>8/7/2025</c:v>
                </c:pt>
                <c:pt idx="1273">
                  <c:v>9/7/2025</c:v>
                </c:pt>
                <c:pt idx="1274">
                  <c:v>10/7/2025</c:v>
                </c:pt>
                <c:pt idx="1275">
                  <c:v>11/7/2025</c:v>
                </c:pt>
                <c:pt idx="1276">
                  <c:v>12/7/2025</c:v>
                </c:pt>
                <c:pt idx="1277">
                  <c:v>13/7/2025</c:v>
                </c:pt>
                <c:pt idx="1278">
                  <c:v>14/7/2025</c:v>
                </c:pt>
                <c:pt idx="1279">
                  <c:v>15/7/2025</c:v>
                </c:pt>
                <c:pt idx="1280">
                  <c:v>16/7/2025</c:v>
                </c:pt>
                <c:pt idx="1281">
                  <c:v>17/7/2025</c:v>
                </c:pt>
                <c:pt idx="1282">
                  <c:v>18/7/2025</c:v>
                </c:pt>
                <c:pt idx="1283">
                  <c:v>19/7/2025</c:v>
                </c:pt>
                <c:pt idx="1284">
                  <c:v>20/7/2025</c:v>
                </c:pt>
                <c:pt idx="1285">
                  <c:v>21/7/2025</c:v>
                </c:pt>
                <c:pt idx="1286">
                  <c:v>22/7/2025</c:v>
                </c:pt>
                <c:pt idx="1287">
                  <c:v>23/7/2025</c:v>
                </c:pt>
                <c:pt idx="1288">
                  <c:v>24/7/2025</c:v>
                </c:pt>
                <c:pt idx="1289">
                  <c:v>25/7/2025</c:v>
                </c:pt>
                <c:pt idx="1290">
                  <c:v>26/7/2025</c:v>
                </c:pt>
                <c:pt idx="1291">
                  <c:v>27/7/2025</c:v>
                </c:pt>
                <c:pt idx="1292">
                  <c:v>28/7/2025</c:v>
                </c:pt>
                <c:pt idx="1293">
                  <c:v>29/7/2025</c:v>
                </c:pt>
                <c:pt idx="1294">
                  <c:v>30/7/2025</c:v>
                </c:pt>
                <c:pt idx="1295">
                  <c:v>31/7/2025</c:v>
                </c:pt>
                <c:pt idx="1296">
                  <c:v>1/8/2025</c:v>
                </c:pt>
                <c:pt idx="1297">
                  <c:v>2/8/2025</c:v>
                </c:pt>
                <c:pt idx="1298">
                  <c:v>3/8/2025</c:v>
                </c:pt>
                <c:pt idx="1299">
                  <c:v>4/8/2025</c:v>
                </c:pt>
                <c:pt idx="1300">
                  <c:v>5/8/2025</c:v>
                </c:pt>
                <c:pt idx="1301">
                  <c:v>6/8/2025</c:v>
                </c:pt>
                <c:pt idx="1302">
                  <c:v>7/8/2025</c:v>
                </c:pt>
                <c:pt idx="1303">
                  <c:v>8/8/2025</c:v>
                </c:pt>
                <c:pt idx="1304">
                  <c:v>9/8/2025</c:v>
                </c:pt>
                <c:pt idx="1305">
                  <c:v>10/8/2025</c:v>
                </c:pt>
                <c:pt idx="1306">
                  <c:v>11/8/2025</c:v>
                </c:pt>
                <c:pt idx="1307">
                  <c:v>12/8/2025</c:v>
                </c:pt>
                <c:pt idx="1308">
                  <c:v>13/8/2025</c:v>
                </c:pt>
                <c:pt idx="1309">
                  <c:v>14/8/2025</c:v>
                </c:pt>
                <c:pt idx="1310">
                  <c:v>15/8/2025</c:v>
                </c:pt>
                <c:pt idx="1311">
                  <c:v>16/8/2025</c:v>
                </c:pt>
                <c:pt idx="1312">
                  <c:v>17/8/2025</c:v>
                </c:pt>
                <c:pt idx="1313">
                  <c:v>18/8/2025</c:v>
                </c:pt>
                <c:pt idx="1314">
                  <c:v>19/8/2025</c:v>
                </c:pt>
                <c:pt idx="1315">
                  <c:v>20/8/2025</c:v>
                </c:pt>
                <c:pt idx="1316">
                  <c:v>21/8/2025</c:v>
                </c:pt>
                <c:pt idx="1317">
                  <c:v>22/8/2025</c:v>
                </c:pt>
                <c:pt idx="1318">
                  <c:v>23/8/2025</c:v>
                </c:pt>
                <c:pt idx="1319">
                  <c:v>24/8/2025</c:v>
                </c:pt>
                <c:pt idx="1320">
                  <c:v>25/8/2025</c:v>
                </c:pt>
                <c:pt idx="1321">
                  <c:v>26/8/2025</c:v>
                </c:pt>
                <c:pt idx="1322">
                  <c:v>27/8/2025</c:v>
                </c:pt>
                <c:pt idx="1323">
                  <c:v>28/8/2025</c:v>
                </c:pt>
                <c:pt idx="1324">
                  <c:v>29/8/2025</c:v>
                </c:pt>
                <c:pt idx="1325">
                  <c:v>30/8/2025</c:v>
                </c:pt>
                <c:pt idx="1326">
                  <c:v>31/8/2025</c:v>
                </c:pt>
                <c:pt idx="1327">
                  <c:v>1/9/2025</c:v>
                </c:pt>
                <c:pt idx="1328">
                  <c:v>2/9/2025</c:v>
                </c:pt>
                <c:pt idx="1329">
                  <c:v>3/9/2025</c:v>
                </c:pt>
                <c:pt idx="1330">
                  <c:v>4/9/2025</c:v>
                </c:pt>
                <c:pt idx="1331">
                  <c:v>5/9/2025</c:v>
                </c:pt>
                <c:pt idx="1332">
                  <c:v>6/9/2025</c:v>
                </c:pt>
                <c:pt idx="1333">
                  <c:v>7/9/2025</c:v>
                </c:pt>
                <c:pt idx="1334">
                  <c:v>8/9/2025</c:v>
                </c:pt>
                <c:pt idx="1335">
                  <c:v>9/9/2025</c:v>
                </c:pt>
                <c:pt idx="1336">
                  <c:v>10/9/2025</c:v>
                </c:pt>
                <c:pt idx="1337">
                  <c:v>11/9/2025</c:v>
                </c:pt>
                <c:pt idx="1338">
                  <c:v>12/9/2025</c:v>
                </c:pt>
                <c:pt idx="1339">
                  <c:v>13/9/2025</c:v>
                </c:pt>
                <c:pt idx="1340">
                  <c:v>14/9/2025</c:v>
                </c:pt>
                <c:pt idx="1341">
                  <c:v>15/9/2025</c:v>
                </c:pt>
                <c:pt idx="1342">
                  <c:v>16/9/2025</c:v>
                </c:pt>
                <c:pt idx="1343">
                  <c:v>17/9/2025</c:v>
                </c:pt>
                <c:pt idx="1344">
                  <c:v>18/9/2025</c:v>
                </c:pt>
                <c:pt idx="1345">
                  <c:v>19/9/2025</c:v>
                </c:pt>
                <c:pt idx="1346">
                  <c:v>20/9/2025</c:v>
                </c:pt>
                <c:pt idx="1347">
                  <c:v>21/9/2025</c:v>
                </c:pt>
                <c:pt idx="1348">
                  <c:v>22/9/2025</c:v>
                </c:pt>
                <c:pt idx="1349">
                  <c:v>23/9/2025</c:v>
                </c:pt>
                <c:pt idx="1350">
                  <c:v>24/9/2025</c:v>
                </c:pt>
                <c:pt idx="1351">
                  <c:v>25/9/2025</c:v>
                </c:pt>
                <c:pt idx="1352">
                  <c:v>26/9/2025</c:v>
                </c:pt>
                <c:pt idx="1353">
                  <c:v>27/9/2025</c:v>
                </c:pt>
                <c:pt idx="1354">
                  <c:v>28/9/2025</c:v>
                </c:pt>
                <c:pt idx="1355">
                  <c:v>29/9/2025</c:v>
                </c:pt>
                <c:pt idx="1356">
                  <c:v>30/9/2025</c:v>
                </c:pt>
                <c:pt idx="1357">
                  <c:v>1/10/2025</c:v>
                </c:pt>
                <c:pt idx="1358">
                  <c:v>2/10/2025</c:v>
                </c:pt>
                <c:pt idx="1359">
                  <c:v>3/10/2025</c:v>
                </c:pt>
                <c:pt idx="1360">
                  <c:v>4/10/2025</c:v>
                </c:pt>
                <c:pt idx="1361">
                  <c:v>5/10/2025</c:v>
                </c:pt>
                <c:pt idx="1362">
                  <c:v>6/10/2025</c:v>
                </c:pt>
                <c:pt idx="1363">
                  <c:v>7/10/2025</c:v>
                </c:pt>
                <c:pt idx="1364">
                  <c:v>8/10/2025</c:v>
                </c:pt>
                <c:pt idx="1365">
                  <c:v>9/10/2025</c:v>
                </c:pt>
                <c:pt idx="1366">
                  <c:v>10/10/2025</c:v>
                </c:pt>
                <c:pt idx="1367">
                  <c:v>11/10/2025</c:v>
                </c:pt>
                <c:pt idx="1368">
                  <c:v>12/10/2025</c:v>
                </c:pt>
                <c:pt idx="1369">
                  <c:v>13/10/2025</c:v>
                </c:pt>
                <c:pt idx="1370">
                  <c:v>14/10/2025</c:v>
                </c:pt>
                <c:pt idx="1371">
                  <c:v>15/10/2025</c:v>
                </c:pt>
                <c:pt idx="1372">
                  <c:v>16/10/2025</c:v>
                </c:pt>
                <c:pt idx="1373">
                  <c:v>17/10/2025</c:v>
                </c:pt>
                <c:pt idx="1374">
                  <c:v>18/10/2025</c:v>
                </c:pt>
                <c:pt idx="1375">
                  <c:v>19/10/2025</c:v>
                </c:pt>
                <c:pt idx="1376">
                  <c:v>20/10/2025</c:v>
                </c:pt>
                <c:pt idx="1377">
                  <c:v>21/10/2025</c:v>
                </c:pt>
                <c:pt idx="1378">
                  <c:v>22/10/2025</c:v>
                </c:pt>
                <c:pt idx="1379">
                  <c:v>23/10/2025</c:v>
                </c:pt>
                <c:pt idx="1380">
                  <c:v>24/10/2025</c:v>
                </c:pt>
                <c:pt idx="1381">
                  <c:v>25/10/2025</c:v>
                </c:pt>
                <c:pt idx="1382">
                  <c:v>26/10/2025</c:v>
                </c:pt>
                <c:pt idx="1383">
                  <c:v>27/10/2025</c:v>
                </c:pt>
                <c:pt idx="1384">
                  <c:v>28/10/2025</c:v>
                </c:pt>
                <c:pt idx="1385">
                  <c:v>29/10/2025</c:v>
                </c:pt>
                <c:pt idx="1386">
                  <c:v>30/10/2025</c:v>
                </c:pt>
                <c:pt idx="1387">
                  <c:v>31/10/2025</c:v>
                </c:pt>
                <c:pt idx="1388">
                  <c:v>1/11/2025</c:v>
                </c:pt>
                <c:pt idx="1389">
                  <c:v>2/11/2025</c:v>
                </c:pt>
                <c:pt idx="1390">
                  <c:v>3/11/2025</c:v>
                </c:pt>
                <c:pt idx="1391">
                  <c:v>4/11/2025</c:v>
                </c:pt>
                <c:pt idx="1392">
                  <c:v>5/11/2025</c:v>
                </c:pt>
                <c:pt idx="1393">
                  <c:v>6/11/2025</c:v>
                </c:pt>
                <c:pt idx="1394">
                  <c:v>7/11/2025</c:v>
                </c:pt>
                <c:pt idx="1395">
                  <c:v>8/11/2025</c:v>
                </c:pt>
                <c:pt idx="1396">
                  <c:v>9/11/2025</c:v>
                </c:pt>
                <c:pt idx="1397">
                  <c:v>10/11/2025</c:v>
                </c:pt>
                <c:pt idx="1398">
                  <c:v>11/11/2025</c:v>
                </c:pt>
                <c:pt idx="1399">
                  <c:v>12/11/2025</c:v>
                </c:pt>
                <c:pt idx="1400">
                  <c:v>13/11/2025</c:v>
                </c:pt>
                <c:pt idx="1401">
                  <c:v>14/11/2025</c:v>
                </c:pt>
                <c:pt idx="1402">
                  <c:v>15/11/2025</c:v>
                </c:pt>
                <c:pt idx="1403">
                  <c:v>16/11/2025</c:v>
                </c:pt>
                <c:pt idx="1404">
                  <c:v>17/11/2025</c:v>
                </c:pt>
                <c:pt idx="1405">
                  <c:v>18/11/2025</c:v>
                </c:pt>
                <c:pt idx="1406">
                  <c:v>19/11/2025</c:v>
                </c:pt>
                <c:pt idx="1407">
                  <c:v>20/11/2025</c:v>
                </c:pt>
                <c:pt idx="1408">
                  <c:v>21/11/2025</c:v>
                </c:pt>
                <c:pt idx="1409">
                  <c:v>22/11/2025</c:v>
                </c:pt>
                <c:pt idx="1410">
                  <c:v>23/11/2025</c:v>
                </c:pt>
                <c:pt idx="1411">
                  <c:v>24/11/2025</c:v>
                </c:pt>
                <c:pt idx="1412">
                  <c:v>25/11/2025</c:v>
                </c:pt>
                <c:pt idx="1413">
                  <c:v>26/11/2025</c:v>
                </c:pt>
                <c:pt idx="1414">
                  <c:v>27/11/2025</c:v>
                </c:pt>
                <c:pt idx="1415">
                  <c:v>28/11/2025</c:v>
                </c:pt>
                <c:pt idx="1416">
                  <c:v>29/11/2025</c:v>
                </c:pt>
                <c:pt idx="1417">
                  <c:v>30/11/2025</c:v>
                </c:pt>
                <c:pt idx="1418">
                  <c:v>1/12/2025</c:v>
                </c:pt>
                <c:pt idx="1419">
                  <c:v>2/12/2025</c:v>
                </c:pt>
                <c:pt idx="1420">
                  <c:v>3/12/2025</c:v>
                </c:pt>
                <c:pt idx="1421">
                  <c:v>4/12/2025</c:v>
                </c:pt>
                <c:pt idx="1422">
                  <c:v>5/12/2025</c:v>
                </c:pt>
                <c:pt idx="1423">
                  <c:v>6/12/2025</c:v>
                </c:pt>
                <c:pt idx="1424">
                  <c:v>7/12/2025</c:v>
                </c:pt>
                <c:pt idx="1425">
                  <c:v>8/12/2025</c:v>
                </c:pt>
                <c:pt idx="1426">
                  <c:v>9/12/2025</c:v>
                </c:pt>
                <c:pt idx="1427">
                  <c:v>10/12/2025</c:v>
                </c:pt>
                <c:pt idx="1428">
                  <c:v>11/12/2025</c:v>
                </c:pt>
                <c:pt idx="1429">
                  <c:v>12/12/2025</c:v>
                </c:pt>
                <c:pt idx="1430">
                  <c:v>13/12/2025</c:v>
                </c:pt>
                <c:pt idx="1431">
                  <c:v>14/12/2025</c:v>
                </c:pt>
                <c:pt idx="1432">
                  <c:v>15/12/2025</c:v>
                </c:pt>
                <c:pt idx="1433">
                  <c:v>16/12/2025</c:v>
                </c:pt>
                <c:pt idx="1434">
                  <c:v>17/12/2025</c:v>
                </c:pt>
                <c:pt idx="1435">
                  <c:v>18/12/2025</c:v>
                </c:pt>
                <c:pt idx="1436">
                  <c:v>19/12/2025</c:v>
                </c:pt>
                <c:pt idx="1437">
                  <c:v>20/12/2025</c:v>
                </c:pt>
                <c:pt idx="1438">
                  <c:v>21/12/2025</c:v>
                </c:pt>
                <c:pt idx="1439">
                  <c:v>22/12/2025</c:v>
                </c:pt>
                <c:pt idx="1440">
                  <c:v>23/12/2025</c:v>
                </c:pt>
                <c:pt idx="1441">
                  <c:v>24/12/2025</c:v>
                </c:pt>
                <c:pt idx="1442">
                  <c:v>25/12/2025</c:v>
                </c:pt>
                <c:pt idx="1443">
                  <c:v>26/12/2025</c:v>
                </c:pt>
                <c:pt idx="1444">
                  <c:v>27/12/2025</c:v>
                </c:pt>
                <c:pt idx="1445">
                  <c:v>28/12/2025</c:v>
                </c:pt>
                <c:pt idx="1446">
                  <c:v>29/12/2025</c:v>
                </c:pt>
                <c:pt idx="1447">
                  <c:v>30/12/2025</c:v>
                </c:pt>
                <c:pt idx="1448">
                  <c:v>31/12/2025</c:v>
                </c:pt>
                <c:pt idx="1449">
                  <c:v>1/1/2026</c:v>
                </c:pt>
                <c:pt idx="1450">
                  <c:v>2/1/2026</c:v>
                </c:pt>
                <c:pt idx="1451">
                  <c:v>3/1/2026</c:v>
                </c:pt>
                <c:pt idx="1452">
                  <c:v>4/1/2026</c:v>
                </c:pt>
                <c:pt idx="1453">
                  <c:v>5/1/2026</c:v>
                </c:pt>
                <c:pt idx="1454">
                  <c:v>6/1/2026</c:v>
                </c:pt>
                <c:pt idx="1455">
                  <c:v>7/1/2026</c:v>
                </c:pt>
                <c:pt idx="1456">
                  <c:v>8/1/2026</c:v>
                </c:pt>
                <c:pt idx="1457">
                  <c:v>9/1/2026</c:v>
                </c:pt>
                <c:pt idx="1458">
                  <c:v>10/1/2026</c:v>
                </c:pt>
                <c:pt idx="1459">
                  <c:v>11/1/2026</c:v>
                </c:pt>
                <c:pt idx="1460">
                  <c:v>12/1/2026</c:v>
                </c:pt>
                <c:pt idx="1461">
                  <c:v>13/1/2026</c:v>
                </c:pt>
                <c:pt idx="1462">
                  <c:v>14/1/2026</c:v>
                </c:pt>
                <c:pt idx="1463">
                  <c:v>15/1/2026</c:v>
                </c:pt>
                <c:pt idx="1464">
                  <c:v>16/1/2026</c:v>
                </c:pt>
                <c:pt idx="1465">
                  <c:v>17/1/2026</c:v>
                </c:pt>
                <c:pt idx="1466">
                  <c:v>18/1/2026</c:v>
                </c:pt>
                <c:pt idx="1467">
                  <c:v>19/1/2026</c:v>
                </c:pt>
                <c:pt idx="1468">
                  <c:v>20/1/2026</c:v>
                </c:pt>
                <c:pt idx="1469">
                  <c:v>21/1/2026</c:v>
                </c:pt>
                <c:pt idx="1470">
                  <c:v>22/1/2026</c:v>
                </c:pt>
                <c:pt idx="1471">
                  <c:v>23/1/2026</c:v>
                </c:pt>
                <c:pt idx="1472">
                  <c:v>24/1/2026</c:v>
                </c:pt>
                <c:pt idx="1473">
                  <c:v>25/1/2026</c:v>
                </c:pt>
                <c:pt idx="1474">
                  <c:v>26/1/2026</c:v>
                </c:pt>
                <c:pt idx="1475">
                  <c:v>27/1/2026</c:v>
                </c:pt>
                <c:pt idx="1476">
                  <c:v>28/1/2026</c:v>
                </c:pt>
                <c:pt idx="1477">
                  <c:v>29/1/2026</c:v>
                </c:pt>
                <c:pt idx="1478">
                  <c:v>30/1/2026</c:v>
                </c:pt>
                <c:pt idx="1479">
                  <c:v>31/1/2026</c:v>
                </c:pt>
                <c:pt idx="1480">
                  <c:v>1/2/2026</c:v>
                </c:pt>
                <c:pt idx="1481">
                  <c:v>2/2/2026</c:v>
                </c:pt>
                <c:pt idx="1482">
                  <c:v>3/2/2026</c:v>
                </c:pt>
              </c:strCache>
            </c:strRef>
          </c:cat>
          <c:val>
            <c:numRef>
              <c:f>'usdc '!$J$10:$J$1492</c:f>
              <c:numCache>
                <c:formatCode>0.00000%</c:formatCode>
                <c:ptCount val="1483"/>
                <c:pt idx="0" formatCode="General">
                  <c:v>0</c:v>
                </c:pt>
                <c:pt idx="1">
                  <c:v>7.1870780380044435E-4</c:v>
                </c:pt>
                <c:pt idx="2">
                  <c:v>-2.2818024919386897E-3</c:v>
                </c:pt>
                <c:pt idx="3">
                  <c:v>-1.3382262520484035E-3</c:v>
                </c:pt>
                <c:pt idx="4">
                  <c:v>-2.1860781166482758E-4</c:v>
                </c:pt>
                <c:pt idx="5">
                  <c:v>-1.0685826331271865E-3</c:v>
                </c:pt>
                <c:pt idx="6">
                  <c:v>-1.4171410621591331E-3</c:v>
                </c:pt>
                <c:pt idx="7">
                  <c:v>7.5634988544130439E-4</c:v>
                </c:pt>
                <c:pt idx="8">
                  <c:v>-3.319804959406575E-3</c:v>
                </c:pt>
                <c:pt idx="9">
                  <c:v>1.8898298353099137E-3</c:v>
                </c:pt>
                <c:pt idx="10">
                  <c:v>-8.4710160398344361E-4</c:v>
                </c:pt>
                <c:pt idx="11">
                  <c:v>-1.5653222920374154E-3</c:v>
                </c:pt>
                <c:pt idx="12">
                  <c:v>-1.6731101583077339E-3</c:v>
                </c:pt>
                <c:pt idx="13">
                  <c:v>-1.4498124522178367E-3</c:v>
                </c:pt>
                <c:pt idx="14">
                  <c:v>1.616679434178273E-3</c:v>
                </c:pt>
                <c:pt idx="15">
                  <c:v>6.7057090305844085E-4</c:v>
                </c:pt>
                <c:pt idx="16">
                  <c:v>6.8380296099797031E-5</c:v>
                </c:pt>
                <c:pt idx="17">
                  <c:v>-4.9775509553391726E-4</c:v>
                </c:pt>
                <c:pt idx="18">
                  <c:v>-1.3517589217906171E-3</c:v>
                </c:pt>
                <c:pt idx="19">
                  <c:v>-1.5863526136320442E-4</c:v>
                </c:pt>
                <c:pt idx="20">
                  <c:v>5.008195228556687E-4</c:v>
                </c:pt>
                <c:pt idx="21">
                  <c:v>-4.2080756374484243E-3</c:v>
                </c:pt>
                <c:pt idx="22">
                  <c:v>2.1782605928648848E-3</c:v>
                </c:pt>
                <c:pt idx="23">
                  <c:v>3.3816425120772949E-4</c:v>
                </c:pt>
                <c:pt idx="24">
                  <c:v>-2.6152155040649007E-3</c:v>
                </c:pt>
                <c:pt idx="25">
                  <c:v>1.2950882578663953E-3</c:v>
                </c:pt>
                <c:pt idx="26">
                  <c:v>-1.3329318059570315E-3</c:v>
                </c:pt>
                <c:pt idx="27">
                  <c:v>3.2443917934668965E-3</c:v>
                </c:pt>
                <c:pt idx="28">
                  <c:v>-1.1850152729690857E-3</c:v>
                </c:pt>
                <c:pt idx="29">
                  <c:v>-2.0966364358027552E-3</c:v>
                </c:pt>
                <c:pt idx="30">
                  <c:v>-1.0409325354034523E-3</c:v>
                </c:pt>
                <c:pt idx="31">
                  <c:v>-1.6793203323122361E-3</c:v>
                </c:pt>
                <c:pt idx="32">
                  <c:v>-9.8219789785227579E-4</c:v>
                </c:pt>
                <c:pt idx="33">
                  <c:v>-1.1237932579587658E-3</c:v>
                </c:pt>
                <c:pt idx="34">
                  <c:v>-1.3236745095082864E-3</c:v>
                </c:pt>
                <c:pt idx="35">
                  <c:v>-1.2995293057044284E-3</c:v>
                </c:pt>
                <c:pt idx="36">
                  <c:v>-1.1125292038908747E-4</c:v>
                </c:pt>
                <c:pt idx="37">
                  <c:v>-1.0342720018259109E-3</c:v>
                </c:pt>
                <c:pt idx="38">
                  <c:v>-1.0838687074748816E-3</c:v>
                </c:pt>
                <c:pt idx="39">
                  <c:v>-2.4405059306772804E-3</c:v>
                </c:pt>
                <c:pt idx="40">
                  <c:v>8.8445749827050142E-4</c:v>
                </c:pt>
                <c:pt idx="41">
                  <c:v>2.0120908293778102E-3</c:v>
                </c:pt>
                <c:pt idx="42">
                  <c:v>-1.9301122021118629E-5</c:v>
                </c:pt>
                <c:pt idx="43">
                  <c:v>-8.37369665717103E-4</c:v>
                </c:pt>
                <c:pt idx="44">
                  <c:v>-8.0341652686333686E-4</c:v>
                </c:pt>
                <c:pt idx="45">
                  <c:v>4.8445237227609647E-4</c:v>
                </c:pt>
                <c:pt idx="46">
                  <c:v>-3.8452536582577878E-4</c:v>
                </c:pt>
                <c:pt idx="47">
                  <c:v>1.1473228307779546E-3</c:v>
                </c:pt>
                <c:pt idx="48">
                  <c:v>6.1560922529832203E-4</c:v>
                </c:pt>
                <c:pt idx="49">
                  <c:v>-6.4183069137366451E-4</c:v>
                </c:pt>
                <c:pt idx="50">
                  <c:v>-1.1233946945132382E-3</c:v>
                </c:pt>
                <c:pt idx="51">
                  <c:v>-1.0944651514940517E-3</c:v>
                </c:pt>
                <c:pt idx="52">
                  <c:v>1.9649850258907386E-3</c:v>
                </c:pt>
                <c:pt idx="53">
                  <c:v>6.8469702156795614E-4</c:v>
                </c:pt>
                <c:pt idx="54">
                  <c:v>-1.5390296686134985E-3</c:v>
                </c:pt>
                <c:pt idx="55">
                  <c:v>-1.8808368593570227E-3</c:v>
                </c:pt>
                <c:pt idx="56">
                  <c:v>-1.7817770293397023E-3</c:v>
                </c:pt>
                <c:pt idx="57">
                  <c:v>-6.4511981958324501E-4</c:v>
                </c:pt>
                <c:pt idx="58">
                  <c:v>-1.8938365235782186E-3</c:v>
                </c:pt>
                <c:pt idx="59">
                  <c:v>-1.833418424243124E-3</c:v>
                </c:pt>
                <c:pt idx="60">
                  <c:v>2.0579045317061636E-3</c:v>
                </c:pt>
                <c:pt idx="61">
                  <c:v>-2.6321808414094499E-3</c:v>
                </c:pt>
                <c:pt idx="62">
                  <c:v>-1.0696751350698407E-3</c:v>
                </c:pt>
                <c:pt idx="63">
                  <c:v>1.3097910305744382E-3</c:v>
                </c:pt>
                <c:pt idx="64">
                  <c:v>-1.3839716999422987E-3</c:v>
                </c:pt>
                <c:pt idx="65">
                  <c:v>1.786752977368105E-3</c:v>
                </c:pt>
                <c:pt idx="66">
                  <c:v>1.05010002742232E-3</c:v>
                </c:pt>
                <c:pt idx="67">
                  <c:v>-1.1179228623495237E-3</c:v>
                </c:pt>
                <c:pt idx="68">
                  <c:v>1.5214809049302318E-3</c:v>
                </c:pt>
                <c:pt idx="69">
                  <c:v>-1.4534883720930232E-3</c:v>
                </c:pt>
                <c:pt idx="70">
                  <c:v>4.1071381515883236E-4</c:v>
                </c:pt>
                <c:pt idx="71">
                  <c:v>1.0160408838403672E-3</c:v>
                </c:pt>
                <c:pt idx="72">
                  <c:v>1.7678984261995457E-3</c:v>
                </c:pt>
                <c:pt idx="73">
                  <c:v>8.242132010376779E-4</c:v>
                </c:pt>
                <c:pt idx="74">
                  <c:v>-2.584601887047345E-3</c:v>
                </c:pt>
                <c:pt idx="75">
                  <c:v>5.4650237425865177E-4</c:v>
                </c:pt>
                <c:pt idx="76">
                  <c:v>9.889650640118708E-5</c:v>
                </c:pt>
                <c:pt idx="77">
                  <c:v>1.1339149612143431E-3</c:v>
                </c:pt>
                <c:pt idx="78">
                  <c:v>8.5595539778352101E-4</c:v>
                </c:pt>
                <c:pt idx="79">
                  <c:v>-8.9042302506607334E-4</c:v>
                </c:pt>
                <c:pt idx="80">
                  <c:v>-8.6516360631175792E-4</c:v>
                </c:pt>
                <c:pt idx="81">
                  <c:v>4.6436866793169118E-4</c:v>
                </c:pt>
                <c:pt idx="82">
                  <c:v>-1.5597638912882507E-5</c:v>
                </c:pt>
                <c:pt idx="83">
                  <c:v>-1.7144353136609112E-4</c:v>
                </c:pt>
                <c:pt idx="84">
                  <c:v>-9.2935199948676335E-4</c:v>
                </c:pt>
                <c:pt idx="85">
                  <c:v>2.4705592870225036E-3</c:v>
                </c:pt>
                <c:pt idx="86">
                  <c:v>7.150305028970535E-4</c:v>
                </c:pt>
                <c:pt idx="87">
                  <c:v>2.3455051302871408E-3</c:v>
                </c:pt>
                <c:pt idx="88">
                  <c:v>-9.2367958334252636E-4</c:v>
                </c:pt>
                <c:pt idx="89">
                  <c:v>-8.4114230766265427E-4</c:v>
                </c:pt>
                <c:pt idx="90">
                  <c:v>8.6142154497482017E-4</c:v>
                </c:pt>
                <c:pt idx="91">
                  <c:v>6.9377950284732574E-5</c:v>
                </c:pt>
                <c:pt idx="92">
                  <c:v>-1.3614942041640641E-3</c:v>
                </c:pt>
                <c:pt idx="93">
                  <c:v>-5.6434818773960793E-4</c:v>
                </c:pt>
                <c:pt idx="94">
                  <c:v>5.3530315480909761E-4</c:v>
                </c:pt>
                <c:pt idx="95">
                  <c:v>2.8485013990021469E-4</c:v>
                </c:pt>
                <c:pt idx="96">
                  <c:v>1.4193116615886629E-3</c:v>
                </c:pt>
                <c:pt idx="97">
                  <c:v>2.6928141987208449E-4</c:v>
                </c:pt>
                <c:pt idx="98">
                  <c:v>-1.669210166267186E-3</c:v>
                </c:pt>
                <c:pt idx="99">
                  <c:v>1.7539806330674754E-3</c:v>
                </c:pt>
                <c:pt idx="100">
                  <c:v>-1.6154679472153767E-3</c:v>
                </c:pt>
                <c:pt idx="101">
                  <c:v>6.8915228694709193E-5</c:v>
                </c:pt>
                <c:pt idx="102">
                  <c:v>7.2998119370484013E-4</c:v>
                </c:pt>
                <c:pt idx="103">
                  <c:v>4.5961636339254201E-4</c:v>
                </c:pt>
                <c:pt idx="104">
                  <c:v>-5.983204708453543E-4</c:v>
                </c:pt>
                <c:pt idx="105">
                  <c:v>4.4525243926562995E-5</c:v>
                </c:pt>
                <c:pt idx="106">
                  <c:v>-4.8193894921758887E-4</c:v>
                </c:pt>
                <c:pt idx="107">
                  <c:v>-2.6086619264462823E-4</c:v>
                </c:pt>
                <c:pt idx="108">
                  <c:v>-2.366623226569565E-5</c:v>
                </c:pt>
                <c:pt idx="109">
                  <c:v>-3.4057469903794445E-4</c:v>
                </c:pt>
                <c:pt idx="110">
                  <c:v>-4.2217206334012813E-4</c:v>
                </c:pt>
                <c:pt idx="111">
                  <c:v>1.9343909818471175E-3</c:v>
                </c:pt>
                <c:pt idx="112">
                  <c:v>-5.1873492153037542E-4</c:v>
                </c:pt>
                <c:pt idx="113">
                  <c:v>-1.5072113368070684E-3</c:v>
                </c:pt>
                <c:pt idx="114">
                  <c:v>-5.1417592032973686E-4</c:v>
                </c:pt>
                <c:pt idx="115">
                  <c:v>-1.0470171169389367E-3</c:v>
                </c:pt>
                <c:pt idx="116">
                  <c:v>7.4375557983000673E-4</c:v>
                </c:pt>
                <c:pt idx="117">
                  <c:v>-3.5800550296405398E-5</c:v>
                </c:pt>
                <c:pt idx="118">
                  <c:v>-2.1955570832738803E-3</c:v>
                </c:pt>
                <c:pt idx="119">
                  <c:v>-6.9369404870791461E-3</c:v>
                </c:pt>
                <c:pt idx="120">
                  <c:v>2.8997877136540209E-4</c:v>
                </c:pt>
                <c:pt idx="121">
                  <c:v>-1.9319379781979513E-3</c:v>
                </c:pt>
                <c:pt idx="122">
                  <c:v>2.5890257272440765E-4</c:v>
                </c:pt>
                <c:pt idx="123">
                  <c:v>1.5523289797251842E-3</c:v>
                </c:pt>
                <c:pt idx="124">
                  <c:v>-8.1680682765042465E-4</c:v>
                </c:pt>
                <c:pt idx="125">
                  <c:v>-9.1662800877562942E-3</c:v>
                </c:pt>
                <c:pt idx="126">
                  <c:v>-6.96885962074932E-3</c:v>
                </c:pt>
                <c:pt idx="127">
                  <c:v>2.5006251562893718E-4</c:v>
                </c:pt>
                <c:pt idx="128">
                  <c:v>-1.6931572250437634E-3</c:v>
                </c:pt>
                <c:pt idx="129">
                  <c:v>-4.669124924040316E-4</c:v>
                </c:pt>
                <c:pt idx="130">
                  <c:v>-3.8779536426870099E-3</c:v>
                </c:pt>
                <c:pt idx="131">
                  <c:v>-1.558467154072948E-3</c:v>
                </c:pt>
                <c:pt idx="132">
                  <c:v>-2.3543360433604336E-3</c:v>
                </c:pt>
                <c:pt idx="133">
                  <c:v>7.683982016328377E-4</c:v>
                </c:pt>
                <c:pt idx="134">
                  <c:v>1.6074425218582332E-3</c:v>
                </c:pt>
                <c:pt idx="135">
                  <c:v>-1.0062899156778814E-3</c:v>
                </c:pt>
                <c:pt idx="136">
                  <c:v>-2.060380773040188E-3</c:v>
                </c:pt>
                <c:pt idx="137">
                  <c:v>-7.7309685961307454E-4</c:v>
                </c:pt>
                <c:pt idx="138">
                  <c:v>-3.873588738249327E-3</c:v>
                </c:pt>
                <c:pt idx="139">
                  <c:v>-2.8526870780631384E-3</c:v>
                </c:pt>
                <c:pt idx="140">
                  <c:v>1.2149375238332248E-3</c:v>
                </c:pt>
                <c:pt idx="141">
                  <c:v>-2.4999410391264602E-3</c:v>
                </c:pt>
                <c:pt idx="142">
                  <c:v>-2.2458265224673275E-3</c:v>
                </c:pt>
                <c:pt idx="143">
                  <c:v>-1.9046217595093376E-3</c:v>
                </c:pt>
                <c:pt idx="144">
                  <c:v>-3.020849219805396E-3</c:v>
                </c:pt>
                <c:pt idx="145">
                  <c:v>-2.6767635407784467E-3</c:v>
                </c:pt>
                <c:pt idx="146">
                  <c:v>-3.8029010702448707E-4</c:v>
                </c:pt>
                <c:pt idx="147">
                  <c:v>-2.0106013525863645E-3</c:v>
                </c:pt>
                <c:pt idx="148">
                  <c:v>-6.7621861304642354E-4</c:v>
                </c:pt>
                <c:pt idx="149">
                  <c:v>6.2449722680895075E-4</c:v>
                </c:pt>
                <c:pt idx="150">
                  <c:v>-2.3162733067003632E-3</c:v>
                </c:pt>
                <c:pt idx="151">
                  <c:v>1.7041754525685298E-3</c:v>
                </c:pt>
                <c:pt idx="152">
                  <c:v>-4.5835173650859793E-3</c:v>
                </c:pt>
                <c:pt idx="153">
                  <c:v>9.9710838568152355E-5</c:v>
                </c:pt>
                <c:pt idx="154">
                  <c:v>-6.4827324250960397E-4</c:v>
                </c:pt>
                <c:pt idx="155">
                  <c:v>3.6312775343323359E-4</c:v>
                </c:pt>
                <c:pt idx="156">
                  <c:v>-1.5567551148265334E-3</c:v>
                </c:pt>
                <c:pt idx="157">
                  <c:v>1.9369262829214509E-4</c:v>
                </c:pt>
                <c:pt idx="158">
                  <c:v>-1.0032540071774495E-3</c:v>
                </c:pt>
                <c:pt idx="159">
                  <c:v>-1.0786225511815214E-3</c:v>
                </c:pt>
                <c:pt idx="160">
                  <c:v>-2.266903311863641E-3</c:v>
                </c:pt>
                <c:pt idx="161">
                  <c:v>-1.2952888845059226E-3</c:v>
                </c:pt>
                <c:pt idx="162">
                  <c:v>2.003559264104468E-4</c:v>
                </c:pt>
                <c:pt idx="163">
                  <c:v>-5.9648506854927986E-4</c:v>
                </c:pt>
                <c:pt idx="164">
                  <c:v>-1.0218011182280284E-3</c:v>
                </c:pt>
                <c:pt idx="165">
                  <c:v>-4.5453645251928904E-4</c:v>
                </c:pt>
                <c:pt idx="166">
                  <c:v>-8.3152938202159135E-4</c:v>
                </c:pt>
                <c:pt idx="167">
                  <c:v>-8.3595897431829088E-5</c:v>
                </c:pt>
                <c:pt idx="168">
                  <c:v>-1.3143570937658702E-3</c:v>
                </c:pt>
                <c:pt idx="169">
                  <c:v>-4.3171499952471395E-4</c:v>
                </c:pt>
                <c:pt idx="170">
                  <c:v>-4.4578370283443057E-4</c:v>
                </c:pt>
                <c:pt idx="171">
                  <c:v>-3.1467782848449755E-4</c:v>
                </c:pt>
                <c:pt idx="172">
                  <c:v>-8.9064819396338449E-4</c:v>
                </c:pt>
                <c:pt idx="173">
                  <c:v>-6.1811810322071916E-4</c:v>
                </c:pt>
                <c:pt idx="174">
                  <c:v>-3.3934663357920936E-4</c:v>
                </c:pt>
                <c:pt idx="175">
                  <c:v>-9.7659820759542641E-5</c:v>
                </c:pt>
                <c:pt idx="176">
                  <c:v>2.7414921126522884E-4</c:v>
                </c:pt>
                <c:pt idx="177">
                  <c:v>-3.9261185150099467E-4</c:v>
                </c:pt>
                <c:pt idx="178">
                  <c:v>6.3603307371983345E-4</c:v>
                </c:pt>
                <c:pt idx="179">
                  <c:v>1.9556126081862223E-4</c:v>
                </c:pt>
                <c:pt idx="180">
                  <c:v>1.3620683136822707E-4</c:v>
                </c:pt>
                <c:pt idx="181">
                  <c:v>5.2736073006090858E-4</c:v>
                </c:pt>
                <c:pt idx="182">
                  <c:v>7.5827909531463937E-4</c:v>
                </c:pt>
                <c:pt idx="183">
                  <c:v>-7.4484908761982059E-4</c:v>
                </c:pt>
                <c:pt idx="184">
                  <c:v>-1.6234110681460291E-3</c:v>
                </c:pt>
                <c:pt idx="185">
                  <c:v>-8.287347293721559E-4</c:v>
                </c:pt>
                <c:pt idx="186">
                  <c:v>-4.4562088357060339E-6</c:v>
                </c:pt>
                <c:pt idx="187">
                  <c:v>-1.8109411597889061E-4</c:v>
                </c:pt>
                <c:pt idx="188">
                  <c:v>-2.7861546630200467E-4</c:v>
                </c:pt>
                <c:pt idx="189">
                  <c:v>1.0350544785977486E-3</c:v>
                </c:pt>
                <c:pt idx="190">
                  <c:v>-5.3567531462664548E-4</c:v>
                </c:pt>
                <c:pt idx="191">
                  <c:v>-9.133819134348371E-4</c:v>
                </c:pt>
                <c:pt idx="192">
                  <c:v>-1.2423592251150182E-3</c:v>
                </c:pt>
                <c:pt idx="193">
                  <c:v>-1.1405474721777728E-3</c:v>
                </c:pt>
                <c:pt idx="194">
                  <c:v>-1.7913610109900442E-3</c:v>
                </c:pt>
                <c:pt idx="195">
                  <c:v>-1.3815937574429744E-3</c:v>
                </c:pt>
                <c:pt idx="196">
                  <c:v>3.5717310067336506E-4</c:v>
                </c:pt>
                <c:pt idx="197">
                  <c:v>7.6898049685317508E-4</c:v>
                </c:pt>
                <c:pt idx="198">
                  <c:v>-3.6174322154548013E-4</c:v>
                </c:pt>
                <c:pt idx="199">
                  <c:v>1.3123224504925539E-4</c:v>
                </c:pt>
                <c:pt idx="200">
                  <c:v>-2.3525255457177126E-3</c:v>
                </c:pt>
                <c:pt idx="201">
                  <c:v>-9.6941325056139739E-4</c:v>
                </c:pt>
                <c:pt idx="202">
                  <c:v>2.7153823783902047E-5</c:v>
                </c:pt>
                <c:pt idx="203">
                  <c:v>8.1807729724949147E-4</c:v>
                </c:pt>
                <c:pt idx="204">
                  <c:v>8.7952822963807304E-5</c:v>
                </c:pt>
                <c:pt idx="205">
                  <c:v>1.613459969456725E-3</c:v>
                </c:pt>
                <c:pt idx="206">
                  <c:v>-3.5560557817417249E-4</c:v>
                </c:pt>
                <c:pt idx="207">
                  <c:v>9.8586561440367707E-4</c:v>
                </c:pt>
                <c:pt idx="208">
                  <c:v>-4.9898367178535807E-4</c:v>
                </c:pt>
                <c:pt idx="209">
                  <c:v>-2.8386344832319816E-5</c:v>
                </c:pt>
                <c:pt idx="210">
                  <c:v>-1.9295327941217666E-4</c:v>
                </c:pt>
                <c:pt idx="211">
                  <c:v>2.6737124927880742E-4</c:v>
                </c:pt>
                <c:pt idx="212">
                  <c:v>-1.974827693217978E-4</c:v>
                </c:pt>
                <c:pt idx="213">
                  <c:v>1.3289845776069651E-4</c:v>
                </c:pt>
                <c:pt idx="214">
                  <c:v>-5.7765520126213743E-4</c:v>
                </c:pt>
                <c:pt idx="215">
                  <c:v>-3.7275316745932608E-5</c:v>
                </c:pt>
                <c:pt idx="216">
                  <c:v>1.2474499080272991E-4</c:v>
                </c:pt>
                <c:pt idx="217">
                  <c:v>-1.5219105539102695E-4</c:v>
                </c:pt>
                <c:pt idx="218">
                  <c:v>-3.0998140111589118E-4</c:v>
                </c:pt>
                <c:pt idx="219">
                  <c:v>-1.8140673147030849E-3</c:v>
                </c:pt>
                <c:pt idx="220">
                  <c:v>-8.0498907315638957E-4</c:v>
                </c:pt>
                <c:pt idx="221">
                  <c:v>-5.6045643571649392E-6</c:v>
                </c:pt>
                <c:pt idx="222">
                  <c:v>-2.0586525445272097E-4</c:v>
                </c:pt>
                <c:pt idx="223">
                  <c:v>-8.5803818971720981E-4</c:v>
                </c:pt>
                <c:pt idx="224">
                  <c:v>-1.6077475739037755E-3</c:v>
                </c:pt>
                <c:pt idx="225">
                  <c:v>-1.8644967710867177E-3</c:v>
                </c:pt>
                <c:pt idx="226">
                  <c:v>-4.8952559929466943E-4</c:v>
                </c:pt>
                <c:pt idx="227">
                  <c:v>-8.2325106447415073E-5</c:v>
                </c:pt>
                <c:pt idx="228">
                  <c:v>-6.6196994962030577E-4</c:v>
                </c:pt>
                <c:pt idx="229">
                  <c:v>1.7576647532593858E-3</c:v>
                </c:pt>
                <c:pt idx="230">
                  <c:v>-4.2895763295185428E-4</c:v>
                </c:pt>
                <c:pt idx="231">
                  <c:v>1.9975671421077398E-4</c:v>
                </c:pt>
                <c:pt idx="232">
                  <c:v>-1.3067248768373527E-3</c:v>
                </c:pt>
                <c:pt idx="233">
                  <c:v>-1.2042307868733006E-3</c:v>
                </c:pt>
                <c:pt idx="234">
                  <c:v>-6.7091881882283522E-4</c:v>
                </c:pt>
                <c:pt idx="235">
                  <c:v>-2.6225777159716453E-4</c:v>
                </c:pt>
                <c:pt idx="236">
                  <c:v>-5.3580730517656416E-4</c:v>
                </c:pt>
                <c:pt idx="237">
                  <c:v>-6.4432755892125627E-4</c:v>
                </c:pt>
                <c:pt idx="238">
                  <c:v>-9.3164422784441863E-6</c:v>
                </c:pt>
                <c:pt idx="239">
                  <c:v>-5.1474968425058799E-6</c:v>
                </c:pt>
                <c:pt idx="240">
                  <c:v>6.8820549723844877E-5</c:v>
                </c:pt>
                <c:pt idx="241">
                  <c:v>-9.2761191465970383E-4</c:v>
                </c:pt>
                <c:pt idx="242">
                  <c:v>-1.3984216091624398E-3</c:v>
                </c:pt>
                <c:pt idx="243">
                  <c:v>-8.1656046092290491E-4</c:v>
                </c:pt>
                <c:pt idx="244">
                  <c:v>2.1845413550474044E-4</c:v>
                </c:pt>
                <c:pt idx="245">
                  <c:v>7.3778928270931839E-4</c:v>
                </c:pt>
                <c:pt idx="246">
                  <c:v>6.6514042947760229E-4</c:v>
                </c:pt>
                <c:pt idx="247">
                  <c:v>3.5449938273359393E-4</c:v>
                </c:pt>
                <c:pt idx="248">
                  <c:v>1.5348150650852045E-4</c:v>
                </c:pt>
                <c:pt idx="249">
                  <c:v>1.5359646113716288E-5</c:v>
                </c:pt>
                <c:pt idx="250">
                  <c:v>-3.02954548343557E-4</c:v>
                </c:pt>
                <c:pt idx="251">
                  <c:v>-1.1472412044841148E-3</c:v>
                </c:pt>
                <c:pt idx="252">
                  <c:v>1.7011475529082471E-5</c:v>
                </c:pt>
                <c:pt idx="253">
                  <c:v>-9.9554493640866183E-5</c:v>
                </c:pt>
                <c:pt idx="254">
                  <c:v>-7.9475629939488993E-4</c:v>
                </c:pt>
                <c:pt idx="255">
                  <c:v>-3.0413851701639922E-4</c:v>
                </c:pt>
                <c:pt idx="256">
                  <c:v>-1.1562629871531309E-3</c:v>
                </c:pt>
                <c:pt idx="257">
                  <c:v>2.0080563430209801E-4</c:v>
                </c:pt>
                <c:pt idx="258">
                  <c:v>-5.3796574745283991E-4</c:v>
                </c:pt>
                <c:pt idx="259">
                  <c:v>-4.7327864676005468E-4</c:v>
                </c:pt>
                <c:pt idx="260">
                  <c:v>-6.5792250928962059E-4</c:v>
                </c:pt>
                <c:pt idx="261">
                  <c:v>-1.1107975215492506E-3</c:v>
                </c:pt>
                <c:pt idx="262">
                  <c:v>-7.7021230157066074E-4</c:v>
                </c:pt>
                <c:pt idx="263">
                  <c:v>-8.6358645672263731E-4</c:v>
                </c:pt>
                <c:pt idx="264">
                  <c:v>-8.0965609525533483E-4</c:v>
                </c:pt>
                <c:pt idx="265">
                  <c:v>-4.2787101201167391E-4</c:v>
                </c:pt>
                <c:pt idx="266">
                  <c:v>-5.9095498325308246E-5</c:v>
                </c:pt>
                <c:pt idx="267">
                  <c:v>-2.1756658177303967E-4</c:v>
                </c:pt>
                <c:pt idx="268">
                  <c:v>-5.9111332177879609E-4</c:v>
                </c:pt>
                <c:pt idx="269">
                  <c:v>7.0987216128347901E-5</c:v>
                </c:pt>
                <c:pt idx="270">
                  <c:v>-4.2862773263232258E-5</c:v>
                </c:pt>
                <c:pt idx="271">
                  <c:v>-6.1757966489090757E-4</c:v>
                </c:pt>
                <c:pt idx="272">
                  <c:v>-7.2342508896670161E-4</c:v>
                </c:pt>
                <c:pt idx="273">
                  <c:v>-7.9350420330222694E-4</c:v>
                </c:pt>
                <c:pt idx="274">
                  <c:v>-3.4207537547472391E-4</c:v>
                </c:pt>
                <c:pt idx="275">
                  <c:v>-4.5100889641300147E-5</c:v>
                </c:pt>
                <c:pt idx="276">
                  <c:v>-7.1312756783024444E-4</c:v>
                </c:pt>
                <c:pt idx="277">
                  <c:v>-7.0082569544109382E-5</c:v>
                </c:pt>
                <c:pt idx="278">
                  <c:v>-5.0437774012906901E-4</c:v>
                </c:pt>
                <c:pt idx="279">
                  <c:v>-6.9532194713239616E-5</c:v>
                </c:pt>
                <c:pt idx="280">
                  <c:v>-2.7620595932727567E-4</c:v>
                </c:pt>
                <c:pt idx="281">
                  <c:v>-6.6839513683844976E-4</c:v>
                </c:pt>
                <c:pt idx="282">
                  <c:v>-4.2804206684960848E-4</c:v>
                </c:pt>
                <c:pt idx="283">
                  <c:v>-7.1014744500196459E-4</c:v>
                </c:pt>
                <c:pt idx="284">
                  <c:v>-1.0295150053113665E-4</c:v>
                </c:pt>
                <c:pt idx="285">
                  <c:v>-1.1349325262701674E-3</c:v>
                </c:pt>
                <c:pt idx="286">
                  <c:v>4.5591249176161623E-4</c:v>
                </c:pt>
                <c:pt idx="287">
                  <c:v>3.0252475135320294E-4</c:v>
                </c:pt>
                <c:pt idx="288">
                  <c:v>-2.8256789154829283E-4</c:v>
                </c:pt>
                <c:pt idx="289">
                  <c:v>-9.5545118768488354E-4</c:v>
                </c:pt>
                <c:pt idx="290">
                  <c:v>-9.0113279032691125E-4</c:v>
                </c:pt>
                <c:pt idx="291">
                  <c:v>-2.6642645995352308E-4</c:v>
                </c:pt>
                <c:pt idx="292">
                  <c:v>-5.8299528721056241E-4</c:v>
                </c:pt>
                <c:pt idx="293">
                  <c:v>-5.1117817636383375E-5</c:v>
                </c:pt>
                <c:pt idx="294">
                  <c:v>-4.5867769208429357E-4</c:v>
                </c:pt>
                <c:pt idx="295">
                  <c:v>-6.3793092848986289E-4</c:v>
                </c:pt>
                <c:pt idx="296">
                  <c:v>-7.5736126507977737E-4</c:v>
                </c:pt>
                <c:pt idx="297">
                  <c:v>1.8170846120716518E-5</c:v>
                </c:pt>
                <c:pt idx="298">
                  <c:v>1.9229331139760948E-4</c:v>
                </c:pt>
                <c:pt idx="299">
                  <c:v>-6.8384623598736994E-4</c:v>
                </c:pt>
                <c:pt idx="300">
                  <c:v>-2.0832821799102183E-3</c:v>
                </c:pt>
                <c:pt idx="301">
                  <c:v>-3.4861746596862669E-3</c:v>
                </c:pt>
                <c:pt idx="302">
                  <c:v>-2.6147247194312239E-3</c:v>
                </c:pt>
                <c:pt idx="303">
                  <c:v>-1.7960104018438852E-3</c:v>
                </c:pt>
                <c:pt idx="304">
                  <c:v>-6.6603865232049957E-4</c:v>
                </c:pt>
                <c:pt idx="305">
                  <c:v>-1.4142413562255943E-3</c:v>
                </c:pt>
                <c:pt idx="306">
                  <c:v>-7.0647838306527782E-4</c:v>
                </c:pt>
                <c:pt idx="307">
                  <c:v>-7.9643179336489429E-4</c:v>
                </c:pt>
                <c:pt idx="308">
                  <c:v>-8.9100160332324302E-4</c:v>
                </c:pt>
                <c:pt idx="309">
                  <c:v>7.8544704528003546E-4</c:v>
                </c:pt>
                <c:pt idx="310">
                  <c:v>-1.3643087951481917E-3</c:v>
                </c:pt>
                <c:pt idx="311">
                  <c:v>-7.5045888715518586E-5</c:v>
                </c:pt>
                <c:pt idx="312">
                  <c:v>-8.0286110502880692E-4</c:v>
                </c:pt>
                <c:pt idx="313">
                  <c:v>5.8816377491291134E-4</c:v>
                </c:pt>
                <c:pt idx="314">
                  <c:v>-8.8316056944273192E-4</c:v>
                </c:pt>
                <c:pt idx="315">
                  <c:v>3.5331768927823E-4</c:v>
                </c:pt>
                <c:pt idx="316">
                  <c:v>-7.479703355569681E-4</c:v>
                </c:pt>
                <c:pt idx="317">
                  <c:v>-7.9921476389746072E-4</c:v>
                </c:pt>
                <c:pt idx="318">
                  <c:v>-5.1889458400735441E-4</c:v>
                </c:pt>
                <c:pt idx="319">
                  <c:v>-3.6406493931220337E-4</c:v>
                </c:pt>
                <c:pt idx="320">
                  <c:v>-5.4874457947430252E-4</c:v>
                </c:pt>
                <c:pt idx="321">
                  <c:v>-1.5385386447102931E-4</c:v>
                </c:pt>
                <c:pt idx="322">
                  <c:v>-7.1272478809682139E-4</c:v>
                </c:pt>
                <c:pt idx="323">
                  <c:v>-1.8320024489137739E-4</c:v>
                </c:pt>
                <c:pt idx="324">
                  <c:v>-7.021964658085136E-4</c:v>
                </c:pt>
                <c:pt idx="325">
                  <c:v>-1.0469173192372374E-3</c:v>
                </c:pt>
                <c:pt idx="326">
                  <c:v>-7.7804039915834464E-4</c:v>
                </c:pt>
                <c:pt idx="327">
                  <c:v>-8.3259074975876887E-4</c:v>
                </c:pt>
                <c:pt idx="328">
                  <c:v>-7.5432698589947419E-4</c:v>
                </c:pt>
                <c:pt idx="329">
                  <c:v>-8.3010193419551356E-4</c:v>
                </c:pt>
                <c:pt idx="330">
                  <c:v>-1.6121250495018181E-4</c:v>
                </c:pt>
                <c:pt idx="331">
                  <c:v>-5.3253546440940427E-4</c:v>
                </c:pt>
                <c:pt idx="332">
                  <c:v>-8.9938950353342351E-4</c:v>
                </c:pt>
                <c:pt idx="333">
                  <c:v>-7.8438208122712217E-4</c:v>
                </c:pt>
                <c:pt idx="334">
                  <c:v>-5.1405669471665675E-4</c:v>
                </c:pt>
                <c:pt idx="335">
                  <c:v>-8.6493044049679884E-4</c:v>
                </c:pt>
                <c:pt idx="336">
                  <c:v>-1.2617976641179259E-4</c:v>
                </c:pt>
                <c:pt idx="337">
                  <c:v>-9.8595376598232132E-5</c:v>
                </c:pt>
                <c:pt idx="338">
                  <c:v>-4.088234347605154E-4</c:v>
                </c:pt>
                <c:pt idx="339">
                  <c:v>-3.0759766225785376E-4</c:v>
                </c:pt>
                <c:pt idx="340">
                  <c:v>-3.9904958069386626E-4</c:v>
                </c:pt>
                <c:pt idx="341">
                  <c:v>-1.7218517183901778E-4</c:v>
                </c:pt>
                <c:pt idx="342">
                  <c:v>-1.0814138237959223E-4</c:v>
                </c:pt>
                <c:pt idx="343">
                  <c:v>1.7302797166621504E-4</c:v>
                </c:pt>
                <c:pt idx="344">
                  <c:v>1.1919661481613922E-4</c:v>
                </c:pt>
                <c:pt idx="345">
                  <c:v>-1.9545185319848183E-4</c:v>
                </c:pt>
                <c:pt idx="346">
                  <c:v>-4.4561955972787501E-4</c:v>
                </c:pt>
                <c:pt idx="347">
                  <c:v>-2.9916824134016193E-4</c:v>
                </c:pt>
                <c:pt idx="348">
                  <c:v>-2.0479753189022457E-4</c:v>
                </c:pt>
                <c:pt idx="349">
                  <c:v>-2.9866194611501812E-4</c:v>
                </c:pt>
                <c:pt idx="350">
                  <c:v>6.2183669149203189E-4</c:v>
                </c:pt>
                <c:pt idx="351">
                  <c:v>9.1986677293028095E-4</c:v>
                </c:pt>
                <c:pt idx="352">
                  <c:v>-1.113003755177975E-4</c:v>
                </c:pt>
                <c:pt idx="353">
                  <c:v>-5.6590915111140367E-5</c:v>
                </c:pt>
                <c:pt idx="354">
                  <c:v>-2.9816773825079107E-4</c:v>
                </c:pt>
                <c:pt idx="355">
                  <c:v>-2.1595862232831113E-5</c:v>
                </c:pt>
                <c:pt idx="356">
                  <c:v>-4.6596247963260462E-4</c:v>
                </c:pt>
                <c:pt idx="357">
                  <c:v>-4.8264039961668019E-4</c:v>
                </c:pt>
                <c:pt idx="358">
                  <c:v>-1.1746721567299308E-3</c:v>
                </c:pt>
                <c:pt idx="359">
                  <c:v>4.6037472141358399E-5</c:v>
                </c:pt>
                <c:pt idx="360">
                  <c:v>-3.3169471472504325E-4</c:v>
                </c:pt>
                <c:pt idx="361">
                  <c:v>-1.5890357696023648E-4</c:v>
                </c:pt>
                <c:pt idx="362">
                  <c:v>-3.7444743199586424E-4</c:v>
                </c:pt>
                <c:pt idx="363">
                  <c:v>-6.5415780247563623E-4</c:v>
                </c:pt>
                <c:pt idx="364">
                  <c:v>-3.0875626398552927E-4</c:v>
                </c:pt>
                <c:pt idx="365">
                  <c:v>-5.5087352084436992E-4</c:v>
                </c:pt>
                <c:pt idx="366">
                  <c:v>4.1328940184710079E-4</c:v>
                </c:pt>
                <c:pt idx="367">
                  <c:v>8.8593046643041854E-4</c:v>
                </c:pt>
                <c:pt idx="368">
                  <c:v>3.2894379780486243E-4</c:v>
                </c:pt>
                <c:pt idx="369">
                  <c:v>-7.7603233594223007E-5</c:v>
                </c:pt>
                <c:pt idx="370">
                  <c:v>-5.9969318922718924E-5</c:v>
                </c:pt>
                <c:pt idx="371">
                  <c:v>-6.1610729278479073E-4</c:v>
                </c:pt>
                <c:pt idx="372">
                  <c:v>-4.6484878742389412E-4</c:v>
                </c:pt>
                <c:pt idx="373">
                  <c:v>-3.1738046542987333E-4</c:v>
                </c:pt>
                <c:pt idx="374">
                  <c:v>7.0881738002631081E-5</c:v>
                </c:pt>
                <c:pt idx="375">
                  <c:v>2.6353726347098092E-4</c:v>
                </c:pt>
                <c:pt idx="376">
                  <c:v>9.1809919005796819E-4</c:v>
                </c:pt>
                <c:pt idx="377">
                  <c:v>7.0489904838635421E-4</c:v>
                </c:pt>
                <c:pt idx="378">
                  <c:v>2.2684034003458942E-4</c:v>
                </c:pt>
                <c:pt idx="379">
                  <c:v>5.9924165383771371E-4</c:v>
                </c:pt>
                <c:pt idx="380">
                  <c:v>6.9877802875109585E-4</c:v>
                </c:pt>
                <c:pt idx="381">
                  <c:v>5.4826870051055676E-4</c:v>
                </c:pt>
                <c:pt idx="382">
                  <c:v>4.8174008020789307E-6</c:v>
                </c:pt>
                <c:pt idx="383">
                  <c:v>3.9345243268173912E-5</c:v>
                </c:pt>
                <c:pt idx="384">
                  <c:v>-5.8458162795231561E-4</c:v>
                </c:pt>
                <c:pt idx="385">
                  <c:v>1.4234293750872058E-3</c:v>
                </c:pt>
                <c:pt idx="386">
                  <c:v>4.6503492028283748E-4</c:v>
                </c:pt>
                <c:pt idx="387">
                  <c:v>1.0096484665561671E-3</c:v>
                </c:pt>
                <c:pt idx="388">
                  <c:v>1.1818099783821882E-3</c:v>
                </c:pt>
                <c:pt idx="389">
                  <c:v>1.3883189654035548E-4</c:v>
                </c:pt>
                <c:pt idx="390">
                  <c:v>-2.6790824723070013E-4</c:v>
                </c:pt>
                <c:pt idx="391">
                  <c:v>1.3498984745768817E-5</c:v>
                </c:pt>
                <c:pt idx="392">
                  <c:v>4.9407681265866245E-4</c:v>
                </c:pt>
                <c:pt idx="393">
                  <c:v>-1.2985806651957146E-4</c:v>
                </c:pt>
                <c:pt idx="394">
                  <c:v>-6.2649764949043751E-4</c:v>
                </c:pt>
                <c:pt idx="395">
                  <c:v>-3.0020739097730981E-4</c:v>
                </c:pt>
                <c:pt idx="396">
                  <c:v>-3.2037188842243757E-4</c:v>
                </c:pt>
                <c:pt idx="397">
                  <c:v>-6.7005054198431241E-4</c:v>
                </c:pt>
                <c:pt idx="398">
                  <c:v>-5.3426048075193972E-5</c:v>
                </c:pt>
                <c:pt idx="399">
                  <c:v>7.9557809953354397E-4</c:v>
                </c:pt>
                <c:pt idx="400">
                  <c:v>8.0234094770614806E-4</c:v>
                </c:pt>
                <c:pt idx="401">
                  <c:v>9.7182124334658419E-4</c:v>
                </c:pt>
                <c:pt idx="402">
                  <c:v>9.9555849925624541E-4</c:v>
                </c:pt>
                <c:pt idx="403">
                  <c:v>1.1513780304190124E-3</c:v>
                </c:pt>
                <c:pt idx="404">
                  <c:v>9.6504966325485669E-4</c:v>
                </c:pt>
                <c:pt idx="405">
                  <c:v>4.5401130149092688E-4</c:v>
                </c:pt>
                <c:pt idx="406">
                  <c:v>3.3995337543629792E-4</c:v>
                </c:pt>
                <c:pt idx="407">
                  <c:v>4.1835355878601824E-5</c:v>
                </c:pt>
                <c:pt idx="408">
                  <c:v>-6.7367810105589185E-5</c:v>
                </c:pt>
                <c:pt idx="409">
                  <c:v>2.6745607246319766E-5</c:v>
                </c:pt>
                <c:pt idx="410">
                  <c:v>-2.9033235817986768E-4</c:v>
                </c:pt>
                <c:pt idx="411">
                  <c:v>-8.7932125904970852E-4</c:v>
                </c:pt>
                <c:pt idx="412">
                  <c:v>-5.9236091367040314E-6</c:v>
                </c:pt>
                <c:pt idx="413">
                  <c:v>-2.2457574573425131E-4</c:v>
                </c:pt>
                <c:pt idx="414">
                  <c:v>-3.0637871540110711E-4</c:v>
                </c:pt>
                <c:pt idx="415">
                  <c:v>-5.5529677502783666E-4</c:v>
                </c:pt>
                <c:pt idx="416">
                  <c:v>-8.0329090721055832E-4</c:v>
                </c:pt>
                <c:pt idx="417">
                  <c:v>-8.7153144541693927E-4</c:v>
                </c:pt>
                <c:pt idx="418">
                  <c:v>-3.712440821710013E-4</c:v>
                </c:pt>
                <c:pt idx="419">
                  <c:v>-2.2024828155650273E-4</c:v>
                </c:pt>
                <c:pt idx="420">
                  <c:v>4.4490408044815051E-4</c:v>
                </c:pt>
                <c:pt idx="421">
                  <c:v>-2.5345857633607303E-3</c:v>
                </c:pt>
                <c:pt idx="422">
                  <c:v>-3.2068146161468962E-2</c:v>
                </c:pt>
                <c:pt idx="423">
                  <c:v>-7.6676860648316227E-3</c:v>
                </c:pt>
                <c:pt idx="424">
                  <c:v>-1.3978711380918292E-3</c:v>
                </c:pt>
                <c:pt idx="425">
                  <c:v>-4.7431340611521169E-4</c:v>
                </c:pt>
                <c:pt idx="426">
                  <c:v>-5.0426739876394469E-4</c:v>
                </c:pt>
                <c:pt idx="427">
                  <c:v>-1.0741352851845896E-3</c:v>
                </c:pt>
                <c:pt idx="428">
                  <c:v>-1.1747070701770136E-3</c:v>
                </c:pt>
                <c:pt idx="429">
                  <c:v>-3.1023819399112655E-4</c:v>
                </c:pt>
                <c:pt idx="430">
                  <c:v>-1.5888981002367931E-3</c:v>
                </c:pt>
                <c:pt idx="431">
                  <c:v>-7.2502136063174469E-4</c:v>
                </c:pt>
                <c:pt idx="432">
                  <c:v>-1.1133894390808355E-3</c:v>
                </c:pt>
                <c:pt idx="433">
                  <c:v>-8.9733295956646961E-4</c:v>
                </c:pt>
                <c:pt idx="434">
                  <c:v>-1.1596828225156589E-3</c:v>
                </c:pt>
                <c:pt idx="435">
                  <c:v>-3.6159865895652696E-4</c:v>
                </c:pt>
                <c:pt idx="436">
                  <c:v>-3.2813459484473765E-4</c:v>
                </c:pt>
                <c:pt idx="437">
                  <c:v>-1.0252537503028361E-4</c:v>
                </c:pt>
                <c:pt idx="438">
                  <c:v>-6.8084153192290433E-4</c:v>
                </c:pt>
                <c:pt idx="439">
                  <c:v>-9.6720096148138733E-4</c:v>
                </c:pt>
                <c:pt idx="440">
                  <c:v>-1.0760572500546988E-3</c:v>
                </c:pt>
                <c:pt idx="441">
                  <c:v>-4.4878115604306691E-4</c:v>
                </c:pt>
                <c:pt idx="442">
                  <c:v>-3.1008971531101316E-4</c:v>
                </c:pt>
                <c:pt idx="443">
                  <c:v>3.6885656222273329E-5</c:v>
                </c:pt>
                <c:pt idx="444">
                  <c:v>-5.5519980984842219E-4</c:v>
                </c:pt>
                <c:pt idx="445">
                  <c:v>-2.1614421026618105E-4</c:v>
                </c:pt>
                <c:pt idx="446">
                  <c:v>-5.2461241506989397E-4</c:v>
                </c:pt>
                <c:pt idx="447">
                  <c:v>2.5163786436471183E-4</c:v>
                </c:pt>
                <c:pt idx="448">
                  <c:v>5.0910506602318479E-4</c:v>
                </c:pt>
                <c:pt idx="449">
                  <c:v>-6.6541129079052672E-4</c:v>
                </c:pt>
                <c:pt idx="450">
                  <c:v>-5.362593992963863E-4</c:v>
                </c:pt>
                <c:pt idx="451">
                  <c:v>-8.5991015579648896E-4</c:v>
                </c:pt>
                <c:pt idx="452">
                  <c:v>-4.5754985927896305E-4</c:v>
                </c:pt>
                <c:pt idx="453">
                  <c:v>-6.4473252862515176E-4</c:v>
                </c:pt>
                <c:pt idx="454">
                  <c:v>-4.1683700603398021E-4</c:v>
                </c:pt>
                <c:pt idx="455">
                  <c:v>-4.0576168439106962E-4</c:v>
                </c:pt>
                <c:pt idx="456">
                  <c:v>-6.4418280622308979E-4</c:v>
                </c:pt>
                <c:pt idx="457">
                  <c:v>-2.1272771347393351E-4</c:v>
                </c:pt>
                <c:pt idx="458">
                  <c:v>-6.1925874925568508E-4</c:v>
                </c:pt>
                <c:pt idx="459">
                  <c:v>-6.9268678944456471E-5</c:v>
                </c:pt>
                <c:pt idx="460">
                  <c:v>-5.9096715262414842E-4</c:v>
                </c:pt>
                <c:pt idx="461">
                  <c:v>2.0472881932894942E-5</c:v>
                </c:pt>
                <c:pt idx="462">
                  <c:v>-3.6427757455555605E-4</c:v>
                </c:pt>
                <c:pt idx="463">
                  <c:v>-7.9985089018278088E-5</c:v>
                </c:pt>
                <c:pt idx="464">
                  <c:v>-8.3442954822521493E-4</c:v>
                </c:pt>
                <c:pt idx="465">
                  <c:v>-7.7912382995531818E-4</c:v>
                </c:pt>
                <c:pt idx="466">
                  <c:v>-6.9925901804268533E-4</c:v>
                </c:pt>
                <c:pt idx="467">
                  <c:v>-6.1268317778342051E-4</c:v>
                </c:pt>
                <c:pt idx="468">
                  <c:v>6.7399430270786195E-4</c:v>
                </c:pt>
                <c:pt idx="469">
                  <c:v>-1.4076218483254616E-4</c:v>
                </c:pt>
                <c:pt idx="470">
                  <c:v>-2.5495179093406304E-4</c:v>
                </c:pt>
                <c:pt idx="471">
                  <c:v>6.2585135448998627E-5</c:v>
                </c:pt>
                <c:pt idx="472">
                  <c:v>-5.695130697438098E-4</c:v>
                </c:pt>
                <c:pt idx="473">
                  <c:v>-1.1964763770697375E-4</c:v>
                </c:pt>
                <c:pt idx="474">
                  <c:v>-2.3569807773568064E-4</c:v>
                </c:pt>
                <c:pt idx="475">
                  <c:v>-5.4921500131710802E-4</c:v>
                </c:pt>
                <c:pt idx="476">
                  <c:v>-8.7064961136166488E-4</c:v>
                </c:pt>
                <c:pt idx="477">
                  <c:v>-1.1343629372384183E-3</c:v>
                </c:pt>
                <c:pt idx="478">
                  <c:v>1.0969226302757885E-4</c:v>
                </c:pt>
                <c:pt idx="479">
                  <c:v>-1.1231348566325965E-3</c:v>
                </c:pt>
                <c:pt idx="480">
                  <c:v>4.0006037012089719E-4</c:v>
                </c:pt>
                <c:pt idx="481">
                  <c:v>-3.1549028347819223E-4</c:v>
                </c:pt>
                <c:pt idx="482">
                  <c:v>1.3035213180043613E-4</c:v>
                </c:pt>
                <c:pt idx="483">
                  <c:v>6.8182845640712923E-5</c:v>
                </c:pt>
                <c:pt idx="484">
                  <c:v>-7.875040895374834E-4</c:v>
                </c:pt>
                <c:pt idx="485">
                  <c:v>-1.6762181233904107E-4</c:v>
                </c:pt>
                <c:pt idx="486">
                  <c:v>-8.2921356909791536E-4</c:v>
                </c:pt>
                <c:pt idx="487">
                  <c:v>-5.1740710592043529E-4</c:v>
                </c:pt>
                <c:pt idx="488">
                  <c:v>-5.4292792003131417E-4</c:v>
                </c:pt>
                <c:pt idx="489">
                  <c:v>-7.7025776086691331E-4</c:v>
                </c:pt>
                <c:pt idx="490">
                  <c:v>-3.2169766905253583E-4</c:v>
                </c:pt>
                <c:pt idx="491">
                  <c:v>-1.1141539198433611E-3</c:v>
                </c:pt>
                <c:pt idx="492">
                  <c:v>-4.093900052029207E-5</c:v>
                </c:pt>
                <c:pt idx="493">
                  <c:v>-1.1173000587994782E-3</c:v>
                </c:pt>
                <c:pt idx="494">
                  <c:v>-8.8911460121277833E-4</c:v>
                </c:pt>
                <c:pt idx="495">
                  <c:v>-8.5598415584412941E-5</c:v>
                </c:pt>
                <c:pt idx="496">
                  <c:v>5.1973077338067736E-4</c:v>
                </c:pt>
                <c:pt idx="497">
                  <c:v>-5.7446280551616958E-4</c:v>
                </c:pt>
                <c:pt idx="498">
                  <c:v>-1.7482013553607654E-4</c:v>
                </c:pt>
                <c:pt idx="499">
                  <c:v>-6.9648122497308171E-4</c:v>
                </c:pt>
                <c:pt idx="500">
                  <c:v>-1.0788961990725863E-3</c:v>
                </c:pt>
                <c:pt idx="501">
                  <c:v>7.2082202544043166E-6</c:v>
                </c:pt>
                <c:pt idx="502">
                  <c:v>-8.7609516407744273E-4</c:v>
                </c:pt>
                <c:pt idx="503">
                  <c:v>-7.2077182098110866E-4</c:v>
                </c:pt>
                <c:pt idx="504">
                  <c:v>-6.3738664022687031E-4</c:v>
                </c:pt>
                <c:pt idx="505">
                  <c:v>-4.2933621318790718E-5</c:v>
                </c:pt>
                <c:pt idx="506">
                  <c:v>-5.6503580591235588E-5</c:v>
                </c:pt>
                <c:pt idx="507">
                  <c:v>-1.420143474308028E-3</c:v>
                </c:pt>
                <c:pt idx="508">
                  <c:v>-3.2016486936580158E-4</c:v>
                </c:pt>
                <c:pt idx="509">
                  <c:v>-8.6187340738786886E-4</c:v>
                </c:pt>
                <c:pt idx="510">
                  <c:v>-2.1635901932416616E-4</c:v>
                </c:pt>
                <c:pt idx="511">
                  <c:v>-4.8368925870281143E-4</c:v>
                </c:pt>
                <c:pt idx="512">
                  <c:v>-6.2797537792755353E-4</c:v>
                </c:pt>
                <c:pt idx="513">
                  <c:v>-6.7184260085467436E-4</c:v>
                </c:pt>
                <c:pt idx="514">
                  <c:v>-3.142259535216037E-4</c:v>
                </c:pt>
                <c:pt idx="515">
                  <c:v>-5.1219166698511466E-4</c:v>
                </c:pt>
                <c:pt idx="516">
                  <c:v>-4.5853886917139516E-4</c:v>
                </c:pt>
                <c:pt idx="517">
                  <c:v>1.3930902722496418E-4</c:v>
                </c:pt>
                <c:pt idx="518">
                  <c:v>1.020835606746191E-4</c:v>
                </c:pt>
                <c:pt idx="519">
                  <c:v>-4.6834173221115206E-4</c:v>
                </c:pt>
                <c:pt idx="520">
                  <c:v>-5.5941301995145762E-4</c:v>
                </c:pt>
                <c:pt idx="521">
                  <c:v>-8.1208553360167786E-4</c:v>
                </c:pt>
                <c:pt idx="522">
                  <c:v>1.2483859487634623E-4</c:v>
                </c:pt>
                <c:pt idx="523">
                  <c:v>-8.310984097516077E-4</c:v>
                </c:pt>
                <c:pt idx="524">
                  <c:v>-2.8504323155676184E-4</c:v>
                </c:pt>
                <c:pt idx="525">
                  <c:v>8.5289886908079186E-4</c:v>
                </c:pt>
                <c:pt idx="526">
                  <c:v>5.4808224946247713E-4</c:v>
                </c:pt>
                <c:pt idx="527">
                  <c:v>2.628781656276105E-4</c:v>
                </c:pt>
                <c:pt idx="528">
                  <c:v>-1.955177875259365E-4</c:v>
                </c:pt>
                <c:pt idx="529">
                  <c:v>2.7713357342766065E-4</c:v>
                </c:pt>
                <c:pt idx="530">
                  <c:v>-5.8346725497714037E-4</c:v>
                </c:pt>
                <c:pt idx="531">
                  <c:v>2.1610766816501317E-4</c:v>
                </c:pt>
                <c:pt idx="532">
                  <c:v>-4.377635242820205E-4</c:v>
                </c:pt>
                <c:pt idx="533">
                  <c:v>5.0714683131707929E-4</c:v>
                </c:pt>
                <c:pt idx="534">
                  <c:v>2.0763406702815305E-4</c:v>
                </c:pt>
                <c:pt idx="535">
                  <c:v>1.9469018454405345E-4</c:v>
                </c:pt>
                <c:pt idx="536">
                  <c:v>-4.9133488724803596E-4</c:v>
                </c:pt>
                <c:pt idx="537">
                  <c:v>-7.3503081475347282E-4</c:v>
                </c:pt>
                <c:pt idx="538">
                  <c:v>5.954930098433373E-4</c:v>
                </c:pt>
                <c:pt idx="539">
                  <c:v>3.9916393057024533E-4</c:v>
                </c:pt>
                <c:pt idx="540">
                  <c:v>-2.9493518840429279E-4</c:v>
                </c:pt>
                <c:pt idx="541">
                  <c:v>-4.6418634011194978E-4</c:v>
                </c:pt>
                <c:pt idx="542">
                  <c:v>-3.2846643957957139E-4</c:v>
                </c:pt>
                <c:pt idx="543">
                  <c:v>-1.439838422515989E-4</c:v>
                </c:pt>
                <c:pt idx="544">
                  <c:v>-4.3235561314485037E-4</c:v>
                </c:pt>
                <c:pt idx="545">
                  <c:v>3.9758264485935998E-4</c:v>
                </c:pt>
                <c:pt idx="546">
                  <c:v>-1.5887869770077868E-6</c:v>
                </c:pt>
                <c:pt idx="547">
                  <c:v>-1.7673227302764086E-4</c:v>
                </c:pt>
                <c:pt idx="548">
                  <c:v>-1.306975552955985E-4</c:v>
                </c:pt>
                <c:pt idx="549">
                  <c:v>-4.9625888248854282E-4</c:v>
                </c:pt>
                <c:pt idx="550">
                  <c:v>-2.5808694544488062E-4</c:v>
                </c:pt>
                <c:pt idx="551">
                  <c:v>-7.5690187336631005E-5</c:v>
                </c:pt>
                <c:pt idx="552">
                  <c:v>-4.9442410623401847E-4</c:v>
                </c:pt>
                <c:pt idx="553">
                  <c:v>-2.6341442135241266E-4</c:v>
                </c:pt>
                <c:pt idx="554">
                  <c:v>-6.0928263156596212E-4</c:v>
                </c:pt>
                <c:pt idx="555">
                  <c:v>-3.456955865077789E-4</c:v>
                </c:pt>
                <c:pt idx="556">
                  <c:v>-6.2829961181702513E-5</c:v>
                </c:pt>
                <c:pt idx="557">
                  <c:v>-3.9208777830858989E-4</c:v>
                </c:pt>
                <c:pt idx="558">
                  <c:v>-3.524822449910643E-5</c:v>
                </c:pt>
                <c:pt idx="559">
                  <c:v>-6.9258423858153245E-4</c:v>
                </c:pt>
                <c:pt idx="560">
                  <c:v>-3.9362262885151187E-4</c:v>
                </c:pt>
                <c:pt idx="561">
                  <c:v>-6.9829233921784868E-4</c:v>
                </c:pt>
                <c:pt idx="562">
                  <c:v>-3.1647844318499519E-4</c:v>
                </c:pt>
                <c:pt idx="563">
                  <c:v>-2.6025194574187454E-4</c:v>
                </c:pt>
                <c:pt idx="564">
                  <c:v>-4.1840531809237156E-4</c:v>
                </c:pt>
                <c:pt idx="565">
                  <c:v>2.7111725568712303E-4</c:v>
                </c:pt>
                <c:pt idx="566">
                  <c:v>-1.268784439349811E-5</c:v>
                </c:pt>
                <c:pt idx="567">
                  <c:v>-3.5786956545580688E-4</c:v>
                </c:pt>
                <c:pt idx="568">
                  <c:v>-3.9207944492661435E-5</c:v>
                </c:pt>
                <c:pt idx="569">
                  <c:v>-2.8510060125934834E-4</c:v>
                </c:pt>
                <c:pt idx="570">
                  <c:v>9.6405453794218168E-5</c:v>
                </c:pt>
                <c:pt idx="571">
                  <c:v>2.1488034386339905E-4</c:v>
                </c:pt>
                <c:pt idx="572">
                  <c:v>-3.2055008275839975E-4</c:v>
                </c:pt>
                <c:pt idx="573">
                  <c:v>-8.457374830852504E-5</c:v>
                </c:pt>
                <c:pt idx="574">
                  <c:v>3.1436441462797093E-4</c:v>
                </c:pt>
                <c:pt idx="575">
                  <c:v>3.4426358888664684E-4</c:v>
                </c:pt>
                <c:pt idx="576">
                  <c:v>-8.1596295528108817E-5</c:v>
                </c:pt>
                <c:pt idx="577">
                  <c:v>4.8841299929980265E-4</c:v>
                </c:pt>
                <c:pt idx="578">
                  <c:v>3.183301001515667E-4</c:v>
                </c:pt>
                <c:pt idx="579">
                  <c:v>3.5380778774822969E-4</c:v>
                </c:pt>
                <c:pt idx="580">
                  <c:v>1.0975896582668381E-4</c:v>
                </c:pt>
                <c:pt idx="581">
                  <c:v>-9.3926699603629323E-5</c:v>
                </c:pt>
                <c:pt idx="582">
                  <c:v>-8.5037767902567275E-4</c:v>
                </c:pt>
                <c:pt idx="583">
                  <c:v>1.5328489530558003E-5</c:v>
                </c:pt>
                <c:pt idx="584">
                  <c:v>-2.3674965633117183E-4</c:v>
                </c:pt>
                <c:pt idx="585">
                  <c:v>-3.6285859079194892E-4</c:v>
                </c:pt>
                <c:pt idx="586">
                  <c:v>-6.892433873912897E-4</c:v>
                </c:pt>
                <c:pt idx="587">
                  <c:v>-2.8042147233760836E-4</c:v>
                </c:pt>
                <c:pt idx="588">
                  <c:v>-6.7837549134450203E-4</c:v>
                </c:pt>
                <c:pt idx="589">
                  <c:v>-6.6338353242512886E-4</c:v>
                </c:pt>
                <c:pt idx="590">
                  <c:v>-4.94081594595422E-4</c:v>
                </c:pt>
                <c:pt idx="591">
                  <c:v>-5.3089441334245159E-4</c:v>
                </c:pt>
                <c:pt idx="592">
                  <c:v>-5.325956181556795E-4</c:v>
                </c:pt>
                <c:pt idx="593">
                  <c:v>3.6773183796265342E-4</c:v>
                </c:pt>
                <c:pt idx="594">
                  <c:v>-9.3032455141133961E-4</c:v>
                </c:pt>
                <c:pt idx="595">
                  <c:v>-3.9568739307578056E-4</c:v>
                </c:pt>
                <c:pt idx="596">
                  <c:v>-3.6863022667070309E-4</c:v>
                </c:pt>
                <c:pt idx="597">
                  <c:v>-5.7452910651060486E-4</c:v>
                </c:pt>
                <c:pt idx="598">
                  <c:v>-5.4369548124362185E-4</c:v>
                </c:pt>
                <c:pt idx="599">
                  <c:v>-3.7850509470958496E-4</c:v>
                </c:pt>
                <c:pt idx="600">
                  <c:v>-1.2462071744764134E-3</c:v>
                </c:pt>
                <c:pt idx="601">
                  <c:v>-4.1211549643605866E-4</c:v>
                </c:pt>
                <c:pt idx="602">
                  <c:v>-1.8713594721469885E-4</c:v>
                </c:pt>
                <c:pt idx="603">
                  <c:v>-4.7564041584560951E-4</c:v>
                </c:pt>
                <c:pt idx="604">
                  <c:v>-5.2515127059572027E-4</c:v>
                </c:pt>
                <c:pt idx="605">
                  <c:v>-6.5497061535503087E-4</c:v>
                </c:pt>
                <c:pt idx="606">
                  <c:v>-2.4923906558010239E-4</c:v>
                </c:pt>
                <c:pt idx="607">
                  <c:v>-1.0008762505147809E-3</c:v>
                </c:pt>
                <c:pt idx="608">
                  <c:v>-4.9266117875662748E-4</c:v>
                </c:pt>
                <c:pt idx="609">
                  <c:v>-7.7945142901942493E-4</c:v>
                </c:pt>
                <c:pt idx="610">
                  <c:v>-6.0853703412063495E-4</c:v>
                </c:pt>
                <c:pt idx="611">
                  <c:v>-5.7211683227946129E-4</c:v>
                </c:pt>
                <c:pt idx="612">
                  <c:v>-3.7430129482617195E-4</c:v>
                </c:pt>
                <c:pt idx="613">
                  <c:v>-4.8568717262816534E-4</c:v>
                </c:pt>
                <c:pt idx="614">
                  <c:v>-6.0260221272584967E-4</c:v>
                </c:pt>
                <c:pt idx="615">
                  <c:v>-6.333972137896358E-4</c:v>
                </c:pt>
                <c:pt idx="616">
                  <c:v>-5.469699633307586E-4</c:v>
                </c:pt>
                <c:pt idx="617">
                  <c:v>-4.3045806909449119E-4</c:v>
                </c:pt>
                <c:pt idx="618">
                  <c:v>-6.9796799130090732E-4</c:v>
                </c:pt>
                <c:pt idx="619">
                  <c:v>5.5626379705634602E-5</c:v>
                </c:pt>
                <c:pt idx="620">
                  <c:v>-3.6396039106915398E-4</c:v>
                </c:pt>
                <c:pt idx="621">
                  <c:v>-5.7156854739948517E-4</c:v>
                </c:pt>
                <c:pt idx="622">
                  <c:v>-5.5206378897894412E-4</c:v>
                </c:pt>
                <c:pt idx="623">
                  <c:v>-7.0302671501517059E-4</c:v>
                </c:pt>
                <c:pt idx="624">
                  <c:v>-5.169714171669392E-4</c:v>
                </c:pt>
                <c:pt idx="625">
                  <c:v>-2.391958569051427E-4</c:v>
                </c:pt>
                <c:pt idx="626">
                  <c:v>-9.2162277051233198E-4</c:v>
                </c:pt>
                <c:pt idx="627">
                  <c:v>-4.0320103079852877E-4</c:v>
                </c:pt>
                <c:pt idx="628">
                  <c:v>-3.9847129931174527E-4</c:v>
                </c:pt>
                <c:pt idx="629">
                  <c:v>-4.9240550889462491E-4</c:v>
                </c:pt>
                <c:pt idx="630">
                  <c:v>2.4072444928805905E-5</c:v>
                </c:pt>
                <c:pt idx="631">
                  <c:v>-2.0934764054481139E-4</c:v>
                </c:pt>
                <c:pt idx="632">
                  <c:v>-7.4534161490678028E-4</c:v>
                </c:pt>
                <c:pt idx="633">
                  <c:v>-7.8768913490250556E-4</c:v>
                </c:pt>
                <c:pt idx="634">
                  <c:v>-6.9182483386600875E-4</c:v>
                </c:pt>
                <c:pt idx="635">
                  <c:v>-9.8086563673945894E-4</c:v>
                </c:pt>
                <c:pt idx="636">
                  <c:v>-2.8662894580109915E-4</c:v>
                </c:pt>
                <c:pt idx="637">
                  <c:v>-5.9288921719186517E-4</c:v>
                </c:pt>
                <c:pt idx="638">
                  <c:v>-1.3351522579934359E-3</c:v>
                </c:pt>
                <c:pt idx="639">
                  <c:v>-4.5138454387825053E-4</c:v>
                </c:pt>
                <c:pt idx="640">
                  <c:v>-1.2697891428426857E-3</c:v>
                </c:pt>
                <c:pt idx="641">
                  <c:v>-1.1516285163419785E-3</c:v>
                </c:pt>
                <c:pt idx="642">
                  <c:v>-4.8543022882106888E-4</c:v>
                </c:pt>
                <c:pt idx="643">
                  <c:v>-4.716321720921046E-4</c:v>
                </c:pt>
                <c:pt idx="644">
                  <c:v>-8.6174013036088805E-4</c:v>
                </c:pt>
                <c:pt idx="645">
                  <c:v>-6.9763971405876286E-4</c:v>
                </c:pt>
                <c:pt idx="646">
                  <c:v>-1.0181315631810454E-3</c:v>
                </c:pt>
                <c:pt idx="647">
                  <c:v>-5.0100283901617019E-4</c:v>
                </c:pt>
                <c:pt idx="648">
                  <c:v>-1.5563308668767325E-4</c:v>
                </c:pt>
                <c:pt idx="649">
                  <c:v>-7.5168798168914909E-5</c:v>
                </c:pt>
                <c:pt idx="650">
                  <c:v>-4.4631600912322614E-4</c:v>
                </c:pt>
                <c:pt idx="651">
                  <c:v>-1.8122258788789988E-4</c:v>
                </c:pt>
                <c:pt idx="652">
                  <c:v>7.5718403052564423E-4</c:v>
                </c:pt>
                <c:pt idx="653">
                  <c:v>8.2757147814941777E-4</c:v>
                </c:pt>
                <c:pt idx="654">
                  <c:v>5.8908438793137271E-4</c:v>
                </c:pt>
                <c:pt idx="655">
                  <c:v>8.5531542293173146E-4</c:v>
                </c:pt>
                <c:pt idx="656">
                  <c:v>7.5639101346292677E-4</c:v>
                </c:pt>
                <c:pt idx="657">
                  <c:v>6.3465976000337619E-4</c:v>
                </c:pt>
                <c:pt idx="658">
                  <c:v>1.8800203625948941E-4</c:v>
                </c:pt>
                <c:pt idx="659">
                  <c:v>2.5915389133965283E-4</c:v>
                </c:pt>
                <c:pt idx="660">
                  <c:v>-1.7017967495970459E-4</c:v>
                </c:pt>
                <c:pt idx="661">
                  <c:v>1.1151727718593902E-3</c:v>
                </c:pt>
                <c:pt idx="662">
                  <c:v>7.7313506841001579E-5</c:v>
                </c:pt>
                <c:pt idx="663">
                  <c:v>3.4594405308052592E-4</c:v>
                </c:pt>
                <c:pt idx="664">
                  <c:v>8.4193982937502915E-6</c:v>
                </c:pt>
                <c:pt idx="665">
                  <c:v>2.6694763359181895E-5</c:v>
                </c:pt>
                <c:pt idx="666">
                  <c:v>-8.010933450571504E-5</c:v>
                </c:pt>
                <c:pt idx="667">
                  <c:v>1.0662358642972145E-3</c:v>
                </c:pt>
                <c:pt idx="668">
                  <c:v>6.9736699463951262E-4</c:v>
                </c:pt>
                <c:pt idx="669">
                  <c:v>-1.0307113607972324E-4</c:v>
                </c:pt>
                <c:pt idx="670">
                  <c:v>-3.9376722731660438E-5</c:v>
                </c:pt>
                <c:pt idx="671">
                  <c:v>4.0707088999649766E-4</c:v>
                </c:pt>
                <c:pt idx="672">
                  <c:v>2.6293968782899017E-4</c:v>
                </c:pt>
                <c:pt idx="673">
                  <c:v>-6.5285041151975139E-4</c:v>
                </c:pt>
                <c:pt idx="674">
                  <c:v>-7.7252531612180813E-4</c:v>
                </c:pt>
                <c:pt idx="675">
                  <c:v>-2.8652750864730192E-4</c:v>
                </c:pt>
                <c:pt idx="676">
                  <c:v>2.1614819119926533E-5</c:v>
                </c:pt>
                <c:pt idx="677">
                  <c:v>-6.5730588498545532E-4</c:v>
                </c:pt>
                <c:pt idx="678">
                  <c:v>7.9257258479127006E-4</c:v>
                </c:pt>
                <c:pt idx="679">
                  <c:v>-6.7617530367547365E-4</c:v>
                </c:pt>
                <c:pt idx="680">
                  <c:v>-3.4199572386145997E-4</c:v>
                </c:pt>
                <c:pt idx="681">
                  <c:v>-9.2055017157235294E-5</c:v>
                </c:pt>
                <c:pt idx="682">
                  <c:v>-3.6758846749255478E-4</c:v>
                </c:pt>
                <c:pt idx="683">
                  <c:v>5.7052876606038477E-4</c:v>
                </c:pt>
                <c:pt idx="684">
                  <c:v>-4.8756059823281328E-4</c:v>
                </c:pt>
                <c:pt idx="685">
                  <c:v>-3.3064643490792009E-4</c:v>
                </c:pt>
                <c:pt idx="686">
                  <c:v>-9.2487080959325436E-4</c:v>
                </c:pt>
                <c:pt idx="687">
                  <c:v>-5.7674537828501218E-4</c:v>
                </c:pt>
                <c:pt idx="688">
                  <c:v>-1.7863590581714299E-4</c:v>
                </c:pt>
                <c:pt idx="689">
                  <c:v>4.1017534996214518E-4</c:v>
                </c:pt>
                <c:pt idx="690">
                  <c:v>2.8103267600273677E-4</c:v>
                </c:pt>
                <c:pt idx="691">
                  <c:v>-1.9482880354467099E-4</c:v>
                </c:pt>
                <c:pt idx="692">
                  <c:v>-6.1691724169380104E-5</c:v>
                </c:pt>
                <c:pt idx="693">
                  <c:v>1.0582499595647521E-3</c:v>
                </c:pt>
                <c:pt idx="694">
                  <c:v>6.1778585098489356E-5</c:v>
                </c:pt>
                <c:pt idx="695">
                  <c:v>8.9426617569696827E-4</c:v>
                </c:pt>
                <c:pt idx="696">
                  <c:v>7.9696741339547984E-4</c:v>
                </c:pt>
                <c:pt idx="697">
                  <c:v>1.0410506753003269E-3</c:v>
                </c:pt>
                <c:pt idx="698">
                  <c:v>7.2333079363854667E-5</c:v>
                </c:pt>
                <c:pt idx="699">
                  <c:v>3.3118313074369588E-5</c:v>
                </c:pt>
                <c:pt idx="700">
                  <c:v>2.9698814975467365E-4</c:v>
                </c:pt>
                <c:pt idx="701">
                  <c:v>7.2957894234892344E-4</c:v>
                </c:pt>
                <c:pt idx="702">
                  <c:v>5.3073781551909224E-4</c:v>
                </c:pt>
                <c:pt idx="703">
                  <c:v>4.3321572086886707E-4</c:v>
                </c:pt>
                <c:pt idx="704">
                  <c:v>3.9397407275377637E-4</c:v>
                </c:pt>
                <c:pt idx="705">
                  <c:v>3.026337178445966E-4</c:v>
                </c:pt>
                <c:pt idx="706">
                  <c:v>6.1162443649161614E-4</c:v>
                </c:pt>
                <c:pt idx="707">
                  <c:v>1.0385953522173571E-3</c:v>
                </c:pt>
                <c:pt idx="708">
                  <c:v>6.4768311251505578E-4</c:v>
                </c:pt>
                <c:pt idx="709">
                  <c:v>7.3650503202189136E-4</c:v>
                </c:pt>
                <c:pt idx="710">
                  <c:v>5.3927903971132509E-4</c:v>
                </c:pt>
                <c:pt idx="711">
                  <c:v>9.763328205005321E-4</c:v>
                </c:pt>
                <c:pt idx="712">
                  <c:v>1.1434217955956743E-3</c:v>
                </c:pt>
                <c:pt idx="713">
                  <c:v>4.3443425293179566E-4</c:v>
                </c:pt>
                <c:pt idx="714">
                  <c:v>1.2407271323278926E-3</c:v>
                </c:pt>
                <c:pt idx="715">
                  <c:v>9.5921950199048919E-4</c:v>
                </c:pt>
                <c:pt idx="716">
                  <c:v>6.8093223656592742E-4</c:v>
                </c:pt>
                <c:pt idx="717">
                  <c:v>4.4894365780755603E-4</c:v>
                </c:pt>
                <c:pt idx="718">
                  <c:v>1.2883392960231727E-3</c:v>
                </c:pt>
                <c:pt idx="719">
                  <c:v>6.7247431855264048E-4</c:v>
                </c:pt>
                <c:pt idx="720">
                  <c:v>3.7257085320127864E-4</c:v>
                </c:pt>
                <c:pt idx="721">
                  <c:v>-1.3169858132115194E-4</c:v>
                </c:pt>
                <c:pt idx="722">
                  <c:v>-6.7220774070840016E-5</c:v>
                </c:pt>
                <c:pt idx="723">
                  <c:v>2.0301928092071838E-4</c:v>
                </c:pt>
                <c:pt idx="724">
                  <c:v>-2.3614050860746672E-4</c:v>
                </c:pt>
                <c:pt idx="725">
                  <c:v>-2.0941231753029047E-4</c:v>
                </c:pt>
                <c:pt idx="726">
                  <c:v>3.3257193006182517E-4</c:v>
                </c:pt>
                <c:pt idx="727">
                  <c:v>1.3091728448841406E-4</c:v>
                </c:pt>
                <c:pt idx="728">
                  <c:v>1.5322594568460801E-4</c:v>
                </c:pt>
                <c:pt idx="729">
                  <c:v>4.0635370728779195E-4</c:v>
                </c:pt>
                <c:pt idx="730">
                  <c:v>4.9304691789654373E-4</c:v>
                </c:pt>
                <c:pt idx="731">
                  <c:v>2.8847073820450434E-4</c:v>
                </c:pt>
                <c:pt idx="732">
                  <c:v>7.1895600243514852E-4</c:v>
                </c:pt>
                <c:pt idx="733">
                  <c:v>1.6906068814891238E-4</c:v>
                </c:pt>
                <c:pt idx="734">
                  <c:v>6.3698172690850356E-4</c:v>
                </c:pt>
                <c:pt idx="735">
                  <c:v>8.4757049970335028E-5</c:v>
                </c:pt>
                <c:pt idx="736">
                  <c:v>2.5032503817349998E-4</c:v>
                </c:pt>
                <c:pt idx="737">
                  <c:v>6.7185443585963023E-4</c:v>
                </c:pt>
                <c:pt idx="738">
                  <c:v>-2.0213687554147307E-4</c:v>
                </c:pt>
                <c:pt idx="739">
                  <c:v>5.0928799110060749E-4</c:v>
                </c:pt>
                <c:pt idx="740">
                  <c:v>4.0911860401000622E-4</c:v>
                </c:pt>
                <c:pt idx="741">
                  <c:v>2.0091572645999304E-4</c:v>
                </c:pt>
                <c:pt idx="742">
                  <c:v>4.7125306239369783E-4</c:v>
                </c:pt>
                <c:pt idx="743">
                  <c:v>-9.7764007061595286E-4</c:v>
                </c:pt>
                <c:pt idx="744">
                  <c:v>-5.4847471792742613E-4</c:v>
                </c:pt>
                <c:pt idx="745">
                  <c:v>-9.7144133771973106E-4</c:v>
                </c:pt>
                <c:pt idx="746">
                  <c:v>-3.8683468763965021E-4</c:v>
                </c:pt>
                <c:pt idx="747">
                  <c:v>-5.5285107207459253E-4</c:v>
                </c:pt>
                <c:pt idx="748">
                  <c:v>1.6710267695669553E-4</c:v>
                </c:pt>
                <c:pt idx="749">
                  <c:v>-6.6028760121977521E-4</c:v>
                </c:pt>
                <c:pt idx="750">
                  <c:v>-7.0293763078747656E-4</c:v>
                </c:pt>
                <c:pt idx="751">
                  <c:v>-6.3437021548121066E-4</c:v>
                </c:pt>
                <c:pt idx="752">
                  <c:v>-3.8056219842788088E-4</c:v>
                </c:pt>
                <c:pt idx="753">
                  <c:v>4.7592477106367154E-4</c:v>
                </c:pt>
                <c:pt idx="754">
                  <c:v>-8.1407826290369153E-4</c:v>
                </c:pt>
                <c:pt idx="755">
                  <c:v>-1.1429401345638423E-3</c:v>
                </c:pt>
                <c:pt idx="756">
                  <c:v>-7.5188866219900606E-4</c:v>
                </c:pt>
                <c:pt idx="757">
                  <c:v>-5.2806932341386116E-4</c:v>
                </c:pt>
                <c:pt idx="758">
                  <c:v>-6.2638015078339928E-4</c:v>
                </c:pt>
                <c:pt idx="759">
                  <c:v>-3.9114805057195479E-4</c:v>
                </c:pt>
                <c:pt idx="760">
                  <c:v>2.6790637773352365E-4</c:v>
                </c:pt>
                <c:pt idx="761">
                  <c:v>2.0512581250873265E-5</c:v>
                </c:pt>
                <c:pt idx="762">
                  <c:v>-3.6532294432552257E-4</c:v>
                </c:pt>
                <c:pt idx="763">
                  <c:v>1.5001133269169814E-4</c:v>
                </c:pt>
                <c:pt idx="764">
                  <c:v>5.0840848589749391E-4</c:v>
                </c:pt>
                <c:pt idx="765">
                  <c:v>6.9855204812782645E-4</c:v>
                </c:pt>
                <c:pt idx="766">
                  <c:v>2.3547089000707633E-4</c:v>
                </c:pt>
                <c:pt idx="767">
                  <c:v>6.1249260934598E-4</c:v>
                </c:pt>
                <c:pt idx="768">
                  <c:v>8.3691453046225422E-4</c:v>
                </c:pt>
                <c:pt idx="769">
                  <c:v>7.2878243192712859E-4</c:v>
                </c:pt>
                <c:pt idx="770">
                  <c:v>1.5835073331587749E-3</c:v>
                </c:pt>
                <c:pt idx="771">
                  <c:v>2.9716850439495012E-4</c:v>
                </c:pt>
                <c:pt idx="772">
                  <c:v>5.2551053057169235E-4</c:v>
                </c:pt>
                <c:pt idx="773">
                  <c:v>8.7565217240003038E-5</c:v>
                </c:pt>
                <c:pt idx="774">
                  <c:v>1.0463752406157864E-3</c:v>
                </c:pt>
                <c:pt idx="775">
                  <c:v>5.626888078550128E-4</c:v>
                </c:pt>
                <c:pt idx="776">
                  <c:v>7.7905176533322529E-4</c:v>
                </c:pt>
                <c:pt idx="777">
                  <c:v>7.2335657065232051E-4</c:v>
                </c:pt>
                <c:pt idx="778">
                  <c:v>1.7235513358807567E-4</c:v>
                </c:pt>
                <c:pt idx="779">
                  <c:v>3.9148809152538482E-4</c:v>
                </c:pt>
                <c:pt idx="780">
                  <c:v>1.3557640875478934E-3</c:v>
                </c:pt>
                <c:pt idx="781">
                  <c:v>1.1064083310995748E-3</c:v>
                </c:pt>
                <c:pt idx="782">
                  <c:v>1.4517200421692012E-3</c:v>
                </c:pt>
                <c:pt idx="783">
                  <c:v>4.5921835469748287E-4</c:v>
                </c:pt>
                <c:pt idx="784">
                  <c:v>1.0951189219968675E-4</c:v>
                </c:pt>
                <c:pt idx="785">
                  <c:v>-4.5402884694333434E-5</c:v>
                </c:pt>
                <c:pt idx="786">
                  <c:v>3.6663477479723084E-4</c:v>
                </c:pt>
                <c:pt idx="787">
                  <c:v>8.7554877551385797E-4</c:v>
                </c:pt>
                <c:pt idx="788">
                  <c:v>1.221389038068026E-3</c:v>
                </c:pt>
                <c:pt idx="789">
                  <c:v>1.2407124986741126E-3</c:v>
                </c:pt>
                <c:pt idx="790">
                  <c:v>5.2648564677052346E-4</c:v>
                </c:pt>
                <c:pt idx="791">
                  <c:v>9.5270786194142244E-4</c:v>
                </c:pt>
                <c:pt idx="792">
                  <c:v>2.6225887612498953E-4</c:v>
                </c:pt>
                <c:pt idx="793">
                  <c:v>8.0140974563289776E-4</c:v>
                </c:pt>
                <c:pt idx="794">
                  <c:v>7.224000949347468E-4</c:v>
                </c:pt>
                <c:pt idx="795">
                  <c:v>7.7501768933582147E-5</c:v>
                </c:pt>
                <c:pt idx="796">
                  <c:v>1.631225965588901E-3</c:v>
                </c:pt>
                <c:pt idx="797">
                  <c:v>1.1174890650134778E-3</c:v>
                </c:pt>
                <c:pt idx="798">
                  <c:v>5.3416715125506262E-4</c:v>
                </c:pt>
                <c:pt idx="799">
                  <c:v>6.7824637581680007E-4</c:v>
                </c:pt>
                <c:pt idx="800">
                  <c:v>4.981007175899765E-4</c:v>
                </c:pt>
                <c:pt idx="801">
                  <c:v>1.2856576555555615E-4</c:v>
                </c:pt>
                <c:pt idx="802">
                  <c:v>9.1598587827669239E-4</c:v>
                </c:pt>
                <c:pt idx="803">
                  <c:v>8.2809771553031607E-4</c:v>
                </c:pt>
                <c:pt idx="804">
                  <c:v>6.7620653176618225E-4</c:v>
                </c:pt>
                <c:pt idx="805">
                  <c:v>7.4195680266193182E-4</c:v>
                </c:pt>
                <c:pt idx="806">
                  <c:v>8.4502963470013074E-4</c:v>
                </c:pt>
                <c:pt idx="807">
                  <c:v>7.9826092027966906E-4</c:v>
                </c:pt>
                <c:pt idx="808">
                  <c:v>1.6464933703285165E-3</c:v>
                </c:pt>
                <c:pt idx="809">
                  <c:v>1.0906537190948111E-3</c:v>
                </c:pt>
                <c:pt idx="810">
                  <c:v>4.1696023161544069E-5</c:v>
                </c:pt>
                <c:pt idx="811">
                  <c:v>9.7288381857781555E-5</c:v>
                </c:pt>
                <c:pt idx="812">
                  <c:v>-2.4725869798886032E-4</c:v>
                </c:pt>
                <c:pt idx="813">
                  <c:v>-1.2275573583509221E-3</c:v>
                </c:pt>
                <c:pt idx="814">
                  <c:v>-1.0521541950113378E-4</c:v>
                </c:pt>
                <c:pt idx="815">
                  <c:v>3.311012838251313E-4</c:v>
                </c:pt>
                <c:pt idx="816">
                  <c:v>7.9097078574178012E-4</c:v>
                </c:pt>
                <c:pt idx="817">
                  <c:v>8.2187313872350088E-4</c:v>
                </c:pt>
                <c:pt idx="818">
                  <c:v>1.5191636190181056E-4</c:v>
                </c:pt>
                <c:pt idx="819">
                  <c:v>3.4579840652789693E-4</c:v>
                </c:pt>
                <c:pt idx="820">
                  <c:v>3.0921920066552603E-4</c:v>
                </c:pt>
                <c:pt idx="821">
                  <c:v>-7.1403912821893978E-4</c:v>
                </c:pt>
                <c:pt idx="822">
                  <c:v>-9.0818091621118577E-4</c:v>
                </c:pt>
                <c:pt idx="823">
                  <c:v>-6.1326767013927829E-4</c:v>
                </c:pt>
                <c:pt idx="824">
                  <c:v>-2.1781064263543754E-4</c:v>
                </c:pt>
                <c:pt idx="825">
                  <c:v>-5.2843754498173084E-4</c:v>
                </c:pt>
                <c:pt idx="826">
                  <c:v>-8.3312456668788962E-4</c:v>
                </c:pt>
                <c:pt idx="827">
                  <c:v>-9.8097829364280297E-4</c:v>
                </c:pt>
                <c:pt idx="828">
                  <c:v>-5.7294310807322042E-4</c:v>
                </c:pt>
                <c:pt idx="829">
                  <c:v>-8.8989613772763804E-4</c:v>
                </c:pt>
                <c:pt idx="830">
                  <c:v>-7.0455630533002315E-4</c:v>
                </c:pt>
                <c:pt idx="831">
                  <c:v>-3.3004632091702068E-4</c:v>
                </c:pt>
                <c:pt idx="832">
                  <c:v>5.4334469672379516E-4</c:v>
                </c:pt>
                <c:pt idx="833">
                  <c:v>-3.4257521340394585E-4</c:v>
                </c:pt>
                <c:pt idx="834">
                  <c:v>-3.6756152655220687E-4</c:v>
                </c:pt>
                <c:pt idx="835">
                  <c:v>-7.7587079669717629E-5</c:v>
                </c:pt>
                <c:pt idx="836">
                  <c:v>-7.2842259983012182E-4</c:v>
                </c:pt>
                <c:pt idx="837">
                  <c:v>-6.4591267586394674E-4</c:v>
                </c:pt>
                <c:pt idx="838">
                  <c:v>-1.9134853872457166E-5</c:v>
                </c:pt>
                <c:pt idx="839">
                  <c:v>-4.1409942470550771E-4</c:v>
                </c:pt>
                <c:pt idx="840">
                  <c:v>-7.6598070419426863E-4</c:v>
                </c:pt>
                <c:pt idx="841">
                  <c:v>-8.2360797532360656E-4</c:v>
                </c:pt>
                <c:pt idx="842">
                  <c:v>-6.8715013596689495E-4</c:v>
                </c:pt>
                <c:pt idx="843">
                  <c:v>-7.7764080429207859E-4</c:v>
                </c:pt>
                <c:pt idx="844">
                  <c:v>-3.6758466795170112E-4</c:v>
                </c:pt>
                <c:pt idx="845">
                  <c:v>-1.7345424747099289E-4</c:v>
                </c:pt>
                <c:pt idx="846">
                  <c:v>-2.738124915710707E-4</c:v>
                </c:pt>
                <c:pt idx="847">
                  <c:v>-5.0234140568064869E-4</c:v>
                </c:pt>
                <c:pt idx="848">
                  <c:v>-6.5303571134829813E-4</c:v>
                </c:pt>
                <c:pt idx="849">
                  <c:v>-7.8036672303195213E-4</c:v>
                </c:pt>
                <c:pt idx="850">
                  <c:v>-4.8525110035812423E-4</c:v>
                </c:pt>
                <c:pt idx="851">
                  <c:v>-6.5351665704619722E-4</c:v>
                </c:pt>
                <c:pt idx="852">
                  <c:v>-5.7403350581420947E-4</c:v>
                </c:pt>
                <c:pt idx="853">
                  <c:v>-2.9258359466558973E-4</c:v>
                </c:pt>
                <c:pt idx="854">
                  <c:v>-9.2533594967710334E-4</c:v>
                </c:pt>
                <c:pt idx="855">
                  <c:v>-1.8123575938147412E-4</c:v>
                </c:pt>
                <c:pt idx="856">
                  <c:v>-4.0494057384997281E-4</c:v>
                </c:pt>
                <c:pt idx="857">
                  <c:v>-4.8085151468228E-4</c:v>
                </c:pt>
                <c:pt idx="858">
                  <c:v>-1.3465766298679857E-4</c:v>
                </c:pt>
                <c:pt idx="859">
                  <c:v>2.4735589380649739E-4</c:v>
                </c:pt>
                <c:pt idx="860">
                  <c:v>9.8767689368382708E-4</c:v>
                </c:pt>
                <c:pt idx="861">
                  <c:v>6.3281627087054531E-4</c:v>
                </c:pt>
                <c:pt idx="862">
                  <c:v>-2.9354127493802214E-4</c:v>
                </c:pt>
                <c:pt idx="863">
                  <c:v>-5.7790670184132854E-4</c:v>
                </c:pt>
                <c:pt idx="864">
                  <c:v>4.0774731583386012E-4</c:v>
                </c:pt>
                <c:pt idx="865">
                  <c:v>8.4426040583011658E-4</c:v>
                </c:pt>
                <c:pt idx="866">
                  <c:v>-1.6595776067656484E-4</c:v>
                </c:pt>
                <c:pt idx="867">
                  <c:v>7.9898615495255199E-4</c:v>
                </c:pt>
                <c:pt idx="868">
                  <c:v>4.6649844627343626E-4</c:v>
                </c:pt>
                <c:pt idx="869">
                  <c:v>4.2089101442157473E-4</c:v>
                </c:pt>
                <c:pt idx="870">
                  <c:v>2.2963672356394587E-4</c:v>
                </c:pt>
                <c:pt idx="871">
                  <c:v>3.6792453944467393E-4</c:v>
                </c:pt>
                <c:pt idx="872">
                  <c:v>4.0888547529179209E-4</c:v>
                </c:pt>
                <c:pt idx="873">
                  <c:v>3.9230347927956025E-4</c:v>
                </c:pt>
                <c:pt idx="874">
                  <c:v>-8.2686024571314534E-5</c:v>
                </c:pt>
                <c:pt idx="875">
                  <c:v>1.4979338404984102E-5</c:v>
                </c:pt>
                <c:pt idx="876">
                  <c:v>4.3176155106417131E-4</c:v>
                </c:pt>
                <c:pt idx="877">
                  <c:v>2.1069371627646221E-4</c:v>
                </c:pt>
                <c:pt idx="878">
                  <c:v>-9.27575054607234E-5</c:v>
                </c:pt>
                <c:pt idx="879">
                  <c:v>2.4750808286587369E-5</c:v>
                </c:pt>
                <c:pt idx="880">
                  <c:v>-4.9885996088750351E-4</c:v>
                </c:pt>
                <c:pt idx="881">
                  <c:v>-6.4256851560819909E-4</c:v>
                </c:pt>
                <c:pt idx="882">
                  <c:v>-4.0093635719645949E-4</c:v>
                </c:pt>
                <c:pt idx="883">
                  <c:v>-5.2331715807562315E-4</c:v>
                </c:pt>
                <c:pt idx="884">
                  <c:v>-5.528777976879925E-4</c:v>
                </c:pt>
                <c:pt idx="885">
                  <c:v>-3.966870403410693E-4</c:v>
                </c:pt>
                <c:pt idx="886">
                  <c:v>-7.1700483940661435E-4</c:v>
                </c:pt>
                <c:pt idx="887">
                  <c:v>-4.0081661588275492E-4</c:v>
                </c:pt>
                <c:pt idx="888">
                  <c:v>-3.5661734589228274E-4</c:v>
                </c:pt>
                <c:pt idx="889">
                  <c:v>-3.6016192633413842E-4</c:v>
                </c:pt>
                <c:pt idx="890">
                  <c:v>-1.0303881846326626E-3</c:v>
                </c:pt>
                <c:pt idx="891">
                  <c:v>-2.3008947647325508E-4</c:v>
                </c:pt>
                <c:pt idx="892">
                  <c:v>-1.0978877058420823E-3</c:v>
                </c:pt>
                <c:pt idx="893">
                  <c:v>-4.7025605558386391E-4</c:v>
                </c:pt>
                <c:pt idx="894">
                  <c:v>-4.6431468915911873E-4</c:v>
                </c:pt>
                <c:pt idx="895">
                  <c:v>-5.2164737985211263E-4</c:v>
                </c:pt>
                <c:pt idx="896">
                  <c:v>-2.6239874645771032E-4</c:v>
                </c:pt>
                <c:pt idx="897">
                  <c:v>2.5363670272291285E-4</c:v>
                </c:pt>
                <c:pt idx="898">
                  <c:v>-5.4260945881277032E-4</c:v>
                </c:pt>
                <c:pt idx="899">
                  <c:v>5.8555828195576685E-5</c:v>
                </c:pt>
                <c:pt idx="900">
                  <c:v>-2.1309070805155712E-4</c:v>
                </c:pt>
                <c:pt idx="901">
                  <c:v>-4.2291993983702695E-4</c:v>
                </c:pt>
                <c:pt idx="902">
                  <c:v>-2.5071290247071491E-4</c:v>
                </c:pt>
                <c:pt idx="903">
                  <c:v>-1.3570352811640603E-3</c:v>
                </c:pt>
                <c:pt idx="904">
                  <c:v>-4.0101703995742131E-4</c:v>
                </c:pt>
                <c:pt idx="905">
                  <c:v>-7.5075887077493319E-4</c:v>
                </c:pt>
                <c:pt idx="906">
                  <c:v>-6.6489980672432151E-4</c:v>
                </c:pt>
                <c:pt idx="907">
                  <c:v>1.6755574094420123E-5</c:v>
                </c:pt>
                <c:pt idx="908">
                  <c:v>-9.5920980957411796E-4</c:v>
                </c:pt>
                <c:pt idx="909">
                  <c:v>6.2441893867481101E-4</c:v>
                </c:pt>
                <c:pt idx="910">
                  <c:v>-7.4037830785716682E-4</c:v>
                </c:pt>
                <c:pt idx="911">
                  <c:v>-7.7722623501248745E-4</c:v>
                </c:pt>
                <c:pt idx="912">
                  <c:v>-3.5310621168027081E-4</c:v>
                </c:pt>
                <c:pt idx="913">
                  <c:v>-1.2867748324931613E-3</c:v>
                </c:pt>
                <c:pt idx="914">
                  <c:v>1.3619627581938133E-4</c:v>
                </c:pt>
                <c:pt idx="915">
                  <c:v>-5.9024284474620847E-4</c:v>
                </c:pt>
                <c:pt idx="916">
                  <c:v>-5.2178222332906936E-4</c:v>
                </c:pt>
                <c:pt idx="917">
                  <c:v>-6.9024501119438106E-4</c:v>
                </c:pt>
                <c:pt idx="918">
                  <c:v>-5.106227828911335E-4</c:v>
                </c:pt>
                <c:pt idx="919">
                  <c:v>-3.541992261214946E-4</c:v>
                </c:pt>
                <c:pt idx="920">
                  <c:v>-2.4409191938394104E-4</c:v>
                </c:pt>
                <c:pt idx="921">
                  <c:v>-1.4595091312576204E-4</c:v>
                </c:pt>
                <c:pt idx="922">
                  <c:v>-8.3449429084891762E-4</c:v>
                </c:pt>
                <c:pt idx="923">
                  <c:v>-1.4747493538026836E-4</c:v>
                </c:pt>
                <c:pt idx="924">
                  <c:v>-4.3440143191338473E-4</c:v>
                </c:pt>
                <c:pt idx="925">
                  <c:v>-6.157722508464584E-4</c:v>
                </c:pt>
                <c:pt idx="926">
                  <c:v>-1.9849280934759663E-4</c:v>
                </c:pt>
                <c:pt idx="927">
                  <c:v>-1.3202875442679975E-4</c:v>
                </c:pt>
                <c:pt idx="928">
                  <c:v>9.7640046076360535E-5</c:v>
                </c:pt>
                <c:pt idx="929">
                  <c:v>-2.8530635979293084E-4</c:v>
                </c:pt>
                <c:pt idx="930">
                  <c:v>-7.421491990748188E-4</c:v>
                </c:pt>
                <c:pt idx="931">
                  <c:v>1.8531224347280998E-4</c:v>
                </c:pt>
                <c:pt idx="932">
                  <c:v>-6.4551052719408794E-4</c:v>
                </c:pt>
                <c:pt idx="933">
                  <c:v>-5.4868540481990832E-4</c:v>
                </c:pt>
                <c:pt idx="934">
                  <c:v>-5.9539246716734456E-4</c:v>
                </c:pt>
                <c:pt idx="935">
                  <c:v>-7.8663938071073703E-4</c:v>
                </c:pt>
                <c:pt idx="936">
                  <c:v>-7.1068234247897608E-4</c:v>
                </c:pt>
                <c:pt idx="937">
                  <c:v>-2.7730162707555088E-3</c:v>
                </c:pt>
                <c:pt idx="938">
                  <c:v>-5.1944768367666707E-4</c:v>
                </c:pt>
                <c:pt idx="939">
                  <c:v>-6.5240917407888689E-4</c:v>
                </c:pt>
                <c:pt idx="940">
                  <c:v>-6.7694251732357442E-4</c:v>
                </c:pt>
                <c:pt idx="941">
                  <c:v>-6.9100474610261312E-4</c:v>
                </c:pt>
                <c:pt idx="942">
                  <c:v>-6.8210008660595596E-4</c:v>
                </c:pt>
                <c:pt idx="943">
                  <c:v>-4.5854310016387882E-4</c:v>
                </c:pt>
                <c:pt idx="944">
                  <c:v>-8.0343233927611174E-4</c:v>
                </c:pt>
                <c:pt idx="945">
                  <c:v>-5.4037805613339209E-4</c:v>
                </c:pt>
                <c:pt idx="946">
                  <c:v>-5.4505166104915732E-4</c:v>
                </c:pt>
                <c:pt idx="947">
                  <c:v>-4.428217915376259E-4</c:v>
                </c:pt>
                <c:pt idx="948">
                  <c:v>-8.9062736612990565E-4</c:v>
                </c:pt>
                <c:pt idx="949">
                  <c:v>-1.56234522649732E-4</c:v>
                </c:pt>
                <c:pt idx="950">
                  <c:v>-3.2924820417388253E-4</c:v>
                </c:pt>
                <c:pt idx="951">
                  <c:v>-7.7912277902605876E-4</c:v>
                </c:pt>
                <c:pt idx="952">
                  <c:v>-9.3418298396123148E-4</c:v>
                </c:pt>
                <c:pt idx="953">
                  <c:v>-7.9038852604235361E-4</c:v>
                </c:pt>
                <c:pt idx="954">
                  <c:v>-6.1499417181228142E-4</c:v>
                </c:pt>
                <c:pt idx="955">
                  <c:v>-5.2605775740648716E-4</c:v>
                </c:pt>
                <c:pt idx="956">
                  <c:v>-3.6819202757652346E-4</c:v>
                </c:pt>
                <c:pt idx="957">
                  <c:v>-9.4891984655766631E-4</c:v>
                </c:pt>
                <c:pt idx="958">
                  <c:v>-1.2187197246012274E-3</c:v>
                </c:pt>
                <c:pt idx="959">
                  <c:v>-3.9554069975657614E-4</c:v>
                </c:pt>
                <c:pt idx="960">
                  <c:v>-8.1523163910616049E-4</c:v>
                </c:pt>
                <c:pt idx="961">
                  <c:v>-3.0748341361874027E-4</c:v>
                </c:pt>
                <c:pt idx="962">
                  <c:v>-5.3587013440385917E-4</c:v>
                </c:pt>
                <c:pt idx="963">
                  <c:v>-6.6942858799936406E-4</c:v>
                </c:pt>
                <c:pt idx="964">
                  <c:v>-6.4919461413806448E-4</c:v>
                </c:pt>
                <c:pt idx="965">
                  <c:v>-8.3809833951652656E-4</c:v>
                </c:pt>
                <c:pt idx="966">
                  <c:v>-6.91581403083992E-4</c:v>
                </c:pt>
                <c:pt idx="967">
                  <c:v>-3.7664699649969842E-4</c:v>
                </c:pt>
                <c:pt idx="968">
                  <c:v>-7.5337217139222277E-4</c:v>
                </c:pt>
                <c:pt idx="969">
                  <c:v>-6.8460488166830955E-4</c:v>
                </c:pt>
                <c:pt idx="970">
                  <c:v>-6.5030674846623215E-4</c:v>
                </c:pt>
                <c:pt idx="971">
                  <c:v>-3.1818711762034521E-4</c:v>
                </c:pt>
                <c:pt idx="972">
                  <c:v>-8.6850366236489206E-4</c:v>
                </c:pt>
                <c:pt idx="973">
                  <c:v>-3.9081838263805099E-4</c:v>
                </c:pt>
                <c:pt idx="974">
                  <c:v>-4.9147598912640351E-4</c:v>
                </c:pt>
                <c:pt idx="975">
                  <c:v>-8.4713228060534485E-4</c:v>
                </c:pt>
                <c:pt idx="976">
                  <c:v>-5.5860130157652801E-4</c:v>
                </c:pt>
                <c:pt idx="977">
                  <c:v>-6.431438189138278E-4</c:v>
                </c:pt>
                <c:pt idx="978">
                  <c:v>-6.158069267090541E-4</c:v>
                </c:pt>
                <c:pt idx="979">
                  <c:v>-7.8691324900633105E-4</c:v>
                </c:pt>
                <c:pt idx="980">
                  <c:v>-8.08349664431685E-4</c:v>
                </c:pt>
                <c:pt idx="981">
                  <c:v>-6.0494900172349138E-4</c:v>
                </c:pt>
                <c:pt idx="982">
                  <c:v>-2.8250237128389367E-4</c:v>
                </c:pt>
                <c:pt idx="983">
                  <c:v>7.7644550263173068E-4</c:v>
                </c:pt>
                <c:pt idx="984">
                  <c:v>-5.8547602611465832E-4</c:v>
                </c:pt>
                <c:pt idx="985">
                  <c:v>-8.4634484818691552E-4</c:v>
                </c:pt>
                <c:pt idx="986">
                  <c:v>-5.2942790903849353E-4</c:v>
                </c:pt>
                <c:pt idx="987">
                  <c:v>-5.9232045257517625E-4</c:v>
                </c:pt>
                <c:pt idx="988">
                  <c:v>-7.3073373691885906E-4</c:v>
                </c:pt>
                <c:pt idx="989">
                  <c:v>-4.7276485763005771E-4</c:v>
                </c:pt>
                <c:pt idx="990">
                  <c:v>-4.4257808439881162E-4</c:v>
                </c:pt>
                <c:pt idx="991">
                  <c:v>5.0233141805004593E-5</c:v>
                </c:pt>
                <c:pt idx="992">
                  <c:v>-2.2798842489937226E-4</c:v>
                </c:pt>
                <c:pt idx="993">
                  <c:v>-3.5970386525796132E-4</c:v>
                </c:pt>
                <c:pt idx="994">
                  <c:v>-3.0106257476155519E-4</c:v>
                </c:pt>
                <c:pt idx="995">
                  <c:v>-1.2671789067215931E-3</c:v>
                </c:pt>
                <c:pt idx="996">
                  <c:v>-7.4760283728157067E-5</c:v>
                </c:pt>
                <c:pt idx="997">
                  <c:v>-4.2041146199882313E-4</c:v>
                </c:pt>
                <c:pt idx="998">
                  <c:v>-4.0088831965097085E-4</c:v>
                </c:pt>
                <c:pt idx="999">
                  <c:v>-1.9541455088294569E-4</c:v>
                </c:pt>
                <c:pt idx="1000">
                  <c:v>-3.5655390649371398E-4</c:v>
                </c:pt>
                <c:pt idx="1001">
                  <c:v>-5.7993555681774508E-4</c:v>
                </c:pt>
                <c:pt idx="1002">
                  <c:v>-7.3939689971508826E-4</c:v>
                </c:pt>
                <c:pt idx="1003">
                  <c:v>-3.2330896198833411E-4</c:v>
                </c:pt>
                <c:pt idx="1004">
                  <c:v>-4.1734268066373118E-4</c:v>
                </c:pt>
                <c:pt idx="1005">
                  <c:v>-2.4971320816395714E-4</c:v>
                </c:pt>
                <c:pt idx="1006">
                  <c:v>-4.4403569701077853E-4</c:v>
                </c:pt>
                <c:pt idx="1007">
                  <c:v>-3.6977325504000945E-4</c:v>
                </c:pt>
                <c:pt idx="1008">
                  <c:v>-4.7029849860538085E-4</c:v>
                </c:pt>
                <c:pt idx="1009">
                  <c:v>-5.5368032289688661E-4</c:v>
                </c:pt>
                <c:pt idx="1010">
                  <c:v>-5.414115485336123E-4</c:v>
                </c:pt>
                <c:pt idx="1011">
                  <c:v>-1.9441943777141218E-4</c:v>
                </c:pt>
                <c:pt idx="1012">
                  <c:v>2.6545984385364111E-4</c:v>
                </c:pt>
                <c:pt idx="1013">
                  <c:v>6.0242268884277924E-5</c:v>
                </c:pt>
                <c:pt idx="1014">
                  <c:v>3.3175965169017293E-5</c:v>
                </c:pt>
                <c:pt idx="1015">
                  <c:v>-2.8345062105332398E-4</c:v>
                </c:pt>
                <c:pt idx="1016">
                  <c:v>-1.3114167010788507E-4</c:v>
                </c:pt>
                <c:pt idx="1017">
                  <c:v>-4.9985824915322523E-4</c:v>
                </c:pt>
                <c:pt idx="1018">
                  <c:v>-4.7315768366125704E-4</c:v>
                </c:pt>
                <c:pt idx="1019">
                  <c:v>-4.0054849832916166E-4</c:v>
                </c:pt>
                <c:pt idx="1020">
                  <c:v>-2.0004798401819968E-4</c:v>
                </c:pt>
                <c:pt idx="1021">
                  <c:v>-2.1843334078058485E-5</c:v>
                </c:pt>
                <c:pt idx="1022">
                  <c:v>-2.834152650317601E-5</c:v>
                </c:pt>
                <c:pt idx="1023">
                  <c:v>-3.0765390217290243E-4</c:v>
                </c:pt>
                <c:pt idx="1024">
                  <c:v>-8.8370160962316518E-4</c:v>
                </c:pt>
                <c:pt idx="1025">
                  <c:v>-4.7887801731697177E-4</c:v>
                </c:pt>
                <c:pt idx="1026">
                  <c:v>-2.2562278524696714E-4</c:v>
                </c:pt>
                <c:pt idx="1027">
                  <c:v>-1.2669198968703655E-3</c:v>
                </c:pt>
                <c:pt idx="1028">
                  <c:v>-1.1910803548275652E-4</c:v>
                </c:pt>
                <c:pt idx="1029">
                  <c:v>-5.7442717650405255E-4</c:v>
                </c:pt>
                <c:pt idx="1030">
                  <c:v>-3.8923465755843952E-4</c:v>
                </c:pt>
                <c:pt idx="1031">
                  <c:v>-1.1601232024763258E-5</c:v>
                </c:pt>
                <c:pt idx="1032">
                  <c:v>6.1816064193193228E-4</c:v>
                </c:pt>
                <c:pt idx="1033">
                  <c:v>1.0329869726925104E-3</c:v>
                </c:pt>
                <c:pt idx="1034">
                  <c:v>2.6288207364650858E-4</c:v>
                </c:pt>
                <c:pt idx="1035">
                  <c:v>1.888648009831475E-4</c:v>
                </c:pt>
                <c:pt idx="1036">
                  <c:v>2.0544025021113541E-4</c:v>
                </c:pt>
                <c:pt idx="1037">
                  <c:v>8.5873996631158757E-4</c:v>
                </c:pt>
                <c:pt idx="1038">
                  <c:v>5.2689742383021877E-4</c:v>
                </c:pt>
                <c:pt idx="1039">
                  <c:v>6.7980496307711025E-4</c:v>
                </c:pt>
                <c:pt idx="1040">
                  <c:v>9.5658407461522666E-4</c:v>
                </c:pt>
                <c:pt idx="1041">
                  <c:v>2.2720387761284461E-4</c:v>
                </c:pt>
                <c:pt idx="1042">
                  <c:v>-9.1974406532043188E-5</c:v>
                </c:pt>
                <c:pt idx="1043">
                  <c:v>6.3982724461207066E-4</c:v>
                </c:pt>
                <c:pt idx="1044">
                  <c:v>3.8484848484854366E-4</c:v>
                </c:pt>
                <c:pt idx="1045">
                  <c:v>7.5039350651848701E-4</c:v>
                </c:pt>
                <c:pt idx="1046">
                  <c:v>1.0161191593552931E-3</c:v>
                </c:pt>
                <c:pt idx="1047">
                  <c:v>8.197922784234815E-4</c:v>
                </c:pt>
                <c:pt idx="1048">
                  <c:v>9.9118809738774527E-4</c:v>
                </c:pt>
                <c:pt idx="1049">
                  <c:v>7.5751716972900741E-4</c:v>
                </c:pt>
                <c:pt idx="1050">
                  <c:v>5.878924265574053E-4</c:v>
                </c:pt>
                <c:pt idx="1051">
                  <c:v>1.2113317469435241E-3</c:v>
                </c:pt>
                <c:pt idx="1052">
                  <c:v>7.0038920992227709E-4</c:v>
                </c:pt>
                <c:pt idx="1053">
                  <c:v>1.102726034163013E-3</c:v>
                </c:pt>
                <c:pt idx="1054">
                  <c:v>8.5347669432752184E-4</c:v>
                </c:pt>
                <c:pt idx="1055">
                  <c:v>8.8108721428924446E-4</c:v>
                </c:pt>
                <c:pt idx="1056">
                  <c:v>1.0099270664505379E-3</c:v>
                </c:pt>
                <c:pt idx="1057">
                  <c:v>6.2842254810617352E-4</c:v>
                </c:pt>
                <c:pt idx="1058">
                  <c:v>8.8752711081999754E-4</c:v>
                </c:pt>
                <c:pt idx="1059">
                  <c:v>8.9648621233421038E-4</c:v>
                </c:pt>
                <c:pt idx="1060">
                  <c:v>1.1217188488298546E-3</c:v>
                </c:pt>
                <c:pt idx="1061">
                  <c:v>8.2035213080913912E-4</c:v>
                </c:pt>
                <c:pt idx="1062">
                  <c:v>1.1163646119255002E-4</c:v>
                </c:pt>
                <c:pt idx="1063">
                  <c:v>7.7960798464808776E-5</c:v>
                </c:pt>
                <c:pt idx="1064">
                  <c:v>1.698507263043515E-4</c:v>
                </c:pt>
                <c:pt idx="1065">
                  <c:v>1.3496419505394506E-4</c:v>
                </c:pt>
                <c:pt idx="1066">
                  <c:v>5.5491547918341203E-4</c:v>
                </c:pt>
                <c:pt idx="1067">
                  <c:v>8.0648890845571003E-4</c:v>
                </c:pt>
                <c:pt idx="1068">
                  <c:v>3.1461680653187187E-4</c:v>
                </c:pt>
                <c:pt idx="1069">
                  <c:v>6.171094780478613E-4</c:v>
                </c:pt>
                <c:pt idx="1070">
                  <c:v>1.1880871796401972E-4</c:v>
                </c:pt>
                <c:pt idx="1071">
                  <c:v>1.9379082688497363E-4</c:v>
                </c:pt>
                <c:pt idx="1072">
                  <c:v>2.0662725200730955E-5</c:v>
                </c:pt>
                <c:pt idx="1073">
                  <c:v>-6.4950191996479144E-4</c:v>
                </c:pt>
                <c:pt idx="1074">
                  <c:v>-1.3229560854299152E-4</c:v>
                </c:pt>
                <c:pt idx="1075">
                  <c:v>-1.2661751233660105E-6</c:v>
                </c:pt>
                <c:pt idx="1076">
                  <c:v>1.0751571352272513E-5</c:v>
                </c:pt>
                <c:pt idx="1077">
                  <c:v>8.8166345335846964E-5</c:v>
                </c:pt>
                <c:pt idx="1078">
                  <c:v>4.6420960657780034E-4</c:v>
                </c:pt>
                <c:pt idx="1079">
                  <c:v>-4.5391045878081702E-4</c:v>
                </c:pt>
                <c:pt idx="1080">
                  <c:v>4.36991860303809E-4</c:v>
                </c:pt>
                <c:pt idx="1081">
                  <c:v>8.6253860180964071E-5</c:v>
                </c:pt>
                <c:pt idx="1082">
                  <c:v>2.3199073418865736E-4</c:v>
                </c:pt>
                <c:pt idx="1083">
                  <c:v>3.4267112139093309E-5</c:v>
                </c:pt>
                <c:pt idx="1084">
                  <c:v>-3.2838426467409672E-5</c:v>
                </c:pt>
                <c:pt idx="1085">
                  <c:v>1.424148606811446E-4</c:v>
                </c:pt>
                <c:pt idx="1086">
                  <c:v>-3.7563198093591856E-4</c:v>
                </c:pt>
                <c:pt idx="1087">
                  <c:v>-1.1862535110312647E-4</c:v>
                </c:pt>
                <c:pt idx="1088">
                  <c:v>-2.5835508237103208E-4</c:v>
                </c:pt>
                <c:pt idx="1089">
                  <c:v>-4.0892188946546452E-4</c:v>
                </c:pt>
                <c:pt idx="1090">
                  <c:v>-5.0563178082444664E-4</c:v>
                </c:pt>
                <c:pt idx="1091">
                  <c:v>-1.4627267752656247E-4</c:v>
                </c:pt>
                <c:pt idx="1092">
                  <c:v>-4.8850321038768801E-4</c:v>
                </c:pt>
                <c:pt idx="1093">
                  <c:v>-3.3122907314878211E-4</c:v>
                </c:pt>
                <c:pt idx="1094">
                  <c:v>-5.9222206561679606E-4</c:v>
                </c:pt>
                <c:pt idx="1095">
                  <c:v>-5.5871242182790925E-4</c:v>
                </c:pt>
                <c:pt idx="1096">
                  <c:v>-1.8411529426696908E-4</c:v>
                </c:pt>
                <c:pt idx="1097">
                  <c:v>-5.8636443689336472E-4</c:v>
                </c:pt>
                <c:pt idx="1098">
                  <c:v>-4.1399685457905875E-4</c:v>
                </c:pt>
                <c:pt idx="1099">
                  <c:v>1.2792941097166389E-4</c:v>
                </c:pt>
                <c:pt idx="1100">
                  <c:v>-2.6410919330487997E-4</c:v>
                </c:pt>
                <c:pt idx="1101">
                  <c:v>1.6486849583253387E-4</c:v>
                </c:pt>
                <c:pt idx="1102">
                  <c:v>6.3950909104018062E-4</c:v>
                </c:pt>
                <c:pt idx="1103">
                  <c:v>3.475043315680766E-4</c:v>
                </c:pt>
                <c:pt idx="1104">
                  <c:v>-3.323914789858052E-4</c:v>
                </c:pt>
                <c:pt idx="1105">
                  <c:v>-3.5308758694546264E-4</c:v>
                </c:pt>
                <c:pt idx="1106">
                  <c:v>-4.1085701694724232E-4</c:v>
                </c:pt>
                <c:pt idx="1107">
                  <c:v>-2.8420470368324441E-4</c:v>
                </c:pt>
                <c:pt idx="1108">
                  <c:v>-3.1507791017415217E-4</c:v>
                </c:pt>
                <c:pt idx="1109">
                  <c:v>-1.2380581009940623E-4</c:v>
                </c:pt>
                <c:pt idx="1110">
                  <c:v>-3.8394107679798128E-4</c:v>
                </c:pt>
                <c:pt idx="1111">
                  <c:v>-2.1196591524898952E-4</c:v>
                </c:pt>
                <c:pt idx="1112">
                  <c:v>-2.4582341202895896E-4</c:v>
                </c:pt>
                <c:pt idx="1113">
                  <c:v>-5.3905339702940529E-4</c:v>
                </c:pt>
                <c:pt idx="1114">
                  <c:v>-5.7330657251543967E-4</c:v>
                </c:pt>
                <c:pt idx="1115">
                  <c:v>-2.5146355766270996E-4</c:v>
                </c:pt>
                <c:pt idx="1116">
                  <c:v>-2.391167324878311E-4</c:v>
                </c:pt>
                <c:pt idx="1117">
                  <c:v>-5.5736590490048396E-4</c:v>
                </c:pt>
                <c:pt idx="1118">
                  <c:v>-5.467533414380151E-4</c:v>
                </c:pt>
                <c:pt idx="1119">
                  <c:v>-6.5201867050288236E-4</c:v>
                </c:pt>
                <c:pt idx="1120">
                  <c:v>-4.8154591773331675E-4</c:v>
                </c:pt>
                <c:pt idx="1121">
                  <c:v>-7.2505964208641519E-4</c:v>
                </c:pt>
                <c:pt idx="1122">
                  <c:v>-5.5577147580912218E-4</c:v>
                </c:pt>
                <c:pt idx="1123">
                  <c:v>-6.1563973674658428E-4</c:v>
                </c:pt>
                <c:pt idx="1124">
                  <c:v>-7.7068297738711467E-4</c:v>
                </c:pt>
                <c:pt idx="1125">
                  <c:v>-5.9314954051799197E-4</c:v>
                </c:pt>
                <c:pt idx="1126">
                  <c:v>-4.5044497404461334E-4</c:v>
                </c:pt>
                <c:pt idx="1127">
                  <c:v>-6.5818068922700844E-4</c:v>
                </c:pt>
                <c:pt idx="1128">
                  <c:v>-5.7732931356265416E-4</c:v>
                </c:pt>
                <c:pt idx="1129">
                  <c:v>-8.554801958895969E-4</c:v>
                </c:pt>
                <c:pt idx="1130">
                  <c:v>3.6205497409437265E-4</c:v>
                </c:pt>
                <c:pt idx="1131">
                  <c:v>-6.5468850826954641E-4</c:v>
                </c:pt>
                <c:pt idx="1132">
                  <c:v>-6.8413486847813823E-4</c:v>
                </c:pt>
                <c:pt idx="1133">
                  <c:v>-6.2496119860102001E-4</c:v>
                </c:pt>
                <c:pt idx="1134">
                  <c:v>1.5956471478038422E-4</c:v>
                </c:pt>
                <c:pt idx="1135">
                  <c:v>3.6531799337176625E-3</c:v>
                </c:pt>
                <c:pt idx="1136">
                  <c:v>-1.2783717728878801E-4</c:v>
                </c:pt>
                <c:pt idx="1137">
                  <c:v>1.1241899494501477E-4</c:v>
                </c:pt>
                <c:pt idx="1138">
                  <c:v>-1.2376449877073064E-4</c:v>
                </c:pt>
                <c:pt idx="1139">
                  <c:v>1.128668171557562E-4</c:v>
                </c:pt>
                <c:pt idx="1140">
                  <c:v>3.8075417875028602E-4</c:v>
                </c:pt>
                <c:pt idx="1141">
                  <c:v>1.0232966600830043E-4</c:v>
                </c:pt>
                <c:pt idx="1142">
                  <c:v>-7.2937297643473E-4</c:v>
                </c:pt>
                <c:pt idx="1143">
                  <c:v>-3.5268308832294727E-4</c:v>
                </c:pt>
                <c:pt idx="1144">
                  <c:v>-7.3618132924525674E-4</c:v>
                </c:pt>
                <c:pt idx="1145">
                  <c:v>-7.0204346867493649E-4</c:v>
                </c:pt>
                <c:pt idx="1146">
                  <c:v>-7.2136967416891614E-4</c:v>
                </c:pt>
                <c:pt idx="1147">
                  <c:v>-2.7513772895679744E-4</c:v>
                </c:pt>
                <c:pt idx="1148">
                  <c:v>-5.9341294947801279E-4</c:v>
                </c:pt>
                <c:pt idx="1149">
                  <c:v>-7.230437965366044E-4</c:v>
                </c:pt>
                <c:pt idx="1150">
                  <c:v>-6.683398748364278E-4</c:v>
                </c:pt>
                <c:pt idx="1151">
                  <c:v>-9.9600112979243444E-4</c:v>
                </c:pt>
                <c:pt idx="1152">
                  <c:v>-6.2616403308195961E-4</c:v>
                </c:pt>
                <c:pt idx="1153">
                  <c:v>-6.1269041043024506E-4</c:v>
                </c:pt>
                <c:pt idx="1154">
                  <c:v>-3.7308611068914303E-4</c:v>
                </c:pt>
                <c:pt idx="1155">
                  <c:v>-7.3636013682588789E-4</c:v>
                </c:pt>
                <c:pt idx="1156">
                  <c:v>-7.0124807871133142E-4</c:v>
                </c:pt>
                <c:pt idx="1157">
                  <c:v>-9.1152991090147112E-4</c:v>
                </c:pt>
                <c:pt idx="1158">
                  <c:v>-5.5584013601728049E-4</c:v>
                </c:pt>
                <c:pt idx="1159">
                  <c:v>-8.1704354014902191E-4</c:v>
                </c:pt>
                <c:pt idx="1160">
                  <c:v>-4.5475864842489883E-4</c:v>
                </c:pt>
                <c:pt idx="1161">
                  <c:v>-6.7586227697312537E-4</c:v>
                </c:pt>
                <c:pt idx="1162">
                  <c:v>-7.5799142843666046E-4</c:v>
                </c:pt>
                <c:pt idx="1163">
                  <c:v>-5.7098673645393451E-4</c:v>
                </c:pt>
                <c:pt idx="1164">
                  <c:v>-3.1494747892887051E-4</c:v>
                </c:pt>
                <c:pt idx="1165">
                  <c:v>-9.2933564118350895E-4</c:v>
                </c:pt>
                <c:pt idx="1166">
                  <c:v>-8.9919015758104241E-4</c:v>
                </c:pt>
                <c:pt idx="1167">
                  <c:v>-2.584886648146124E-4</c:v>
                </c:pt>
                <c:pt idx="1168">
                  <c:v>-7.419455768540587E-4</c:v>
                </c:pt>
                <c:pt idx="1169">
                  <c:v>-5.1587815645782011E-4</c:v>
                </c:pt>
                <c:pt idx="1170">
                  <c:v>-7.1460314638702237E-4</c:v>
                </c:pt>
                <c:pt idx="1171">
                  <c:v>-4.914123869812733E-4</c:v>
                </c:pt>
                <c:pt idx="1172">
                  <c:v>-5.8033866038900792E-4</c:v>
                </c:pt>
                <c:pt idx="1173">
                  <c:v>-8.0439217510562165E-4</c:v>
                </c:pt>
                <c:pt idx="1174">
                  <c:v>-6.1171343163023172E-4</c:v>
                </c:pt>
                <c:pt idx="1175">
                  <c:v>-3.6727673392804175E-4</c:v>
                </c:pt>
                <c:pt idx="1176">
                  <c:v>-9.257500378715924E-4</c:v>
                </c:pt>
                <c:pt idx="1177">
                  <c:v>-7.4173979720210375E-4</c:v>
                </c:pt>
                <c:pt idx="1178">
                  <c:v>-4.3350230343002221E-4</c:v>
                </c:pt>
                <c:pt idx="1179">
                  <c:v>-6.6745110250674355E-4</c:v>
                </c:pt>
                <c:pt idx="1180">
                  <c:v>-8.0867812715199993E-4</c:v>
                </c:pt>
                <c:pt idx="1181">
                  <c:v>-7.684479973144423E-4</c:v>
                </c:pt>
                <c:pt idx="1182">
                  <c:v>-5.4237222473099797E-4</c:v>
                </c:pt>
                <c:pt idx="1183">
                  <c:v>-6.5231572080879838E-4</c:v>
                </c:pt>
                <c:pt idx="1184">
                  <c:v>-3.7903640788642605E-4</c:v>
                </c:pt>
                <c:pt idx="1185">
                  <c:v>-7.445125904700044E-4</c:v>
                </c:pt>
                <c:pt idx="1186">
                  <c:v>-7.0821868073075403E-4</c:v>
                </c:pt>
                <c:pt idx="1187">
                  <c:v>-7.6266106041812741E-4</c:v>
                </c:pt>
                <c:pt idx="1188">
                  <c:v>-2.6183612884260932E-4</c:v>
                </c:pt>
                <c:pt idx="1189">
                  <c:v>-5.9262009481924976E-4</c:v>
                </c:pt>
                <c:pt idx="1190">
                  <c:v>-9.4293867249292825E-4</c:v>
                </c:pt>
                <c:pt idx="1191">
                  <c:v>-4.4871293974470402E-4</c:v>
                </c:pt>
                <c:pt idx="1192">
                  <c:v>-6.0294561853643954E-4</c:v>
                </c:pt>
                <c:pt idx="1193">
                  <c:v>-4.4842996686092728E-4</c:v>
                </c:pt>
                <c:pt idx="1194">
                  <c:v>-6.1928348215557598E-4</c:v>
                </c:pt>
                <c:pt idx="1195">
                  <c:v>-8.0656030910294431E-4</c:v>
                </c:pt>
                <c:pt idx="1196">
                  <c:v>-6.3053316860511627E-4</c:v>
                </c:pt>
                <c:pt idx="1197">
                  <c:v>-6.413044749864976E-4</c:v>
                </c:pt>
                <c:pt idx="1198">
                  <c:v>-3.6744752785936854E-4</c:v>
                </c:pt>
                <c:pt idx="1199">
                  <c:v>-8.3446267469581724E-4</c:v>
                </c:pt>
                <c:pt idx="1200">
                  <c:v>-5.950584554287664E-4</c:v>
                </c:pt>
                <c:pt idx="1201">
                  <c:v>-6.6186768749331793E-4</c:v>
                </c:pt>
                <c:pt idx="1202">
                  <c:v>-6.6716801496841539E-4</c:v>
                </c:pt>
                <c:pt idx="1203">
                  <c:v>-6.3805098250302645E-4</c:v>
                </c:pt>
                <c:pt idx="1204">
                  <c:v>-4.6414673667549629E-4</c:v>
                </c:pt>
                <c:pt idx="1205">
                  <c:v>-5.0244464597267032E-4</c:v>
                </c:pt>
                <c:pt idx="1206">
                  <c:v>-3.3896395926591883E-4</c:v>
                </c:pt>
                <c:pt idx="1207">
                  <c:v>-3.924134807818149E-4</c:v>
                </c:pt>
                <c:pt idx="1208">
                  <c:v>-4.8031348107987137E-4</c:v>
                </c:pt>
                <c:pt idx="1209">
                  <c:v>-7.1465454920992548E-4</c:v>
                </c:pt>
                <c:pt idx="1210">
                  <c:v>-5.1932368394216888E-4</c:v>
                </c:pt>
                <c:pt idx="1211">
                  <c:v>-2.585741042393722E-4</c:v>
                </c:pt>
                <c:pt idx="1212">
                  <c:v>-5.0880652825972372E-4</c:v>
                </c:pt>
                <c:pt idx="1213">
                  <c:v>-3.6631049966095986E-4</c:v>
                </c:pt>
                <c:pt idx="1214">
                  <c:v>-2.5257836411815012E-4</c:v>
                </c:pt>
                <c:pt idx="1215">
                  <c:v>-4.7084460182495261E-4</c:v>
                </c:pt>
                <c:pt idx="1216">
                  <c:v>-3.4088072055462736E-4</c:v>
                </c:pt>
                <c:pt idx="1217">
                  <c:v>-5.7279466808338761E-4</c:v>
                </c:pt>
                <c:pt idx="1218">
                  <c:v>-8.4682162506894689E-4</c:v>
                </c:pt>
                <c:pt idx="1219">
                  <c:v>-9.0998754804721786E-4</c:v>
                </c:pt>
                <c:pt idx="1220">
                  <c:v>-6.5915296904792142E-4</c:v>
                </c:pt>
                <c:pt idx="1221">
                  <c:v>9.2029148824308003E-5</c:v>
                </c:pt>
                <c:pt idx="1222">
                  <c:v>-7.3841260224174489E-4</c:v>
                </c:pt>
                <c:pt idx="1223">
                  <c:v>-1.3452579190600306E-3</c:v>
                </c:pt>
                <c:pt idx="1224">
                  <c:v>-4.0111546564491614E-4</c:v>
                </c:pt>
                <c:pt idx="1225">
                  <c:v>-4.0542753810605698E-4</c:v>
                </c:pt>
                <c:pt idx="1226">
                  <c:v>-4.946717978384545E-4</c:v>
                </c:pt>
                <c:pt idx="1227">
                  <c:v>-6.5030181982470437E-4</c:v>
                </c:pt>
                <c:pt idx="1228">
                  <c:v>-4.8509991315880905E-4</c:v>
                </c:pt>
                <c:pt idx="1229">
                  <c:v>-1.9455626101218907E-4</c:v>
                </c:pt>
                <c:pt idx="1230">
                  <c:v>-2.1195732959448498E-4</c:v>
                </c:pt>
                <c:pt idx="1231">
                  <c:v>-4.8784966810460961E-4</c:v>
                </c:pt>
                <c:pt idx="1232">
                  <c:v>-5.492424242424242E-4</c:v>
                </c:pt>
                <c:pt idx="1233">
                  <c:v>-4.335625478864669E-4</c:v>
                </c:pt>
                <c:pt idx="1234">
                  <c:v>-6.5167122135797095E-4</c:v>
                </c:pt>
                <c:pt idx="1235">
                  <c:v>-6.9246050515558684E-4</c:v>
                </c:pt>
                <c:pt idx="1236">
                  <c:v>-3.833447109287354E-4</c:v>
                </c:pt>
                <c:pt idx="1237">
                  <c:v>-2.8358946488857712E-4</c:v>
                </c:pt>
                <c:pt idx="1238">
                  <c:v>-3.9716599151636082E-4</c:v>
                </c:pt>
                <c:pt idx="1239">
                  <c:v>-4.7653695475172061E-4</c:v>
                </c:pt>
                <c:pt idx="1240">
                  <c:v>-4.5317756033348222E-4</c:v>
                </c:pt>
                <c:pt idx="1241">
                  <c:v>-5.8883671614659463E-4</c:v>
                </c:pt>
                <c:pt idx="1242">
                  <c:v>-5.8041706842109709E-4</c:v>
                </c:pt>
                <c:pt idx="1243">
                  <c:v>-4.4871138249336681E-4</c:v>
                </c:pt>
                <c:pt idx="1244">
                  <c:v>-4.4970103041380493E-4</c:v>
                </c:pt>
                <c:pt idx="1245">
                  <c:v>-4.241568846826117E-4</c:v>
                </c:pt>
                <c:pt idx="1246">
                  <c:v>-3.991525103098359E-4</c:v>
                </c:pt>
                <c:pt idx="1247">
                  <c:v>-2.4688100712371461E-4</c:v>
                </c:pt>
                <c:pt idx="1248">
                  <c:v>-3.3754858186933474E-4</c:v>
                </c:pt>
                <c:pt idx="1249">
                  <c:v>-4.4119638067475846E-4</c:v>
                </c:pt>
                <c:pt idx="1250">
                  <c:v>-7.6090679874439061E-4</c:v>
                </c:pt>
                <c:pt idx="1251">
                  <c:v>-3.0216940420040158E-4</c:v>
                </c:pt>
                <c:pt idx="1252">
                  <c:v>-1.2560898437798099E-3</c:v>
                </c:pt>
                <c:pt idx="1253">
                  <c:v>-5.187133234813106E-4</c:v>
                </c:pt>
                <c:pt idx="1254">
                  <c:v>-4.742914666253678E-4</c:v>
                </c:pt>
                <c:pt idx="1255">
                  <c:v>-5.0903487965730198E-4</c:v>
                </c:pt>
                <c:pt idx="1256">
                  <c:v>-3.9008394725346431E-4</c:v>
                </c:pt>
                <c:pt idx="1257">
                  <c:v>-2.6653791905016953E-4</c:v>
                </c:pt>
                <c:pt idx="1258">
                  <c:v>-5.8413251140236079E-4</c:v>
                </c:pt>
                <c:pt idx="1259">
                  <c:v>-4.2275541550613024E-4</c:v>
                </c:pt>
                <c:pt idx="1260">
                  <c:v>-7.4757621773157345E-4</c:v>
                </c:pt>
                <c:pt idx="1261">
                  <c:v>-8.1508038765337992E-4</c:v>
                </c:pt>
                <c:pt idx="1262">
                  <c:v>-3.5959159338207837E-4</c:v>
                </c:pt>
                <c:pt idx="1263">
                  <c:v>-3.127632308533471E-4</c:v>
                </c:pt>
                <c:pt idx="1264">
                  <c:v>-4.0492704782065956E-4</c:v>
                </c:pt>
                <c:pt idx="1265">
                  <c:v>-4.0205853972338372E-4</c:v>
                </c:pt>
                <c:pt idx="1266">
                  <c:v>-4.8764808522367364E-4</c:v>
                </c:pt>
                <c:pt idx="1267">
                  <c:v>-5.1351183722315888E-4</c:v>
                </c:pt>
                <c:pt idx="1268">
                  <c:v>-5.165614411879331E-4</c:v>
                </c:pt>
                <c:pt idx="1269">
                  <c:v>-5.6732136537800495E-4</c:v>
                </c:pt>
                <c:pt idx="1270">
                  <c:v>2.9937926867226749E-4</c:v>
                </c:pt>
                <c:pt idx="1271">
                  <c:v>-2.6047199002445008E-4</c:v>
                </c:pt>
                <c:pt idx="1272">
                  <c:v>-3.7172332770394305E-4</c:v>
                </c:pt>
                <c:pt idx="1273">
                  <c:v>1.9947865982685871E-4</c:v>
                </c:pt>
                <c:pt idx="1274">
                  <c:v>-5.6016132646202104E-4</c:v>
                </c:pt>
                <c:pt idx="1275">
                  <c:v>-3.0109696257814468E-4</c:v>
                </c:pt>
                <c:pt idx="1276">
                  <c:v>-5.321105291477377E-4</c:v>
                </c:pt>
                <c:pt idx="1277">
                  <c:v>-4.0038947739517761E-4</c:v>
                </c:pt>
                <c:pt idx="1278">
                  <c:v>1.3097948460821774E-4</c:v>
                </c:pt>
                <c:pt idx="1279">
                  <c:v>4.0842909339772475E-4</c:v>
                </c:pt>
                <c:pt idx="1280">
                  <c:v>6.739452756436177E-5</c:v>
                </c:pt>
                <c:pt idx="1281">
                  <c:v>-1.0564274808640965E-4</c:v>
                </c:pt>
                <c:pt idx="1282">
                  <c:v>-3.1266946854658842E-4</c:v>
                </c:pt>
                <c:pt idx="1283">
                  <c:v>-1.255127577782114E-4</c:v>
                </c:pt>
                <c:pt idx="1284">
                  <c:v>2.9999829546420551E-4</c:v>
                </c:pt>
                <c:pt idx="1285">
                  <c:v>1.5157450142210015E-4</c:v>
                </c:pt>
                <c:pt idx="1286">
                  <c:v>4.8406985269617593E-4</c:v>
                </c:pt>
                <c:pt idx="1287">
                  <c:v>-1.2035456623543466E-4</c:v>
                </c:pt>
                <c:pt idx="1288">
                  <c:v>-2.5927280312758707E-4</c:v>
                </c:pt>
                <c:pt idx="1289">
                  <c:v>1.912385543725208E-4</c:v>
                </c:pt>
                <c:pt idx="1290">
                  <c:v>-1.8990470005649817E-4</c:v>
                </c:pt>
                <c:pt idx="1291">
                  <c:v>-2.8456169130078172E-4</c:v>
                </c:pt>
                <c:pt idx="1292">
                  <c:v>-8.9002930067921533E-4</c:v>
                </c:pt>
                <c:pt idx="1293">
                  <c:v>3.9006223188570678E-5</c:v>
                </c:pt>
                <c:pt idx="1294">
                  <c:v>-2.6986819739078963E-4</c:v>
                </c:pt>
                <c:pt idx="1295">
                  <c:v>-2.5139737199040906E-4</c:v>
                </c:pt>
                <c:pt idx="1296">
                  <c:v>-3.2670475867555655E-4</c:v>
                </c:pt>
                <c:pt idx="1297">
                  <c:v>-5.3045919818024137E-4</c:v>
                </c:pt>
                <c:pt idx="1298">
                  <c:v>-5.3490401930912299E-4</c:v>
                </c:pt>
                <c:pt idx="1299">
                  <c:v>-3.433033254359083E-4</c:v>
                </c:pt>
                <c:pt idx="1300">
                  <c:v>-3.0228024445271945E-4</c:v>
                </c:pt>
                <c:pt idx="1301">
                  <c:v>-5.2415138326421056E-4</c:v>
                </c:pt>
                <c:pt idx="1302">
                  <c:v>-5.0291024200964818E-4</c:v>
                </c:pt>
                <c:pt idx="1303">
                  <c:v>-3.8650274151271922E-4</c:v>
                </c:pt>
                <c:pt idx="1304">
                  <c:v>-3.0385822696144503E-4</c:v>
                </c:pt>
                <c:pt idx="1305">
                  <c:v>-1.4415453366005922E-4</c:v>
                </c:pt>
                <c:pt idx="1306">
                  <c:v>-8.4239256335845065E-5</c:v>
                </c:pt>
                <c:pt idx="1307">
                  <c:v>-2.0144792779171522E-4</c:v>
                </c:pt>
                <c:pt idx="1308">
                  <c:v>2.7725061428843538E-4</c:v>
                </c:pt>
                <c:pt idx="1309">
                  <c:v>-4.9666608665968712E-4</c:v>
                </c:pt>
                <c:pt idx="1310">
                  <c:v>-4.4452695349155561E-4</c:v>
                </c:pt>
                <c:pt idx="1311">
                  <c:v>-6.4186600834250599E-4</c:v>
                </c:pt>
                <c:pt idx="1312">
                  <c:v>-6.0175487723602235E-4</c:v>
                </c:pt>
                <c:pt idx="1313">
                  <c:v>-4.764607736896828E-4</c:v>
                </c:pt>
                <c:pt idx="1314">
                  <c:v>-2.4452910427931088E-4</c:v>
                </c:pt>
                <c:pt idx="1315">
                  <c:v>-3.0187160394445564E-4</c:v>
                </c:pt>
                <c:pt idx="1316">
                  <c:v>-3.4406086054343516E-4</c:v>
                </c:pt>
                <c:pt idx="1317">
                  <c:v>-3.772000126589164E-4</c:v>
                </c:pt>
                <c:pt idx="1318">
                  <c:v>-7.1926236611346241E-5</c:v>
                </c:pt>
                <c:pt idx="1319">
                  <c:v>7.9302770045244804E-6</c:v>
                </c:pt>
                <c:pt idx="1320">
                  <c:v>-1.443646050675493E-4</c:v>
                </c:pt>
                <c:pt idx="1321">
                  <c:v>-7.128909831365691E-4</c:v>
                </c:pt>
                <c:pt idx="1322">
                  <c:v>-4.5836928386540121E-4</c:v>
                </c:pt>
                <c:pt idx="1323">
                  <c:v>-4.7430366626083261E-4</c:v>
                </c:pt>
                <c:pt idx="1324">
                  <c:v>-5.3602730879237775E-4</c:v>
                </c:pt>
                <c:pt idx="1325">
                  <c:v>-6.0465714653289691E-4</c:v>
                </c:pt>
                <c:pt idx="1326">
                  <c:v>-5.8193077240687493E-4</c:v>
                </c:pt>
                <c:pt idx="1327">
                  <c:v>-4.3206825213742967E-4</c:v>
                </c:pt>
                <c:pt idx="1328">
                  <c:v>-5.2674536086543791E-4</c:v>
                </c:pt>
                <c:pt idx="1329">
                  <c:v>-8.0081101128561937E-4</c:v>
                </c:pt>
                <c:pt idx="1330">
                  <c:v>-4.1719380277566707E-4</c:v>
                </c:pt>
                <c:pt idx="1331">
                  <c:v>-5.6105822266504712E-4</c:v>
                </c:pt>
                <c:pt idx="1332">
                  <c:v>-4.6540743563227286E-4</c:v>
                </c:pt>
                <c:pt idx="1333">
                  <c:v>-5.1282051282051282E-4</c:v>
                </c:pt>
                <c:pt idx="1334">
                  <c:v>-5.575578075934913E-4</c:v>
                </c:pt>
                <c:pt idx="1335">
                  <c:v>-5.8182118098053215E-4</c:v>
                </c:pt>
                <c:pt idx="1336">
                  <c:v>-5.1668434271004643E-4</c:v>
                </c:pt>
                <c:pt idx="1337">
                  <c:v>-4.4835597040506896E-4</c:v>
                </c:pt>
                <c:pt idx="1338">
                  <c:v>-6.1058052515087266E-4</c:v>
                </c:pt>
                <c:pt idx="1339">
                  <c:v>-3.1470129243078729E-4</c:v>
                </c:pt>
                <c:pt idx="1340">
                  <c:v>-2.4449284208187468E-4</c:v>
                </c:pt>
                <c:pt idx="1341">
                  <c:v>1.3605312484561515E-4</c:v>
                </c:pt>
                <c:pt idx="1342">
                  <c:v>-5.1522965805706757E-4</c:v>
                </c:pt>
                <c:pt idx="1343">
                  <c:v>-4.9614159778198024E-4</c:v>
                </c:pt>
                <c:pt idx="1344">
                  <c:v>-4.7718720762687485E-4</c:v>
                </c:pt>
                <c:pt idx="1345">
                  <c:v>-3.7941939325747306E-4</c:v>
                </c:pt>
                <c:pt idx="1346">
                  <c:v>-5.4249094912594957E-4</c:v>
                </c:pt>
                <c:pt idx="1347">
                  <c:v>-4.5267232767230242E-4</c:v>
                </c:pt>
                <c:pt idx="1348">
                  <c:v>-4.2035064693200943E-4</c:v>
                </c:pt>
                <c:pt idx="1349">
                  <c:v>-5.2571448972664795E-4</c:v>
                </c:pt>
                <c:pt idx="1350">
                  <c:v>-5.5213923081528973E-4</c:v>
                </c:pt>
                <c:pt idx="1351">
                  <c:v>-4.5475216007268032E-4</c:v>
                </c:pt>
                <c:pt idx="1352">
                  <c:v>-6.6710107219179239E-4</c:v>
                </c:pt>
                <c:pt idx="1353">
                  <c:v>-4.2386631712128232E-4</c:v>
                </c:pt>
                <c:pt idx="1354">
                  <c:v>-5.3725311303879362E-4</c:v>
                </c:pt>
                <c:pt idx="1355">
                  <c:v>-3.2343505511508167E-4</c:v>
                </c:pt>
                <c:pt idx="1356">
                  <c:v>-4.1632703145679401E-4</c:v>
                </c:pt>
                <c:pt idx="1357">
                  <c:v>-8.7970979688304816E-4</c:v>
                </c:pt>
                <c:pt idx="1358">
                  <c:v>-6.7476886679444326E-4</c:v>
                </c:pt>
                <c:pt idx="1359">
                  <c:v>-4.9288544786369641E-4</c:v>
                </c:pt>
                <c:pt idx="1360">
                  <c:v>-3.102874159672271E-4</c:v>
                </c:pt>
                <c:pt idx="1361">
                  <c:v>-3.8530280267308893E-4</c:v>
                </c:pt>
                <c:pt idx="1362">
                  <c:v>-4.8424208897542855E-4</c:v>
                </c:pt>
                <c:pt idx="1363">
                  <c:v>-3.1458712498659374E-4</c:v>
                </c:pt>
                <c:pt idx="1364">
                  <c:v>-5.852598813267816E-4</c:v>
                </c:pt>
                <c:pt idx="1365">
                  <c:v>-3.2533416583831729E-4</c:v>
                </c:pt>
                <c:pt idx="1366">
                  <c:v>1.9655793412296283E-4</c:v>
                </c:pt>
                <c:pt idx="1367">
                  <c:v>-5.6956655173041556E-4</c:v>
                </c:pt>
                <c:pt idx="1368">
                  <c:v>-4.8843274793825843E-4</c:v>
                </c:pt>
                <c:pt idx="1369">
                  <c:v>-4.0515017884731815E-4</c:v>
                </c:pt>
                <c:pt idx="1370">
                  <c:v>-4.9861863189297538E-4</c:v>
                </c:pt>
                <c:pt idx="1371">
                  <c:v>-7.1562000848278547E-4</c:v>
                </c:pt>
                <c:pt idx="1372">
                  <c:v>-3.5297161442930484E-4</c:v>
                </c:pt>
                <c:pt idx="1373">
                  <c:v>-5.2309703496952601E-4</c:v>
                </c:pt>
                <c:pt idx="1374">
                  <c:v>-2.6857654431515694E-4</c:v>
                </c:pt>
                <c:pt idx="1375">
                  <c:v>-4.5905910362968307E-4</c:v>
                </c:pt>
                <c:pt idx="1376">
                  <c:v>-4.7931701846727078E-4</c:v>
                </c:pt>
                <c:pt idx="1377">
                  <c:v>-8.5715893793494565E-4</c:v>
                </c:pt>
                <c:pt idx="1378">
                  <c:v>-2.5833790225908979E-4</c:v>
                </c:pt>
                <c:pt idx="1379">
                  <c:v>-4.3497607177553945E-4</c:v>
                </c:pt>
                <c:pt idx="1380">
                  <c:v>-4.7549661478833114E-4</c:v>
                </c:pt>
                <c:pt idx="1381">
                  <c:v>-5.8919604289493061E-4</c:v>
                </c:pt>
                <c:pt idx="1382">
                  <c:v>-4.6516092997279647E-4</c:v>
                </c:pt>
                <c:pt idx="1383">
                  <c:v>-4.2500092010508476E-4</c:v>
                </c:pt>
                <c:pt idx="1384">
                  <c:v>-4.3921985344584641E-4</c:v>
                </c:pt>
                <c:pt idx="1385">
                  <c:v>-5.0617543113512422E-4</c:v>
                </c:pt>
                <c:pt idx="1386">
                  <c:v>-5.0962188272060205E-4</c:v>
                </c:pt>
                <c:pt idx="1387">
                  <c:v>-5.575890979010674E-4</c:v>
                </c:pt>
                <c:pt idx="1388">
                  <c:v>-3.1706605785132943E-4</c:v>
                </c:pt>
                <c:pt idx="1389">
                  <c:v>5.5180648779746177E-5</c:v>
                </c:pt>
                <c:pt idx="1390">
                  <c:v>-4.2796367189081876E-4</c:v>
                </c:pt>
                <c:pt idx="1391">
                  <c:v>-7.0842254301039902E-4</c:v>
                </c:pt>
                <c:pt idx="1392">
                  <c:v>-4.398341526888312E-4</c:v>
                </c:pt>
                <c:pt idx="1393">
                  <c:v>-2.8625718727636157E-4</c:v>
                </c:pt>
                <c:pt idx="1394">
                  <c:v>-6.9504677529262009E-4</c:v>
                </c:pt>
                <c:pt idx="1395">
                  <c:v>-4.1839327207980468E-4</c:v>
                </c:pt>
                <c:pt idx="1396">
                  <c:v>-4.4310917484294195E-4</c:v>
                </c:pt>
                <c:pt idx="1397">
                  <c:v>-6.3682549566251075E-4</c:v>
                </c:pt>
                <c:pt idx="1398">
                  <c:v>-3.7754674203375143E-4</c:v>
                </c:pt>
                <c:pt idx="1399">
                  <c:v>-4.2596811830308183E-4</c:v>
                </c:pt>
                <c:pt idx="1400">
                  <c:v>-3.7327173680727329E-4</c:v>
                </c:pt>
                <c:pt idx="1401">
                  <c:v>-7.9021780179811148E-4</c:v>
                </c:pt>
                <c:pt idx="1402">
                  <c:v>-5.5983014648714434E-4</c:v>
                </c:pt>
                <c:pt idx="1403">
                  <c:v>-4.9249476193603705E-4</c:v>
                </c:pt>
                <c:pt idx="1404">
                  <c:v>-2.2904682867830504E-4</c:v>
                </c:pt>
                <c:pt idx="1405">
                  <c:v>-4.551671151980446E-4</c:v>
                </c:pt>
                <c:pt idx="1406">
                  <c:v>-3.1043374371064714E-4</c:v>
                </c:pt>
                <c:pt idx="1407">
                  <c:v>-3.5698854170751644E-4</c:v>
                </c:pt>
                <c:pt idx="1408">
                  <c:v>-5.06443941003291E-4</c:v>
                </c:pt>
                <c:pt idx="1409">
                  <c:v>-5.6434074847170983E-4</c:v>
                </c:pt>
                <c:pt idx="1410">
                  <c:v>-2.6836917923954667E-4</c:v>
                </c:pt>
                <c:pt idx="1411">
                  <c:v>-2.0388860885702428E-5</c:v>
                </c:pt>
                <c:pt idx="1412">
                  <c:v>-5.1165122555917747E-4</c:v>
                </c:pt>
                <c:pt idx="1413">
                  <c:v>-4.7956066055607134E-4</c:v>
                </c:pt>
                <c:pt idx="1414">
                  <c:v>-5.3533190578152086E-4</c:v>
                </c:pt>
                <c:pt idx="1415">
                  <c:v>-5.3666889178976781E-4</c:v>
                </c:pt>
                <c:pt idx="1416">
                  <c:v>-5.2615473352137215E-4</c:v>
                </c:pt>
                <c:pt idx="1417">
                  <c:v>-4.2488968358989938E-4</c:v>
                </c:pt>
                <c:pt idx="1418">
                  <c:v>-4.6686963331622142E-4</c:v>
                </c:pt>
                <c:pt idx="1419">
                  <c:v>-5.6932020977260034E-4</c:v>
                </c:pt>
                <c:pt idx="1420">
                  <c:v>-4.3328297978868633E-4</c:v>
                </c:pt>
                <c:pt idx="1421">
                  <c:v>-4.3424970878128908E-4</c:v>
                </c:pt>
                <c:pt idx="1422">
                  <c:v>-8.05597109696592E-4</c:v>
                </c:pt>
                <c:pt idx="1423">
                  <c:v>-8.3352192140256562E-4</c:v>
                </c:pt>
                <c:pt idx="1424">
                  <c:v>-5.8721464519950674E-4</c:v>
                </c:pt>
                <c:pt idx="1425">
                  <c:v>-6.2102346431820786E-4</c:v>
                </c:pt>
                <c:pt idx="1426">
                  <c:v>-6.2558378831970355E-4</c:v>
                </c:pt>
                <c:pt idx="1427">
                  <c:v>-9.6575638605046028E-4</c:v>
                </c:pt>
                <c:pt idx="1428">
                  <c:v>-7.941610256022388E-4</c:v>
                </c:pt>
                <c:pt idx="1429">
                  <c:v>-7.0890641216926479E-4</c:v>
                </c:pt>
                <c:pt idx="1430">
                  <c:v>-4.5531387854298754E-4</c:v>
                </c:pt>
                <c:pt idx="1431">
                  <c:v>-4.0035839448347997E-4</c:v>
                </c:pt>
                <c:pt idx="1432">
                  <c:v>-6.6643834982466445E-4</c:v>
                </c:pt>
                <c:pt idx="1433">
                  <c:v>-4.5530913213526328E-4</c:v>
                </c:pt>
                <c:pt idx="1434">
                  <c:v>-4.732036817102475E-4</c:v>
                </c:pt>
                <c:pt idx="1435">
                  <c:v>-4.1653503691490071E-4</c:v>
                </c:pt>
                <c:pt idx="1436">
                  <c:v>-5.5954373918228203E-4</c:v>
                </c:pt>
                <c:pt idx="1437">
                  <c:v>-6.2827082887600657E-4</c:v>
                </c:pt>
                <c:pt idx="1438">
                  <c:v>-6.700794845125249E-4</c:v>
                </c:pt>
                <c:pt idx="1439">
                  <c:v>-4.5831531868160768E-4</c:v>
                </c:pt>
                <c:pt idx="1440">
                  <c:v>-5.0316536758450659E-5</c:v>
                </c:pt>
                <c:pt idx="1441">
                  <c:v>-5.3749145548356338E-4</c:v>
                </c:pt>
                <c:pt idx="1442">
                  <c:v>-4.7365916037322634E-4</c:v>
                </c:pt>
                <c:pt idx="1443">
                  <c:v>-5.4741808770144998E-4</c:v>
                </c:pt>
                <c:pt idx="1444">
                  <c:v>-3.0168968995407483E-4</c:v>
                </c:pt>
                <c:pt idx="1445">
                  <c:v>-4.8014017362411497E-4</c:v>
                </c:pt>
                <c:pt idx="1446">
                  <c:v>-5.3938484879402611E-5</c:v>
                </c:pt>
                <c:pt idx="1447">
                  <c:v>-6.4352466034009242E-4</c:v>
                </c:pt>
                <c:pt idx="1448">
                  <c:v>-3.9641920359738018E-4</c:v>
                </c:pt>
                <c:pt idx="1449">
                  <c:v>-6.004957187922816E-4</c:v>
                </c:pt>
                <c:pt idx="1450">
                  <c:v>-5.5797927029201751E-4</c:v>
                </c:pt>
                <c:pt idx="1451">
                  <c:v>-7.7233283131699292E-4</c:v>
                </c:pt>
                <c:pt idx="1452">
                  <c:v>-3.3985282514945075E-4</c:v>
                </c:pt>
                <c:pt idx="1453">
                  <c:v>-7.2104426807096311E-4</c:v>
                </c:pt>
                <c:pt idx="1454">
                  <c:v>-6.5287869364517631E-4</c:v>
                </c:pt>
                <c:pt idx="1455">
                  <c:v>-1.1501769629412982E-4</c:v>
                </c:pt>
                <c:pt idx="1456">
                  <c:v>-6.096167871987065E-4</c:v>
                </c:pt>
                <c:pt idx="1457">
                  <c:v>-6.5824932187056868E-4</c:v>
                </c:pt>
                <c:pt idx="1458">
                  <c:v>-4.3131859624597992E-4</c:v>
                </c:pt>
                <c:pt idx="1459">
                  <c:v>-2.5411115547978959E-4</c:v>
                </c:pt>
                <c:pt idx="1460">
                  <c:v>-1.3595954545663472E-4</c:v>
                </c:pt>
                <c:pt idx="1461">
                  <c:v>-4.0259928161184583E-4</c:v>
                </c:pt>
                <c:pt idx="1462">
                  <c:v>-8.9510558739760331E-4</c:v>
                </c:pt>
                <c:pt idx="1463">
                  <c:v>-5.5652494110456697E-4</c:v>
                </c:pt>
                <c:pt idx="1464">
                  <c:v>-4.7418914180142582E-4</c:v>
                </c:pt>
                <c:pt idx="1465">
                  <c:v>-5.371495125710416E-4</c:v>
                </c:pt>
                <c:pt idx="1466">
                  <c:v>-3.2143730530874822E-4</c:v>
                </c:pt>
                <c:pt idx="1467">
                  <c:v>-4.5902722949525362E-4</c:v>
                </c:pt>
                <c:pt idx="1468">
                  <c:v>-5.6823519956711224E-4</c:v>
                </c:pt>
                <c:pt idx="1469">
                  <c:v>-3.5124653367765393E-4</c:v>
                </c:pt>
                <c:pt idx="1470">
                  <c:v>-4.3248244925871268E-4</c:v>
                </c:pt>
                <c:pt idx="1471">
                  <c:v>-4.9155310672735117E-4</c:v>
                </c:pt>
                <c:pt idx="1472">
                  <c:v>-5.0719043429860828E-4</c:v>
                </c:pt>
                <c:pt idx="1473">
                  <c:v>-3.8457585210100093E-4</c:v>
                </c:pt>
                <c:pt idx="1474">
                  <c:v>-4.2708851381140407E-4</c:v>
                </c:pt>
                <c:pt idx="1475">
                  <c:v>-2.4452784813237214E-4</c:v>
                </c:pt>
                <c:pt idx="1476">
                  <c:v>-3.5538913428548948E-4</c:v>
                </c:pt>
                <c:pt idx="1477">
                  <c:v>-9.5818413459899628E-5</c:v>
                </c:pt>
                <c:pt idx="1478">
                  <c:v>-4.4796106422254561E-4</c:v>
                </c:pt>
                <c:pt idx="1479">
                  <c:v>-4.6382071359769844E-4</c:v>
                </c:pt>
                <c:pt idx="1480">
                  <c:v>-2.2756294391028557E-4</c:v>
                </c:pt>
                <c:pt idx="1481">
                  <c:v>-7.0399089132355602E-4</c:v>
                </c:pt>
                <c:pt idx="1482">
                  <c:v>-3.8876950020972836E-4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C-AC48-A475-1C8E72D6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303663"/>
        <c:axId val="1283305375"/>
      </c:lineChart>
      <c:catAx>
        <c:axId val="128330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305375"/>
        <c:crosses val="autoZero"/>
        <c:auto val="1"/>
        <c:lblAlgn val="ctr"/>
        <c:lblOffset val="100"/>
        <c:noMultiLvlLbl val="0"/>
      </c:catAx>
      <c:valAx>
        <c:axId val="12833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30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'usdt  (2)'!$U$1:$U$6</c:f>
              <c:strCache>
                <c:ptCount val="6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'usdt  (2)'!$T$7:$T$1747</c:f>
              <c:strCache>
                <c:ptCount val="1483"/>
                <c:pt idx="0">
                  <c:v>time</c:v>
                </c:pt>
                <c:pt idx="1">
                  <c:v>14/1/2022</c:v>
                </c:pt>
                <c:pt idx="2">
                  <c:v>15/1/2022</c:v>
                </c:pt>
                <c:pt idx="3">
                  <c:v>16/1/2022</c:v>
                </c:pt>
                <c:pt idx="4">
                  <c:v>17/1/2022</c:v>
                </c:pt>
                <c:pt idx="5">
                  <c:v>18/1/2022</c:v>
                </c:pt>
                <c:pt idx="6">
                  <c:v>19/1/2022</c:v>
                </c:pt>
                <c:pt idx="7">
                  <c:v>20/1/2022</c:v>
                </c:pt>
                <c:pt idx="8">
                  <c:v>21/1/2022</c:v>
                </c:pt>
                <c:pt idx="9">
                  <c:v>22/1/2022</c:v>
                </c:pt>
                <c:pt idx="10">
                  <c:v>23/1/2022</c:v>
                </c:pt>
                <c:pt idx="11">
                  <c:v>24/1/2022</c:v>
                </c:pt>
                <c:pt idx="12">
                  <c:v>25/1/2022</c:v>
                </c:pt>
                <c:pt idx="13">
                  <c:v>26/1/2022</c:v>
                </c:pt>
                <c:pt idx="14">
                  <c:v>27/1/2022</c:v>
                </c:pt>
                <c:pt idx="15">
                  <c:v>28/1/2022</c:v>
                </c:pt>
                <c:pt idx="16">
                  <c:v>29/1/2022</c:v>
                </c:pt>
                <c:pt idx="17">
                  <c:v>30/1/2022</c:v>
                </c:pt>
                <c:pt idx="18">
                  <c:v>31/1/2022</c:v>
                </c:pt>
                <c:pt idx="19">
                  <c:v>1/2/2022</c:v>
                </c:pt>
                <c:pt idx="20">
                  <c:v>2/2/2022</c:v>
                </c:pt>
                <c:pt idx="21">
                  <c:v>3/2/2022</c:v>
                </c:pt>
                <c:pt idx="22">
                  <c:v>4/2/2022</c:v>
                </c:pt>
                <c:pt idx="23">
                  <c:v>5/2/2022</c:v>
                </c:pt>
                <c:pt idx="24">
                  <c:v>6/2/2022</c:v>
                </c:pt>
                <c:pt idx="25">
                  <c:v>7/2/2022</c:v>
                </c:pt>
                <c:pt idx="26">
                  <c:v>8/2/2022</c:v>
                </c:pt>
                <c:pt idx="27">
                  <c:v>9/2/2022</c:v>
                </c:pt>
                <c:pt idx="28">
                  <c:v>10/2/2022</c:v>
                </c:pt>
                <c:pt idx="29">
                  <c:v>11/2/2022</c:v>
                </c:pt>
                <c:pt idx="30">
                  <c:v>12/2/2022</c:v>
                </c:pt>
                <c:pt idx="31">
                  <c:v>13/2/2022</c:v>
                </c:pt>
                <c:pt idx="32">
                  <c:v>14/2/2022</c:v>
                </c:pt>
                <c:pt idx="33">
                  <c:v>15/2/2022</c:v>
                </c:pt>
                <c:pt idx="34">
                  <c:v>16/2/2022</c:v>
                </c:pt>
                <c:pt idx="35">
                  <c:v>17/2/2022</c:v>
                </c:pt>
                <c:pt idx="36">
                  <c:v>18/2/2022</c:v>
                </c:pt>
                <c:pt idx="37">
                  <c:v>19/2/2022</c:v>
                </c:pt>
                <c:pt idx="38">
                  <c:v>20/2/2022</c:v>
                </c:pt>
                <c:pt idx="39">
                  <c:v>21/2/2022</c:v>
                </c:pt>
                <c:pt idx="40">
                  <c:v>22/2/2022</c:v>
                </c:pt>
                <c:pt idx="41">
                  <c:v>23/2/2022</c:v>
                </c:pt>
                <c:pt idx="42">
                  <c:v>24/2/2022</c:v>
                </c:pt>
                <c:pt idx="43">
                  <c:v>25/2/2022</c:v>
                </c:pt>
                <c:pt idx="44">
                  <c:v>26/2/2022</c:v>
                </c:pt>
                <c:pt idx="45">
                  <c:v>27/2/2022</c:v>
                </c:pt>
                <c:pt idx="46">
                  <c:v>28/2/2022</c:v>
                </c:pt>
                <c:pt idx="47">
                  <c:v>1/3/2022</c:v>
                </c:pt>
                <c:pt idx="48">
                  <c:v>2/3/2022</c:v>
                </c:pt>
                <c:pt idx="49">
                  <c:v>3/3/2022</c:v>
                </c:pt>
                <c:pt idx="50">
                  <c:v>4/3/2022</c:v>
                </c:pt>
                <c:pt idx="51">
                  <c:v>5/3/2022</c:v>
                </c:pt>
                <c:pt idx="52">
                  <c:v>6/3/2022</c:v>
                </c:pt>
                <c:pt idx="53">
                  <c:v>7/3/2022</c:v>
                </c:pt>
                <c:pt idx="54">
                  <c:v>8/3/2022</c:v>
                </c:pt>
                <c:pt idx="55">
                  <c:v>9/3/2022</c:v>
                </c:pt>
                <c:pt idx="56">
                  <c:v>10/3/2022</c:v>
                </c:pt>
                <c:pt idx="57">
                  <c:v>11/3/2022</c:v>
                </c:pt>
                <c:pt idx="58">
                  <c:v>12/3/2022</c:v>
                </c:pt>
                <c:pt idx="59">
                  <c:v>13/3/2022</c:v>
                </c:pt>
                <c:pt idx="60">
                  <c:v>14/3/2022</c:v>
                </c:pt>
                <c:pt idx="61">
                  <c:v>15/3/2022</c:v>
                </c:pt>
                <c:pt idx="62">
                  <c:v>16/3/2022</c:v>
                </c:pt>
                <c:pt idx="63">
                  <c:v>17/3/2022</c:v>
                </c:pt>
                <c:pt idx="64">
                  <c:v>18/3/2022</c:v>
                </c:pt>
                <c:pt idx="65">
                  <c:v>19/3/2022</c:v>
                </c:pt>
                <c:pt idx="66">
                  <c:v>20/3/2022</c:v>
                </c:pt>
                <c:pt idx="67">
                  <c:v>21/3/2022</c:v>
                </c:pt>
                <c:pt idx="68">
                  <c:v>22/3/2022</c:v>
                </c:pt>
                <c:pt idx="69">
                  <c:v>23/3/2022</c:v>
                </c:pt>
                <c:pt idx="70">
                  <c:v>24/3/2022</c:v>
                </c:pt>
                <c:pt idx="71">
                  <c:v>25/3/2022</c:v>
                </c:pt>
                <c:pt idx="72">
                  <c:v>26/3/2022</c:v>
                </c:pt>
                <c:pt idx="73">
                  <c:v>27/3/2022</c:v>
                </c:pt>
                <c:pt idx="74">
                  <c:v>28/3/2022</c:v>
                </c:pt>
                <c:pt idx="75">
                  <c:v>29/3/2022</c:v>
                </c:pt>
                <c:pt idx="76">
                  <c:v>30/3/2022</c:v>
                </c:pt>
                <c:pt idx="77">
                  <c:v>31/3/2022</c:v>
                </c:pt>
                <c:pt idx="78">
                  <c:v>1/4/2022</c:v>
                </c:pt>
                <c:pt idx="79">
                  <c:v>2/4/2022</c:v>
                </c:pt>
                <c:pt idx="80">
                  <c:v>3/4/2022</c:v>
                </c:pt>
                <c:pt idx="81">
                  <c:v>4/4/2022</c:v>
                </c:pt>
                <c:pt idx="82">
                  <c:v>5/4/2022</c:v>
                </c:pt>
                <c:pt idx="83">
                  <c:v>6/4/2022</c:v>
                </c:pt>
                <c:pt idx="84">
                  <c:v>7/4/2022</c:v>
                </c:pt>
                <c:pt idx="85">
                  <c:v>8/4/2022</c:v>
                </c:pt>
                <c:pt idx="86">
                  <c:v>9/4/2022</c:v>
                </c:pt>
                <c:pt idx="87">
                  <c:v>10/4/2022</c:v>
                </c:pt>
                <c:pt idx="88">
                  <c:v>11/4/2022</c:v>
                </c:pt>
                <c:pt idx="89">
                  <c:v>12/4/2022</c:v>
                </c:pt>
                <c:pt idx="90">
                  <c:v>13/4/2022</c:v>
                </c:pt>
                <c:pt idx="91">
                  <c:v>14/4/2022</c:v>
                </c:pt>
                <c:pt idx="92">
                  <c:v>15/4/2022</c:v>
                </c:pt>
                <c:pt idx="93">
                  <c:v>16/4/2022</c:v>
                </c:pt>
                <c:pt idx="94">
                  <c:v>17/4/2022</c:v>
                </c:pt>
                <c:pt idx="95">
                  <c:v>18/4/2022</c:v>
                </c:pt>
                <c:pt idx="96">
                  <c:v>19/4/2022</c:v>
                </c:pt>
                <c:pt idx="97">
                  <c:v>20/4/2022</c:v>
                </c:pt>
                <c:pt idx="98">
                  <c:v>21/4/2022</c:v>
                </c:pt>
                <c:pt idx="99">
                  <c:v>22/4/2022</c:v>
                </c:pt>
                <c:pt idx="100">
                  <c:v>23/4/2022</c:v>
                </c:pt>
                <c:pt idx="101">
                  <c:v>24/4/2022</c:v>
                </c:pt>
                <c:pt idx="102">
                  <c:v>25/4/2022</c:v>
                </c:pt>
                <c:pt idx="103">
                  <c:v>26/4/2022</c:v>
                </c:pt>
                <c:pt idx="104">
                  <c:v>27/4/2022</c:v>
                </c:pt>
                <c:pt idx="105">
                  <c:v>28/4/2022</c:v>
                </c:pt>
                <c:pt idx="106">
                  <c:v>29/4/2022</c:v>
                </c:pt>
                <c:pt idx="107">
                  <c:v>30/4/2022</c:v>
                </c:pt>
                <c:pt idx="108">
                  <c:v>1/5/2022</c:v>
                </c:pt>
                <c:pt idx="109">
                  <c:v>2/5/2022</c:v>
                </c:pt>
                <c:pt idx="110">
                  <c:v>3/5/2022</c:v>
                </c:pt>
                <c:pt idx="111">
                  <c:v>4/5/2022</c:v>
                </c:pt>
                <c:pt idx="112">
                  <c:v>5/5/2022</c:v>
                </c:pt>
                <c:pt idx="113">
                  <c:v>6/5/2022</c:v>
                </c:pt>
                <c:pt idx="114">
                  <c:v>7/5/2022</c:v>
                </c:pt>
                <c:pt idx="115">
                  <c:v>8/5/2022</c:v>
                </c:pt>
                <c:pt idx="116">
                  <c:v>9/5/2022</c:v>
                </c:pt>
                <c:pt idx="117">
                  <c:v>10/5/2022</c:v>
                </c:pt>
                <c:pt idx="118">
                  <c:v>11/5/2022</c:v>
                </c:pt>
                <c:pt idx="119">
                  <c:v>12/5/2022</c:v>
                </c:pt>
                <c:pt idx="120">
                  <c:v>13/5/2022</c:v>
                </c:pt>
                <c:pt idx="121">
                  <c:v>14/5/2022</c:v>
                </c:pt>
                <c:pt idx="122">
                  <c:v>15/5/2022</c:v>
                </c:pt>
                <c:pt idx="123">
                  <c:v>16/5/2022</c:v>
                </c:pt>
                <c:pt idx="124">
                  <c:v>17/5/2022</c:v>
                </c:pt>
                <c:pt idx="125">
                  <c:v>18/5/2022</c:v>
                </c:pt>
                <c:pt idx="126">
                  <c:v>19/5/2022</c:v>
                </c:pt>
                <c:pt idx="127">
                  <c:v>20/5/2022</c:v>
                </c:pt>
                <c:pt idx="128">
                  <c:v>21/5/2022</c:v>
                </c:pt>
                <c:pt idx="129">
                  <c:v>22/5/2022</c:v>
                </c:pt>
                <c:pt idx="130">
                  <c:v>23/5/2022</c:v>
                </c:pt>
                <c:pt idx="131">
                  <c:v>24/5/2022</c:v>
                </c:pt>
                <c:pt idx="132">
                  <c:v>25/5/2022</c:v>
                </c:pt>
                <c:pt idx="133">
                  <c:v>26/5/2022</c:v>
                </c:pt>
                <c:pt idx="134">
                  <c:v>27/5/2022</c:v>
                </c:pt>
                <c:pt idx="135">
                  <c:v>28/5/2022</c:v>
                </c:pt>
                <c:pt idx="136">
                  <c:v>29/5/2022</c:v>
                </c:pt>
                <c:pt idx="137">
                  <c:v>30/5/2022</c:v>
                </c:pt>
                <c:pt idx="138">
                  <c:v>31/5/2022</c:v>
                </c:pt>
                <c:pt idx="139">
                  <c:v>1/6/2022</c:v>
                </c:pt>
                <c:pt idx="140">
                  <c:v>2/6/2022</c:v>
                </c:pt>
                <c:pt idx="141">
                  <c:v>3/6/2022</c:v>
                </c:pt>
                <c:pt idx="142">
                  <c:v>4/6/2022</c:v>
                </c:pt>
                <c:pt idx="143">
                  <c:v>5/6/2022</c:v>
                </c:pt>
                <c:pt idx="144">
                  <c:v>6/6/2022</c:v>
                </c:pt>
                <c:pt idx="145">
                  <c:v>7/6/2022</c:v>
                </c:pt>
                <c:pt idx="146">
                  <c:v>8/6/2022</c:v>
                </c:pt>
                <c:pt idx="147">
                  <c:v>9/6/2022</c:v>
                </c:pt>
                <c:pt idx="148">
                  <c:v>10/6/2022</c:v>
                </c:pt>
                <c:pt idx="149">
                  <c:v>11/6/2022</c:v>
                </c:pt>
                <c:pt idx="150">
                  <c:v>12/6/2022</c:v>
                </c:pt>
                <c:pt idx="151">
                  <c:v>13/6/2022</c:v>
                </c:pt>
                <c:pt idx="152">
                  <c:v>14/6/2022</c:v>
                </c:pt>
                <c:pt idx="153">
                  <c:v>15/6/2022</c:v>
                </c:pt>
                <c:pt idx="154">
                  <c:v>16/6/2022</c:v>
                </c:pt>
                <c:pt idx="155">
                  <c:v>17/6/2022</c:v>
                </c:pt>
                <c:pt idx="156">
                  <c:v>18/6/2022</c:v>
                </c:pt>
                <c:pt idx="157">
                  <c:v>19/6/2022</c:v>
                </c:pt>
                <c:pt idx="158">
                  <c:v>20/6/2022</c:v>
                </c:pt>
                <c:pt idx="159">
                  <c:v>21/6/2022</c:v>
                </c:pt>
                <c:pt idx="160">
                  <c:v>22/6/2022</c:v>
                </c:pt>
                <c:pt idx="161">
                  <c:v>23/6/2022</c:v>
                </c:pt>
                <c:pt idx="162">
                  <c:v>24/6/2022</c:v>
                </c:pt>
                <c:pt idx="163">
                  <c:v>25/6/2022</c:v>
                </c:pt>
                <c:pt idx="164">
                  <c:v>26/6/2022</c:v>
                </c:pt>
                <c:pt idx="165">
                  <c:v>27/6/2022</c:v>
                </c:pt>
                <c:pt idx="166">
                  <c:v>28/6/2022</c:v>
                </c:pt>
                <c:pt idx="167">
                  <c:v>29/6/2022</c:v>
                </c:pt>
                <c:pt idx="168">
                  <c:v>30/6/2022</c:v>
                </c:pt>
                <c:pt idx="169">
                  <c:v>1/7/2022</c:v>
                </c:pt>
                <c:pt idx="170">
                  <c:v>2/7/2022</c:v>
                </c:pt>
                <c:pt idx="171">
                  <c:v>3/7/2022</c:v>
                </c:pt>
                <c:pt idx="172">
                  <c:v>4/7/2022</c:v>
                </c:pt>
                <c:pt idx="173">
                  <c:v>5/7/2022</c:v>
                </c:pt>
                <c:pt idx="174">
                  <c:v>6/7/2022</c:v>
                </c:pt>
                <c:pt idx="175">
                  <c:v>7/7/2022</c:v>
                </c:pt>
                <c:pt idx="176">
                  <c:v>8/7/2022</c:v>
                </c:pt>
                <c:pt idx="177">
                  <c:v>9/7/2022</c:v>
                </c:pt>
                <c:pt idx="178">
                  <c:v>10/7/2022</c:v>
                </c:pt>
                <c:pt idx="179">
                  <c:v>11/7/2022</c:v>
                </c:pt>
                <c:pt idx="180">
                  <c:v>12/7/2022</c:v>
                </c:pt>
                <c:pt idx="181">
                  <c:v>13/7/2022</c:v>
                </c:pt>
                <c:pt idx="182">
                  <c:v>14/7/2022</c:v>
                </c:pt>
                <c:pt idx="183">
                  <c:v>15/7/2022</c:v>
                </c:pt>
                <c:pt idx="184">
                  <c:v>16/7/2022</c:v>
                </c:pt>
                <c:pt idx="185">
                  <c:v>17/7/2022</c:v>
                </c:pt>
                <c:pt idx="186">
                  <c:v>18/7/2022</c:v>
                </c:pt>
                <c:pt idx="187">
                  <c:v>19/7/2022</c:v>
                </c:pt>
                <c:pt idx="188">
                  <c:v>20/7/2022</c:v>
                </c:pt>
                <c:pt idx="189">
                  <c:v>21/7/2022</c:v>
                </c:pt>
                <c:pt idx="190">
                  <c:v>22/7/2022</c:v>
                </c:pt>
                <c:pt idx="191">
                  <c:v>23/7/2022</c:v>
                </c:pt>
                <c:pt idx="192">
                  <c:v>24/7/2022</c:v>
                </c:pt>
                <c:pt idx="193">
                  <c:v>25/7/2022</c:v>
                </c:pt>
                <c:pt idx="194">
                  <c:v>26/7/2022</c:v>
                </c:pt>
                <c:pt idx="195">
                  <c:v>27/7/2022</c:v>
                </c:pt>
                <c:pt idx="196">
                  <c:v>28/7/2022</c:v>
                </c:pt>
                <c:pt idx="197">
                  <c:v>29/7/2022</c:v>
                </c:pt>
                <c:pt idx="198">
                  <c:v>30/7/2022</c:v>
                </c:pt>
                <c:pt idx="199">
                  <c:v>31/7/2022</c:v>
                </c:pt>
                <c:pt idx="200">
                  <c:v>1/8/2022</c:v>
                </c:pt>
                <c:pt idx="201">
                  <c:v>2/8/2022</c:v>
                </c:pt>
                <c:pt idx="202">
                  <c:v>3/8/2022</c:v>
                </c:pt>
                <c:pt idx="203">
                  <c:v>4/8/2022</c:v>
                </c:pt>
                <c:pt idx="204">
                  <c:v>5/8/2022</c:v>
                </c:pt>
                <c:pt idx="205">
                  <c:v>6/8/2022</c:v>
                </c:pt>
                <c:pt idx="206">
                  <c:v>7/8/2022</c:v>
                </c:pt>
                <c:pt idx="207">
                  <c:v>8/8/2022</c:v>
                </c:pt>
                <c:pt idx="208">
                  <c:v>9/8/2022</c:v>
                </c:pt>
                <c:pt idx="209">
                  <c:v>10/8/2022</c:v>
                </c:pt>
                <c:pt idx="210">
                  <c:v>11/8/2022</c:v>
                </c:pt>
                <c:pt idx="211">
                  <c:v>12/8/2022</c:v>
                </c:pt>
                <c:pt idx="212">
                  <c:v>13/8/2022</c:v>
                </c:pt>
                <c:pt idx="213">
                  <c:v>14/8/2022</c:v>
                </c:pt>
                <c:pt idx="214">
                  <c:v>15/8/2022</c:v>
                </c:pt>
                <c:pt idx="215">
                  <c:v>16/8/2022</c:v>
                </c:pt>
                <c:pt idx="216">
                  <c:v>17/8/2022</c:v>
                </c:pt>
                <c:pt idx="217">
                  <c:v>18/8/2022</c:v>
                </c:pt>
                <c:pt idx="218">
                  <c:v>19/8/2022</c:v>
                </c:pt>
                <c:pt idx="219">
                  <c:v>20/8/2022</c:v>
                </c:pt>
                <c:pt idx="220">
                  <c:v>21/8/2022</c:v>
                </c:pt>
                <c:pt idx="221">
                  <c:v>22/8/2022</c:v>
                </c:pt>
                <c:pt idx="222">
                  <c:v>23/8/2022</c:v>
                </c:pt>
                <c:pt idx="223">
                  <c:v>24/8/2022</c:v>
                </c:pt>
                <c:pt idx="224">
                  <c:v>25/8/2022</c:v>
                </c:pt>
                <c:pt idx="225">
                  <c:v>26/8/2022</c:v>
                </c:pt>
                <c:pt idx="226">
                  <c:v>27/8/2022</c:v>
                </c:pt>
                <c:pt idx="227">
                  <c:v>28/8/2022</c:v>
                </c:pt>
                <c:pt idx="228">
                  <c:v>29/8/2022</c:v>
                </c:pt>
                <c:pt idx="229">
                  <c:v>30/8/2022</c:v>
                </c:pt>
                <c:pt idx="230">
                  <c:v>31/8/2022</c:v>
                </c:pt>
                <c:pt idx="231">
                  <c:v>1/9/2022</c:v>
                </c:pt>
                <c:pt idx="232">
                  <c:v>2/9/2022</c:v>
                </c:pt>
                <c:pt idx="233">
                  <c:v>3/9/2022</c:v>
                </c:pt>
                <c:pt idx="234">
                  <c:v>4/9/2022</c:v>
                </c:pt>
                <c:pt idx="235">
                  <c:v>5/9/2022</c:v>
                </c:pt>
                <c:pt idx="236">
                  <c:v>6/9/2022</c:v>
                </c:pt>
                <c:pt idx="237">
                  <c:v>7/9/2022</c:v>
                </c:pt>
                <c:pt idx="238">
                  <c:v>8/9/2022</c:v>
                </c:pt>
                <c:pt idx="239">
                  <c:v>9/9/2022</c:v>
                </c:pt>
                <c:pt idx="240">
                  <c:v>10/9/2022</c:v>
                </c:pt>
                <c:pt idx="241">
                  <c:v>11/9/2022</c:v>
                </c:pt>
                <c:pt idx="242">
                  <c:v>12/9/2022</c:v>
                </c:pt>
                <c:pt idx="243">
                  <c:v>13/9/2022</c:v>
                </c:pt>
                <c:pt idx="244">
                  <c:v>14/9/2022</c:v>
                </c:pt>
                <c:pt idx="245">
                  <c:v>15/9/2022</c:v>
                </c:pt>
                <c:pt idx="246">
                  <c:v>16/9/2022</c:v>
                </c:pt>
                <c:pt idx="247">
                  <c:v>17/9/2022</c:v>
                </c:pt>
                <c:pt idx="248">
                  <c:v>18/9/2022</c:v>
                </c:pt>
                <c:pt idx="249">
                  <c:v>19/9/2022</c:v>
                </c:pt>
                <c:pt idx="250">
                  <c:v>20/9/2022</c:v>
                </c:pt>
                <c:pt idx="251">
                  <c:v>21/9/2022</c:v>
                </c:pt>
                <c:pt idx="252">
                  <c:v>22/9/2022</c:v>
                </c:pt>
                <c:pt idx="253">
                  <c:v>23/9/2022</c:v>
                </c:pt>
                <c:pt idx="254">
                  <c:v>24/9/2022</c:v>
                </c:pt>
                <c:pt idx="255">
                  <c:v>25/9/2022</c:v>
                </c:pt>
                <c:pt idx="256">
                  <c:v>26/9/2022</c:v>
                </c:pt>
                <c:pt idx="257">
                  <c:v>27/9/2022</c:v>
                </c:pt>
                <c:pt idx="258">
                  <c:v>28/9/2022</c:v>
                </c:pt>
                <c:pt idx="259">
                  <c:v>29/9/2022</c:v>
                </c:pt>
                <c:pt idx="260">
                  <c:v>30/9/2022</c:v>
                </c:pt>
                <c:pt idx="261">
                  <c:v>1/10/2022</c:v>
                </c:pt>
                <c:pt idx="262">
                  <c:v>2/10/2022</c:v>
                </c:pt>
                <c:pt idx="263">
                  <c:v>3/10/2022</c:v>
                </c:pt>
                <c:pt idx="264">
                  <c:v>4/10/2022</c:v>
                </c:pt>
                <c:pt idx="265">
                  <c:v>5/10/2022</c:v>
                </c:pt>
                <c:pt idx="266">
                  <c:v>6/10/2022</c:v>
                </c:pt>
                <c:pt idx="267">
                  <c:v>7/10/2022</c:v>
                </c:pt>
                <c:pt idx="268">
                  <c:v>8/10/2022</c:v>
                </c:pt>
                <c:pt idx="269">
                  <c:v>9/10/2022</c:v>
                </c:pt>
                <c:pt idx="270">
                  <c:v>10/10/2022</c:v>
                </c:pt>
                <c:pt idx="271">
                  <c:v>11/10/2022</c:v>
                </c:pt>
                <c:pt idx="272">
                  <c:v>12/10/2022</c:v>
                </c:pt>
                <c:pt idx="273">
                  <c:v>13/10/2022</c:v>
                </c:pt>
                <c:pt idx="274">
                  <c:v>14/10/2022</c:v>
                </c:pt>
                <c:pt idx="275">
                  <c:v>15/10/2022</c:v>
                </c:pt>
                <c:pt idx="276">
                  <c:v>16/10/2022</c:v>
                </c:pt>
                <c:pt idx="277">
                  <c:v>17/10/2022</c:v>
                </c:pt>
                <c:pt idx="278">
                  <c:v>18/10/2022</c:v>
                </c:pt>
                <c:pt idx="279">
                  <c:v>19/10/2022</c:v>
                </c:pt>
                <c:pt idx="280">
                  <c:v>20/10/2022</c:v>
                </c:pt>
                <c:pt idx="281">
                  <c:v>21/10/2022</c:v>
                </c:pt>
                <c:pt idx="282">
                  <c:v>22/10/2022</c:v>
                </c:pt>
                <c:pt idx="283">
                  <c:v>23/10/2022</c:v>
                </c:pt>
                <c:pt idx="284">
                  <c:v>24/10/2022</c:v>
                </c:pt>
                <c:pt idx="285">
                  <c:v>25/10/2022</c:v>
                </c:pt>
                <c:pt idx="286">
                  <c:v>26/10/2022</c:v>
                </c:pt>
                <c:pt idx="287">
                  <c:v>27/10/2022</c:v>
                </c:pt>
                <c:pt idx="288">
                  <c:v>28/10/2022</c:v>
                </c:pt>
                <c:pt idx="289">
                  <c:v>29/10/2022</c:v>
                </c:pt>
                <c:pt idx="290">
                  <c:v>30/10/2022</c:v>
                </c:pt>
                <c:pt idx="291">
                  <c:v>31/10/2022</c:v>
                </c:pt>
                <c:pt idx="292">
                  <c:v>1/11/2022</c:v>
                </c:pt>
                <c:pt idx="293">
                  <c:v>2/11/2022</c:v>
                </c:pt>
                <c:pt idx="294">
                  <c:v>3/11/2022</c:v>
                </c:pt>
                <c:pt idx="295">
                  <c:v>4/11/2022</c:v>
                </c:pt>
                <c:pt idx="296">
                  <c:v>5/11/2022</c:v>
                </c:pt>
                <c:pt idx="297">
                  <c:v>6/11/2022</c:v>
                </c:pt>
                <c:pt idx="298">
                  <c:v>7/11/2022</c:v>
                </c:pt>
                <c:pt idx="299">
                  <c:v>8/11/2022</c:v>
                </c:pt>
                <c:pt idx="300">
                  <c:v>9/11/2022</c:v>
                </c:pt>
                <c:pt idx="301">
                  <c:v>10/11/2022</c:v>
                </c:pt>
                <c:pt idx="302">
                  <c:v>11/11/2022</c:v>
                </c:pt>
                <c:pt idx="303">
                  <c:v>12/11/2022</c:v>
                </c:pt>
                <c:pt idx="304">
                  <c:v>13/11/2022</c:v>
                </c:pt>
                <c:pt idx="305">
                  <c:v>14/11/2022</c:v>
                </c:pt>
                <c:pt idx="306">
                  <c:v>15/11/2022</c:v>
                </c:pt>
                <c:pt idx="307">
                  <c:v>16/11/2022</c:v>
                </c:pt>
                <c:pt idx="308">
                  <c:v>17/11/2022</c:v>
                </c:pt>
                <c:pt idx="309">
                  <c:v>18/11/2022</c:v>
                </c:pt>
                <c:pt idx="310">
                  <c:v>19/11/2022</c:v>
                </c:pt>
                <c:pt idx="311">
                  <c:v>20/11/2022</c:v>
                </c:pt>
                <c:pt idx="312">
                  <c:v>21/11/2022</c:v>
                </c:pt>
                <c:pt idx="313">
                  <c:v>22/11/2022</c:v>
                </c:pt>
                <c:pt idx="314">
                  <c:v>23/11/2022</c:v>
                </c:pt>
                <c:pt idx="315">
                  <c:v>24/11/2022</c:v>
                </c:pt>
                <c:pt idx="316">
                  <c:v>25/11/2022</c:v>
                </c:pt>
                <c:pt idx="317">
                  <c:v>26/11/2022</c:v>
                </c:pt>
                <c:pt idx="318">
                  <c:v>27/11/2022</c:v>
                </c:pt>
                <c:pt idx="319">
                  <c:v>28/11/2022</c:v>
                </c:pt>
                <c:pt idx="320">
                  <c:v>29/11/2022</c:v>
                </c:pt>
                <c:pt idx="321">
                  <c:v>30/11/2022</c:v>
                </c:pt>
                <c:pt idx="322">
                  <c:v>1/12/2022</c:v>
                </c:pt>
                <c:pt idx="323">
                  <c:v>2/12/2022</c:v>
                </c:pt>
                <c:pt idx="324">
                  <c:v>3/12/2022</c:v>
                </c:pt>
                <c:pt idx="325">
                  <c:v>4/12/2022</c:v>
                </c:pt>
                <c:pt idx="326">
                  <c:v>5/12/2022</c:v>
                </c:pt>
                <c:pt idx="327">
                  <c:v>6/12/2022</c:v>
                </c:pt>
                <c:pt idx="328">
                  <c:v>7/12/2022</c:v>
                </c:pt>
                <c:pt idx="329">
                  <c:v>8/12/2022</c:v>
                </c:pt>
                <c:pt idx="330">
                  <c:v>9/12/2022</c:v>
                </c:pt>
                <c:pt idx="331">
                  <c:v>10/12/2022</c:v>
                </c:pt>
                <c:pt idx="332">
                  <c:v>11/12/2022</c:v>
                </c:pt>
                <c:pt idx="333">
                  <c:v>12/12/2022</c:v>
                </c:pt>
                <c:pt idx="334">
                  <c:v>13/12/2022</c:v>
                </c:pt>
                <c:pt idx="335">
                  <c:v>14/12/2022</c:v>
                </c:pt>
                <c:pt idx="336">
                  <c:v>15/12/2022</c:v>
                </c:pt>
                <c:pt idx="337">
                  <c:v>16/12/2022</c:v>
                </c:pt>
                <c:pt idx="338">
                  <c:v>17/12/2022</c:v>
                </c:pt>
                <c:pt idx="339">
                  <c:v>18/12/2022</c:v>
                </c:pt>
                <c:pt idx="340">
                  <c:v>19/12/2022</c:v>
                </c:pt>
                <c:pt idx="341">
                  <c:v>20/12/2022</c:v>
                </c:pt>
                <c:pt idx="342">
                  <c:v>21/12/2022</c:v>
                </c:pt>
                <c:pt idx="343">
                  <c:v>22/12/2022</c:v>
                </c:pt>
                <c:pt idx="344">
                  <c:v>23/12/2022</c:v>
                </c:pt>
                <c:pt idx="345">
                  <c:v>24/12/2022</c:v>
                </c:pt>
                <c:pt idx="346">
                  <c:v>25/12/2022</c:v>
                </c:pt>
                <c:pt idx="347">
                  <c:v>26/12/2022</c:v>
                </c:pt>
                <c:pt idx="348">
                  <c:v>27/12/2022</c:v>
                </c:pt>
                <c:pt idx="349">
                  <c:v>28/12/2022</c:v>
                </c:pt>
                <c:pt idx="350">
                  <c:v>29/12/2022</c:v>
                </c:pt>
                <c:pt idx="351">
                  <c:v>30/12/2022</c:v>
                </c:pt>
                <c:pt idx="352">
                  <c:v>31/12/2022</c:v>
                </c:pt>
                <c:pt idx="353">
                  <c:v>1/1/2023</c:v>
                </c:pt>
                <c:pt idx="354">
                  <c:v>2/1/2023</c:v>
                </c:pt>
                <c:pt idx="355">
                  <c:v>3/1/2023</c:v>
                </c:pt>
                <c:pt idx="356">
                  <c:v>4/1/2023</c:v>
                </c:pt>
                <c:pt idx="357">
                  <c:v>5/1/2023</c:v>
                </c:pt>
                <c:pt idx="358">
                  <c:v>6/1/2023</c:v>
                </c:pt>
                <c:pt idx="359">
                  <c:v>7/1/2023</c:v>
                </c:pt>
                <c:pt idx="360">
                  <c:v>8/1/2023</c:v>
                </c:pt>
                <c:pt idx="361">
                  <c:v>9/1/2023</c:v>
                </c:pt>
                <c:pt idx="362">
                  <c:v>10/1/2023</c:v>
                </c:pt>
                <c:pt idx="363">
                  <c:v>11/1/2023</c:v>
                </c:pt>
                <c:pt idx="364">
                  <c:v>12/1/2023</c:v>
                </c:pt>
                <c:pt idx="365">
                  <c:v>13/1/2023</c:v>
                </c:pt>
                <c:pt idx="366">
                  <c:v>14/1/2023</c:v>
                </c:pt>
                <c:pt idx="367">
                  <c:v>15/1/2023</c:v>
                </c:pt>
                <c:pt idx="368">
                  <c:v>16/1/2023</c:v>
                </c:pt>
                <c:pt idx="369">
                  <c:v>17/1/2023</c:v>
                </c:pt>
                <c:pt idx="370">
                  <c:v>18/1/2023</c:v>
                </c:pt>
                <c:pt idx="371">
                  <c:v>19/1/2023</c:v>
                </c:pt>
                <c:pt idx="372">
                  <c:v>20/1/2023</c:v>
                </c:pt>
                <c:pt idx="373">
                  <c:v>21/1/2023</c:v>
                </c:pt>
                <c:pt idx="374">
                  <c:v>22/1/2023</c:v>
                </c:pt>
                <c:pt idx="375">
                  <c:v>23/1/2023</c:v>
                </c:pt>
                <c:pt idx="376">
                  <c:v>24/1/2023</c:v>
                </c:pt>
                <c:pt idx="377">
                  <c:v>25/1/2023</c:v>
                </c:pt>
                <c:pt idx="378">
                  <c:v>26/1/2023</c:v>
                </c:pt>
                <c:pt idx="379">
                  <c:v>27/1/2023</c:v>
                </c:pt>
                <c:pt idx="380">
                  <c:v>28/1/2023</c:v>
                </c:pt>
                <c:pt idx="381">
                  <c:v>29/1/2023</c:v>
                </c:pt>
                <c:pt idx="382">
                  <c:v>30/1/2023</c:v>
                </c:pt>
                <c:pt idx="383">
                  <c:v>31/1/2023</c:v>
                </c:pt>
                <c:pt idx="384">
                  <c:v>1/2/2023</c:v>
                </c:pt>
                <c:pt idx="385">
                  <c:v>2/2/2023</c:v>
                </c:pt>
                <c:pt idx="386">
                  <c:v>3/2/2023</c:v>
                </c:pt>
                <c:pt idx="387">
                  <c:v>4/2/2023</c:v>
                </c:pt>
                <c:pt idx="388">
                  <c:v>5/2/2023</c:v>
                </c:pt>
                <c:pt idx="389">
                  <c:v>6/2/2023</c:v>
                </c:pt>
                <c:pt idx="390">
                  <c:v>7/2/2023</c:v>
                </c:pt>
                <c:pt idx="391">
                  <c:v>8/2/2023</c:v>
                </c:pt>
                <c:pt idx="392">
                  <c:v>9/2/2023</c:v>
                </c:pt>
                <c:pt idx="393">
                  <c:v>10/2/2023</c:v>
                </c:pt>
                <c:pt idx="394">
                  <c:v>11/2/2023</c:v>
                </c:pt>
                <c:pt idx="395">
                  <c:v>12/2/2023</c:v>
                </c:pt>
                <c:pt idx="396">
                  <c:v>13/2/2023</c:v>
                </c:pt>
                <c:pt idx="397">
                  <c:v>14/2/2023</c:v>
                </c:pt>
                <c:pt idx="398">
                  <c:v>15/2/2023</c:v>
                </c:pt>
                <c:pt idx="399">
                  <c:v>16/2/2023</c:v>
                </c:pt>
                <c:pt idx="400">
                  <c:v>17/2/2023</c:v>
                </c:pt>
                <c:pt idx="401">
                  <c:v>18/2/2023</c:v>
                </c:pt>
                <c:pt idx="402">
                  <c:v>19/2/2023</c:v>
                </c:pt>
                <c:pt idx="403">
                  <c:v>20/2/2023</c:v>
                </c:pt>
                <c:pt idx="404">
                  <c:v>21/2/2023</c:v>
                </c:pt>
                <c:pt idx="405">
                  <c:v>22/2/2023</c:v>
                </c:pt>
                <c:pt idx="406">
                  <c:v>23/2/2023</c:v>
                </c:pt>
                <c:pt idx="407">
                  <c:v>24/2/2023</c:v>
                </c:pt>
                <c:pt idx="408">
                  <c:v>25/2/2023</c:v>
                </c:pt>
                <c:pt idx="409">
                  <c:v>26/2/2023</c:v>
                </c:pt>
                <c:pt idx="410">
                  <c:v>27/2/2023</c:v>
                </c:pt>
                <c:pt idx="411">
                  <c:v>28/2/2023</c:v>
                </c:pt>
                <c:pt idx="412">
                  <c:v>1/3/2023</c:v>
                </c:pt>
                <c:pt idx="413">
                  <c:v>2/3/2023</c:v>
                </c:pt>
                <c:pt idx="414">
                  <c:v>3/3/2023</c:v>
                </c:pt>
                <c:pt idx="415">
                  <c:v>4/3/2023</c:v>
                </c:pt>
                <c:pt idx="416">
                  <c:v>5/3/2023</c:v>
                </c:pt>
                <c:pt idx="417">
                  <c:v>6/3/2023</c:v>
                </c:pt>
                <c:pt idx="418">
                  <c:v>7/3/2023</c:v>
                </c:pt>
                <c:pt idx="419">
                  <c:v>8/3/2023</c:v>
                </c:pt>
                <c:pt idx="420">
                  <c:v>9/3/2023</c:v>
                </c:pt>
                <c:pt idx="421">
                  <c:v>10/3/2023</c:v>
                </c:pt>
                <c:pt idx="422">
                  <c:v>11/3/2023</c:v>
                </c:pt>
                <c:pt idx="423">
                  <c:v>12/3/2023</c:v>
                </c:pt>
                <c:pt idx="424">
                  <c:v>13/3/2023</c:v>
                </c:pt>
                <c:pt idx="425">
                  <c:v>14/3/2023</c:v>
                </c:pt>
                <c:pt idx="426">
                  <c:v>15/3/2023</c:v>
                </c:pt>
                <c:pt idx="427">
                  <c:v>16/3/2023</c:v>
                </c:pt>
                <c:pt idx="428">
                  <c:v>17/3/2023</c:v>
                </c:pt>
                <c:pt idx="429">
                  <c:v>18/3/2023</c:v>
                </c:pt>
                <c:pt idx="430">
                  <c:v>19/3/2023</c:v>
                </c:pt>
                <c:pt idx="431">
                  <c:v>20/3/2023</c:v>
                </c:pt>
                <c:pt idx="432">
                  <c:v>21/3/2023</c:v>
                </c:pt>
                <c:pt idx="433">
                  <c:v>22/3/2023</c:v>
                </c:pt>
                <c:pt idx="434">
                  <c:v>23/3/2023</c:v>
                </c:pt>
                <c:pt idx="435">
                  <c:v>24/3/2023</c:v>
                </c:pt>
                <c:pt idx="436">
                  <c:v>25/3/2023</c:v>
                </c:pt>
                <c:pt idx="437">
                  <c:v>26/3/2023</c:v>
                </c:pt>
                <c:pt idx="438">
                  <c:v>27/3/2023</c:v>
                </c:pt>
                <c:pt idx="439">
                  <c:v>28/3/2023</c:v>
                </c:pt>
                <c:pt idx="440">
                  <c:v>29/3/2023</c:v>
                </c:pt>
                <c:pt idx="441">
                  <c:v>30/3/2023</c:v>
                </c:pt>
                <c:pt idx="442">
                  <c:v>31/3/2023</c:v>
                </c:pt>
                <c:pt idx="443">
                  <c:v>1/4/2023</c:v>
                </c:pt>
                <c:pt idx="444">
                  <c:v>2/4/2023</c:v>
                </c:pt>
                <c:pt idx="445">
                  <c:v>3/4/2023</c:v>
                </c:pt>
                <c:pt idx="446">
                  <c:v>4/4/2023</c:v>
                </c:pt>
                <c:pt idx="447">
                  <c:v>5/4/2023</c:v>
                </c:pt>
                <c:pt idx="448">
                  <c:v>6/4/2023</c:v>
                </c:pt>
                <c:pt idx="449">
                  <c:v>7/4/2023</c:v>
                </c:pt>
                <c:pt idx="450">
                  <c:v>8/4/2023</c:v>
                </c:pt>
                <c:pt idx="451">
                  <c:v>9/4/2023</c:v>
                </c:pt>
                <c:pt idx="452">
                  <c:v>10/4/2023</c:v>
                </c:pt>
                <c:pt idx="453">
                  <c:v>11/4/2023</c:v>
                </c:pt>
                <c:pt idx="454">
                  <c:v>12/4/2023</c:v>
                </c:pt>
                <c:pt idx="455">
                  <c:v>13/4/2023</c:v>
                </c:pt>
                <c:pt idx="456">
                  <c:v>14/4/2023</c:v>
                </c:pt>
                <c:pt idx="457">
                  <c:v>15/4/2023</c:v>
                </c:pt>
                <c:pt idx="458">
                  <c:v>16/4/2023</c:v>
                </c:pt>
                <c:pt idx="459">
                  <c:v>17/4/2023</c:v>
                </c:pt>
                <c:pt idx="460">
                  <c:v>18/4/2023</c:v>
                </c:pt>
                <c:pt idx="461">
                  <c:v>19/4/2023</c:v>
                </c:pt>
                <c:pt idx="462">
                  <c:v>20/4/2023</c:v>
                </c:pt>
                <c:pt idx="463">
                  <c:v>21/4/2023</c:v>
                </c:pt>
                <c:pt idx="464">
                  <c:v>22/4/2023</c:v>
                </c:pt>
                <c:pt idx="465">
                  <c:v>23/4/2023</c:v>
                </c:pt>
                <c:pt idx="466">
                  <c:v>24/4/2023</c:v>
                </c:pt>
                <c:pt idx="467">
                  <c:v>25/4/2023</c:v>
                </c:pt>
                <c:pt idx="468">
                  <c:v>26/4/2023</c:v>
                </c:pt>
                <c:pt idx="469">
                  <c:v>27/4/2023</c:v>
                </c:pt>
                <c:pt idx="470">
                  <c:v>28/4/2023</c:v>
                </c:pt>
                <c:pt idx="471">
                  <c:v>29/4/2023</c:v>
                </c:pt>
                <c:pt idx="472">
                  <c:v>30/4/2023</c:v>
                </c:pt>
                <c:pt idx="473">
                  <c:v>1/5/2023</c:v>
                </c:pt>
                <c:pt idx="474">
                  <c:v>2/5/2023</c:v>
                </c:pt>
                <c:pt idx="475">
                  <c:v>3/5/2023</c:v>
                </c:pt>
                <c:pt idx="476">
                  <c:v>4/5/2023</c:v>
                </c:pt>
                <c:pt idx="477">
                  <c:v>5/5/2023</c:v>
                </c:pt>
                <c:pt idx="478">
                  <c:v>6/5/2023</c:v>
                </c:pt>
                <c:pt idx="479">
                  <c:v>7/5/2023</c:v>
                </c:pt>
                <c:pt idx="480">
                  <c:v>8/5/2023</c:v>
                </c:pt>
                <c:pt idx="481">
                  <c:v>9/5/2023</c:v>
                </c:pt>
                <c:pt idx="482">
                  <c:v>10/5/2023</c:v>
                </c:pt>
                <c:pt idx="483">
                  <c:v>11/5/2023</c:v>
                </c:pt>
                <c:pt idx="484">
                  <c:v>12/5/2023</c:v>
                </c:pt>
                <c:pt idx="485">
                  <c:v>13/5/2023</c:v>
                </c:pt>
                <c:pt idx="486">
                  <c:v>14/5/2023</c:v>
                </c:pt>
                <c:pt idx="487">
                  <c:v>15/5/2023</c:v>
                </c:pt>
                <c:pt idx="488">
                  <c:v>16/5/2023</c:v>
                </c:pt>
                <c:pt idx="489">
                  <c:v>17/5/2023</c:v>
                </c:pt>
                <c:pt idx="490">
                  <c:v>18/5/2023</c:v>
                </c:pt>
                <c:pt idx="491">
                  <c:v>19/5/2023</c:v>
                </c:pt>
                <c:pt idx="492">
                  <c:v>20/5/2023</c:v>
                </c:pt>
                <c:pt idx="493">
                  <c:v>21/5/2023</c:v>
                </c:pt>
                <c:pt idx="494">
                  <c:v>22/5/2023</c:v>
                </c:pt>
                <c:pt idx="495">
                  <c:v>23/5/2023</c:v>
                </c:pt>
                <c:pt idx="496">
                  <c:v>24/5/2023</c:v>
                </c:pt>
                <c:pt idx="497">
                  <c:v>25/5/2023</c:v>
                </c:pt>
                <c:pt idx="498">
                  <c:v>26/5/2023</c:v>
                </c:pt>
                <c:pt idx="499">
                  <c:v>27/5/2023</c:v>
                </c:pt>
                <c:pt idx="500">
                  <c:v>28/5/2023</c:v>
                </c:pt>
                <c:pt idx="501">
                  <c:v>29/5/2023</c:v>
                </c:pt>
                <c:pt idx="502">
                  <c:v>30/5/2023</c:v>
                </c:pt>
                <c:pt idx="503">
                  <c:v>31/5/2023</c:v>
                </c:pt>
                <c:pt idx="504">
                  <c:v>1/6/2023</c:v>
                </c:pt>
                <c:pt idx="505">
                  <c:v>2/6/2023</c:v>
                </c:pt>
                <c:pt idx="506">
                  <c:v>3/6/2023</c:v>
                </c:pt>
                <c:pt idx="507">
                  <c:v>4/6/2023</c:v>
                </c:pt>
                <c:pt idx="508">
                  <c:v>5/6/2023</c:v>
                </c:pt>
                <c:pt idx="509">
                  <c:v>6/6/2023</c:v>
                </c:pt>
                <c:pt idx="510">
                  <c:v>7/6/2023</c:v>
                </c:pt>
                <c:pt idx="511">
                  <c:v>8/6/2023</c:v>
                </c:pt>
                <c:pt idx="512">
                  <c:v>9/6/2023</c:v>
                </c:pt>
                <c:pt idx="513">
                  <c:v>10/6/2023</c:v>
                </c:pt>
                <c:pt idx="514">
                  <c:v>11/6/2023</c:v>
                </c:pt>
                <c:pt idx="515">
                  <c:v>12/6/2023</c:v>
                </c:pt>
                <c:pt idx="516">
                  <c:v>13/6/2023</c:v>
                </c:pt>
                <c:pt idx="517">
                  <c:v>14/6/2023</c:v>
                </c:pt>
                <c:pt idx="518">
                  <c:v>15/6/2023</c:v>
                </c:pt>
                <c:pt idx="519">
                  <c:v>16/6/2023</c:v>
                </c:pt>
                <c:pt idx="520">
                  <c:v>17/6/2023</c:v>
                </c:pt>
                <c:pt idx="521">
                  <c:v>18/6/2023</c:v>
                </c:pt>
                <c:pt idx="522">
                  <c:v>19/6/2023</c:v>
                </c:pt>
                <c:pt idx="523">
                  <c:v>20/6/2023</c:v>
                </c:pt>
                <c:pt idx="524">
                  <c:v>21/6/2023</c:v>
                </c:pt>
                <c:pt idx="525">
                  <c:v>22/6/2023</c:v>
                </c:pt>
                <c:pt idx="526">
                  <c:v>23/6/2023</c:v>
                </c:pt>
                <c:pt idx="527">
                  <c:v>24/6/2023</c:v>
                </c:pt>
                <c:pt idx="528">
                  <c:v>25/6/2023</c:v>
                </c:pt>
                <c:pt idx="529">
                  <c:v>26/6/2023</c:v>
                </c:pt>
                <c:pt idx="530">
                  <c:v>27/6/2023</c:v>
                </c:pt>
                <c:pt idx="531">
                  <c:v>28/6/2023</c:v>
                </c:pt>
                <c:pt idx="532">
                  <c:v>29/6/2023</c:v>
                </c:pt>
                <c:pt idx="533">
                  <c:v>30/6/2023</c:v>
                </c:pt>
                <c:pt idx="534">
                  <c:v>1/7/2023</c:v>
                </c:pt>
                <c:pt idx="535">
                  <c:v>2/7/2023</c:v>
                </c:pt>
                <c:pt idx="536">
                  <c:v>3/7/2023</c:v>
                </c:pt>
                <c:pt idx="537">
                  <c:v>4/7/2023</c:v>
                </c:pt>
                <c:pt idx="538">
                  <c:v>5/7/2023</c:v>
                </c:pt>
                <c:pt idx="539">
                  <c:v>6/7/2023</c:v>
                </c:pt>
                <c:pt idx="540">
                  <c:v>7/7/2023</c:v>
                </c:pt>
                <c:pt idx="541">
                  <c:v>8/7/2023</c:v>
                </c:pt>
                <c:pt idx="542">
                  <c:v>9/7/2023</c:v>
                </c:pt>
                <c:pt idx="543">
                  <c:v>10/7/2023</c:v>
                </c:pt>
                <c:pt idx="544">
                  <c:v>11/7/2023</c:v>
                </c:pt>
                <c:pt idx="545">
                  <c:v>12/7/2023</c:v>
                </c:pt>
                <c:pt idx="546">
                  <c:v>13/7/2023</c:v>
                </c:pt>
                <c:pt idx="547">
                  <c:v>14/7/2023</c:v>
                </c:pt>
                <c:pt idx="548">
                  <c:v>15/7/2023</c:v>
                </c:pt>
                <c:pt idx="549">
                  <c:v>16/7/2023</c:v>
                </c:pt>
                <c:pt idx="550">
                  <c:v>17/7/2023</c:v>
                </c:pt>
                <c:pt idx="551">
                  <c:v>18/7/2023</c:v>
                </c:pt>
                <c:pt idx="552">
                  <c:v>19/7/2023</c:v>
                </c:pt>
                <c:pt idx="553">
                  <c:v>20/7/2023</c:v>
                </c:pt>
                <c:pt idx="554">
                  <c:v>21/7/2023</c:v>
                </c:pt>
                <c:pt idx="555">
                  <c:v>22/7/2023</c:v>
                </c:pt>
                <c:pt idx="556">
                  <c:v>23/7/2023</c:v>
                </c:pt>
                <c:pt idx="557">
                  <c:v>24/7/2023</c:v>
                </c:pt>
                <c:pt idx="558">
                  <c:v>25/7/2023</c:v>
                </c:pt>
                <c:pt idx="559">
                  <c:v>26/7/2023</c:v>
                </c:pt>
                <c:pt idx="560">
                  <c:v>27/7/2023</c:v>
                </c:pt>
                <c:pt idx="561">
                  <c:v>28/7/2023</c:v>
                </c:pt>
                <c:pt idx="562">
                  <c:v>29/7/2023</c:v>
                </c:pt>
                <c:pt idx="563">
                  <c:v>30/7/2023</c:v>
                </c:pt>
                <c:pt idx="564">
                  <c:v>31/7/2023</c:v>
                </c:pt>
                <c:pt idx="565">
                  <c:v>1/8/2023</c:v>
                </c:pt>
                <c:pt idx="566">
                  <c:v>2/8/2023</c:v>
                </c:pt>
                <c:pt idx="567">
                  <c:v>3/8/2023</c:v>
                </c:pt>
                <c:pt idx="568">
                  <c:v>4/8/2023</c:v>
                </c:pt>
                <c:pt idx="569">
                  <c:v>5/8/2023</c:v>
                </c:pt>
                <c:pt idx="570">
                  <c:v>6/8/2023</c:v>
                </c:pt>
                <c:pt idx="571">
                  <c:v>7/8/2023</c:v>
                </c:pt>
                <c:pt idx="572">
                  <c:v>8/8/2023</c:v>
                </c:pt>
                <c:pt idx="573">
                  <c:v>9/8/2023</c:v>
                </c:pt>
                <c:pt idx="574">
                  <c:v>10/8/2023</c:v>
                </c:pt>
                <c:pt idx="575">
                  <c:v>11/8/2023</c:v>
                </c:pt>
                <c:pt idx="576">
                  <c:v>12/8/2023</c:v>
                </c:pt>
                <c:pt idx="577">
                  <c:v>13/8/2023</c:v>
                </c:pt>
                <c:pt idx="578">
                  <c:v>14/8/2023</c:v>
                </c:pt>
                <c:pt idx="579">
                  <c:v>15/8/2023</c:v>
                </c:pt>
                <c:pt idx="580">
                  <c:v>16/8/2023</c:v>
                </c:pt>
                <c:pt idx="581">
                  <c:v>17/8/2023</c:v>
                </c:pt>
                <c:pt idx="582">
                  <c:v>18/8/2023</c:v>
                </c:pt>
                <c:pt idx="583">
                  <c:v>19/8/2023</c:v>
                </c:pt>
                <c:pt idx="584">
                  <c:v>20/8/2023</c:v>
                </c:pt>
                <c:pt idx="585">
                  <c:v>21/8/2023</c:v>
                </c:pt>
                <c:pt idx="586">
                  <c:v>22/8/2023</c:v>
                </c:pt>
                <c:pt idx="587">
                  <c:v>23/8/2023</c:v>
                </c:pt>
                <c:pt idx="588">
                  <c:v>24/8/2023</c:v>
                </c:pt>
                <c:pt idx="589">
                  <c:v>25/8/2023</c:v>
                </c:pt>
                <c:pt idx="590">
                  <c:v>26/8/2023</c:v>
                </c:pt>
                <c:pt idx="591">
                  <c:v>27/8/2023</c:v>
                </c:pt>
                <c:pt idx="592">
                  <c:v>28/8/2023</c:v>
                </c:pt>
                <c:pt idx="593">
                  <c:v>29/8/2023</c:v>
                </c:pt>
                <c:pt idx="594">
                  <c:v>30/8/2023</c:v>
                </c:pt>
                <c:pt idx="595">
                  <c:v>31/8/2023</c:v>
                </c:pt>
                <c:pt idx="596">
                  <c:v>1/9/2023</c:v>
                </c:pt>
                <c:pt idx="597">
                  <c:v>2/9/2023</c:v>
                </c:pt>
                <c:pt idx="598">
                  <c:v>3/9/2023</c:v>
                </c:pt>
                <c:pt idx="599">
                  <c:v>4/9/2023</c:v>
                </c:pt>
                <c:pt idx="600">
                  <c:v>5/9/2023</c:v>
                </c:pt>
                <c:pt idx="601">
                  <c:v>6/9/2023</c:v>
                </c:pt>
                <c:pt idx="602">
                  <c:v>7/9/2023</c:v>
                </c:pt>
                <c:pt idx="603">
                  <c:v>8/9/2023</c:v>
                </c:pt>
                <c:pt idx="604">
                  <c:v>9/9/2023</c:v>
                </c:pt>
                <c:pt idx="605">
                  <c:v>10/9/2023</c:v>
                </c:pt>
                <c:pt idx="606">
                  <c:v>11/9/2023</c:v>
                </c:pt>
                <c:pt idx="607">
                  <c:v>12/9/2023</c:v>
                </c:pt>
                <c:pt idx="608">
                  <c:v>13/9/2023</c:v>
                </c:pt>
                <c:pt idx="609">
                  <c:v>14/9/2023</c:v>
                </c:pt>
                <c:pt idx="610">
                  <c:v>15/9/2023</c:v>
                </c:pt>
                <c:pt idx="611">
                  <c:v>16/9/2023</c:v>
                </c:pt>
                <c:pt idx="612">
                  <c:v>17/9/2023</c:v>
                </c:pt>
                <c:pt idx="613">
                  <c:v>18/9/2023</c:v>
                </c:pt>
                <c:pt idx="614">
                  <c:v>19/9/2023</c:v>
                </c:pt>
                <c:pt idx="615">
                  <c:v>20/9/2023</c:v>
                </c:pt>
                <c:pt idx="616">
                  <c:v>21/9/2023</c:v>
                </c:pt>
                <c:pt idx="617">
                  <c:v>22/9/2023</c:v>
                </c:pt>
                <c:pt idx="618">
                  <c:v>23/9/2023</c:v>
                </c:pt>
                <c:pt idx="619">
                  <c:v>24/9/2023</c:v>
                </c:pt>
                <c:pt idx="620">
                  <c:v>25/9/2023</c:v>
                </c:pt>
                <c:pt idx="621">
                  <c:v>26/9/2023</c:v>
                </c:pt>
                <c:pt idx="622">
                  <c:v>27/9/2023</c:v>
                </c:pt>
                <c:pt idx="623">
                  <c:v>28/9/2023</c:v>
                </c:pt>
                <c:pt idx="624">
                  <c:v>29/9/2023</c:v>
                </c:pt>
                <c:pt idx="625">
                  <c:v>30/9/2023</c:v>
                </c:pt>
                <c:pt idx="626">
                  <c:v>1/10/2023</c:v>
                </c:pt>
                <c:pt idx="627">
                  <c:v>2/10/2023</c:v>
                </c:pt>
                <c:pt idx="628">
                  <c:v>3/10/2023</c:v>
                </c:pt>
                <c:pt idx="629">
                  <c:v>4/10/2023</c:v>
                </c:pt>
                <c:pt idx="630">
                  <c:v>5/10/2023</c:v>
                </c:pt>
                <c:pt idx="631">
                  <c:v>6/10/2023</c:v>
                </c:pt>
                <c:pt idx="632">
                  <c:v>7/10/2023</c:v>
                </c:pt>
                <c:pt idx="633">
                  <c:v>8/10/2023</c:v>
                </c:pt>
                <c:pt idx="634">
                  <c:v>9/10/2023</c:v>
                </c:pt>
                <c:pt idx="635">
                  <c:v>10/10/2023</c:v>
                </c:pt>
                <c:pt idx="636">
                  <c:v>11/10/2023</c:v>
                </c:pt>
                <c:pt idx="637">
                  <c:v>12/10/2023</c:v>
                </c:pt>
                <c:pt idx="638">
                  <c:v>13/10/2023</c:v>
                </c:pt>
                <c:pt idx="639">
                  <c:v>14/10/2023</c:v>
                </c:pt>
                <c:pt idx="640">
                  <c:v>15/10/2023</c:v>
                </c:pt>
                <c:pt idx="641">
                  <c:v>16/10/2023</c:v>
                </c:pt>
                <c:pt idx="642">
                  <c:v>17/10/2023</c:v>
                </c:pt>
                <c:pt idx="643">
                  <c:v>18/10/2023</c:v>
                </c:pt>
                <c:pt idx="644">
                  <c:v>19/10/2023</c:v>
                </c:pt>
                <c:pt idx="645">
                  <c:v>20/10/2023</c:v>
                </c:pt>
                <c:pt idx="646">
                  <c:v>21/10/2023</c:v>
                </c:pt>
                <c:pt idx="647">
                  <c:v>22/10/2023</c:v>
                </c:pt>
                <c:pt idx="648">
                  <c:v>23/10/2023</c:v>
                </c:pt>
                <c:pt idx="649">
                  <c:v>24/10/2023</c:v>
                </c:pt>
                <c:pt idx="650">
                  <c:v>25/10/2023</c:v>
                </c:pt>
                <c:pt idx="651">
                  <c:v>26/10/2023</c:v>
                </c:pt>
                <c:pt idx="652">
                  <c:v>27/10/2023</c:v>
                </c:pt>
                <c:pt idx="653">
                  <c:v>28/10/2023</c:v>
                </c:pt>
                <c:pt idx="654">
                  <c:v>29/10/2023</c:v>
                </c:pt>
                <c:pt idx="655">
                  <c:v>30/10/2023</c:v>
                </c:pt>
                <c:pt idx="656">
                  <c:v>31/10/2023</c:v>
                </c:pt>
                <c:pt idx="657">
                  <c:v>1/11/2023</c:v>
                </c:pt>
                <c:pt idx="658">
                  <c:v>2/11/2023</c:v>
                </c:pt>
                <c:pt idx="659">
                  <c:v>3/11/2023</c:v>
                </c:pt>
                <c:pt idx="660">
                  <c:v>4/11/2023</c:v>
                </c:pt>
                <c:pt idx="661">
                  <c:v>5/11/2023</c:v>
                </c:pt>
                <c:pt idx="662">
                  <c:v>6/11/2023</c:v>
                </c:pt>
                <c:pt idx="663">
                  <c:v>7/11/2023</c:v>
                </c:pt>
                <c:pt idx="664">
                  <c:v>8/11/2023</c:v>
                </c:pt>
                <c:pt idx="665">
                  <c:v>9/11/2023</c:v>
                </c:pt>
                <c:pt idx="666">
                  <c:v>10/11/2023</c:v>
                </c:pt>
                <c:pt idx="667">
                  <c:v>11/11/2023</c:v>
                </c:pt>
                <c:pt idx="668">
                  <c:v>12/11/2023</c:v>
                </c:pt>
                <c:pt idx="669">
                  <c:v>13/11/2023</c:v>
                </c:pt>
                <c:pt idx="670">
                  <c:v>14/11/2023</c:v>
                </c:pt>
                <c:pt idx="671">
                  <c:v>15/11/2023</c:v>
                </c:pt>
                <c:pt idx="672">
                  <c:v>16/11/2023</c:v>
                </c:pt>
                <c:pt idx="673">
                  <c:v>17/11/2023</c:v>
                </c:pt>
                <c:pt idx="674">
                  <c:v>18/11/2023</c:v>
                </c:pt>
                <c:pt idx="675">
                  <c:v>19/11/2023</c:v>
                </c:pt>
                <c:pt idx="676">
                  <c:v>20/11/2023</c:v>
                </c:pt>
                <c:pt idx="677">
                  <c:v>21/11/2023</c:v>
                </c:pt>
                <c:pt idx="678">
                  <c:v>22/11/2023</c:v>
                </c:pt>
                <c:pt idx="679">
                  <c:v>23/11/2023</c:v>
                </c:pt>
                <c:pt idx="680">
                  <c:v>24/11/2023</c:v>
                </c:pt>
                <c:pt idx="681">
                  <c:v>25/11/2023</c:v>
                </c:pt>
                <c:pt idx="682">
                  <c:v>26/11/2023</c:v>
                </c:pt>
                <c:pt idx="683">
                  <c:v>27/11/2023</c:v>
                </c:pt>
                <c:pt idx="684">
                  <c:v>28/11/2023</c:v>
                </c:pt>
                <c:pt idx="685">
                  <c:v>29/11/2023</c:v>
                </c:pt>
                <c:pt idx="686">
                  <c:v>30/11/2023</c:v>
                </c:pt>
                <c:pt idx="687">
                  <c:v>1/12/2023</c:v>
                </c:pt>
                <c:pt idx="688">
                  <c:v>2/12/2023</c:v>
                </c:pt>
                <c:pt idx="689">
                  <c:v>3/12/2023</c:v>
                </c:pt>
                <c:pt idx="690">
                  <c:v>4/12/2023</c:v>
                </c:pt>
                <c:pt idx="691">
                  <c:v>5/12/2023</c:v>
                </c:pt>
                <c:pt idx="692">
                  <c:v>6/12/2023</c:v>
                </c:pt>
                <c:pt idx="693">
                  <c:v>7/12/2023</c:v>
                </c:pt>
                <c:pt idx="694">
                  <c:v>8/12/2023</c:v>
                </c:pt>
                <c:pt idx="695">
                  <c:v>9/12/2023</c:v>
                </c:pt>
                <c:pt idx="696">
                  <c:v>10/12/2023</c:v>
                </c:pt>
                <c:pt idx="697">
                  <c:v>11/12/2023</c:v>
                </c:pt>
                <c:pt idx="698">
                  <c:v>12/12/2023</c:v>
                </c:pt>
                <c:pt idx="699">
                  <c:v>13/12/2023</c:v>
                </c:pt>
                <c:pt idx="700">
                  <c:v>14/12/2023</c:v>
                </c:pt>
                <c:pt idx="701">
                  <c:v>15/12/2023</c:v>
                </c:pt>
                <c:pt idx="702">
                  <c:v>16/12/2023</c:v>
                </c:pt>
                <c:pt idx="703">
                  <c:v>17/12/2023</c:v>
                </c:pt>
                <c:pt idx="704">
                  <c:v>18/12/2023</c:v>
                </c:pt>
                <c:pt idx="705">
                  <c:v>19/12/2023</c:v>
                </c:pt>
                <c:pt idx="706">
                  <c:v>20/12/2023</c:v>
                </c:pt>
                <c:pt idx="707">
                  <c:v>21/12/2023</c:v>
                </c:pt>
                <c:pt idx="708">
                  <c:v>22/12/2023</c:v>
                </c:pt>
                <c:pt idx="709">
                  <c:v>23/12/2023</c:v>
                </c:pt>
                <c:pt idx="710">
                  <c:v>24/12/2023</c:v>
                </c:pt>
                <c:pt idx="711">
                  <c:v>25/12/2023</c:v>
                </c:pt>
                <c:pt idx="712">
                  <c:v>26/12/2023</c:v>
                </c:pt>
                <c:pt idx="713">
                  <c:v>27/12/2023</c:v>
                </c:pt>
                <c:pt idx="714">
                  <c:v>28/12/2023</c:v>
                </c:pt>
                <c:pt idx="715">
                  <c:v>29/12/2023</c:v>
                </c:pt>
                <c:pt idx="716">
                  <c:v>30/12/2023</c:v>
                </c:pt>
                <c:pt idx="717">
                  <c:v>31/12/2023</c:v>
                </c:pt>
                <c:pt idx="718">
                  <c:v>1/1/2024</c:v>
                </c:pt>
                <c:pt idx="719">
                  <c:v>2/1/2024</c:v>
                </c:pt>
                <c:pt idx="720">
                  <c:v>3/1/2024</c:v>
                </c:pt>
                <c:pt idx="721">
                  <c:v>4/1/2024</c:v>
                </c:pt>
                <c:pt idx="722">
                  <c:v>5/1/2024</c:v>
                </c:pt>
                <c:pt idx="723">
                  <c:v>6/1/2024</c:v>
                </c:pt>
                <c:pt idx="724">
                  <c:v>7/1/2024</c:v>
                </c:pt>
                <c:pt idx="725">
                  <c:v>8/1/2024</c:v>
                </c:pt>
                <c:pt idx="726">
                  <c:v>9/1/2024</c:v>
                </c:pt>
                <c:pt idx="727">
                  <c:v>10/1/2024</c:v>
                </c:pt>
                <c:pt idx="728">
                  <c:v>11/1/2024</c:v>
                </c:pt>
                <c:pt idx="729">
                  <c:v>12/1/2024</c:v>
                </c:pt>
                <c:pt idx="730">
                  <c:v>13/1/2024</c:v>
                </c:pt>
                <c:pt idx="731">
                  <c:v>14/1/2024</c:v>
                </c:pt>
                <c:pt idx="732">
                  <c:v>15/1/2024</c:v>
                </c:pt>
                <c:pt idx="733">
                  <c:v>16/1/2024</c:v>
                </c:pt>
                <c:pt idx="734">
                  <c:v>17/1/2024</c:v>
                </c:pt>
                <c:pt idx="735">
                  <c:v>18/1/2024</c:v>
                </c:pt>
                <c:pt idx="736">
                  <c:v>19/1/2024</c:v>
                </c:pt>
                <c:pt idx="737">
                  <c:v>20/1/2024</c:v>
                </c:pt>
                <c:pt idx="738">
                  <c:v>21/1/2024</c:v>
                </c:pt>
                <c:pt idx="739">
                  <c:v>22/1/2024</c:v>
                </c:pt>
                <c:pt idx="740">
                  <c:v>23/1/2024</c:v>
                </c:pt>
                <c:pt idx="741">
                  <c:v>24/1/2024</c:v>
                </c:pt>
                <c:pt idx="742">
                  <c:v>25/1/2024</c:v>
                </c:pt>
                <c:pt idx="743">
                  <c:v>26/1/2024</c:v>
                </c:pt>
                <c:pt idx="744">
                  <c:v>27/1/2024</c:v>
                </c:pt>
                <c:pt idx="745">
                  <c:v>28/1/2024</c:v>
                </c:pt>
                <c:pt idx="746">
                  <c:v>29/1/2024</c:v>
                </c:pt>
                <c:pt idx="747">
                  <c:v>30/1/2024</c:v>
                </c:pt>
                <c:pt idx="748">
                  <c:v>31/1/2024</c:v>
                </c:pt>
                <c:pt idx="749">
                  <c:v>1/2/2024</c:v>
                </c:pt>
                <c:pt idx="750">
                  <c:v>2/2/2024</c:v>
                </c:pt>
                <c:pt idx="751">
                  <c:v>3/2/2024</c:v>
                </c:pt>
                <c:pt idx="752">
                  <c:v>4/2/2024</c:v>
                </c:pt>
                <c:pt idx="753">
                  <c:v>5/2/2024</c:v>
                </c:pt>
                <c:pt idx="754">
                  <c:v>6/2/2024</c:v>
                </c:pt>
                <c:pt idx="755">
                  <c:v>7/2/2024</c:v>
                </c:pt>
                <c:pt idx="756">
                  <c:v>8/2/2024</c:v>
                </c:pt>
                <c:pt idx="757">
                  <c:v>9/2/2024</c:v>
                </c:pt>
                <c:pt idx="758">
                  <c:v>10/2/2024</c:v>
                </c:pt>
                <c:pt idx="759">
                  <c:v>11/2/2024</c:v>
                </c:pt>
                <c:pt idx="760">
                  <c:v>12/2/2024</c:v>
                </c:pt>
                <c:pt idx="761">
                  <c:v>13/2/2024</c:v>
                </c:pt>
                <c:pt idx="762">
                  <c:v>14/2/2024</c:v>
                </c:pt>
                <c:pt idx="763">
                  <c:v>15/2/2024</c:v>
                </c:pt>
                <c:pt idx="764">
                  <c:v>16/2/2024</c:v>
                </c:pt>
                <c:pt idx="765">
                  <c:v>17/2/2024</c:v>
                </c:pt>
                <c:pt idx="766">
                  <c:v>18/2/2024</c:v>
                </c:pt>
                <c:pt idx="767">
                  <c:v>19/2/2024</c:v>
                </c:pt>
                <c:pt idx="768">
                  <c:v>20/2/2024</c:v>
                </c:pt>
                <c:pt idx="769">
                  <c:v>21/2/2024</c:v>
                </c:pt>
                <c:pt idx="770">
                  <c:v>22/2/2024</c:v>
                </c:pt>
                <c:pt idx="771">
                  <c:v>23/2/2024</c:v>
                </c:pt>
                <c:pt idx="772">
                  <c:v>24/2/2024</c:v>
                </c:pt>
                <c:pt idx="773">
                  <c:v>25/2/2024</c:v>
                </c:pt>
                <c:pt idx="774">
                  <c:v>26/2/2024</c:v>
                </c:pt>
                <c:pt idx="775">
                  <c:v>27/2/2024</c:v>
                </c:pt>
                <c:pt idx="776">
                  <c:v>28/2/2024</c:v>
                </c:pt>
                <c:pt idx="777">
                  <c:v>29/2/2024</c:v>
                </c:pt>
                <c:pt idx="778">
                  <c:v>1/3/2024</c:v>
                </c:pt>
                <c:pt idx="779">
                  <c:v>2/3/2024</c:v>
                </c:pt>
                <c:pt idx="780">
                  <c:v>3/3/2024</c:v>
                </c:pt>
                <c:pt idx="781">
                  <c:v>4/3/2024</c:v>
                </c:pt>
                <c:pt idx="782">
                  <c:v>5/3/2024</c:v>
                </c:pt>
                <c:pt idx="783">
                  <c:v>6/3/2024</c:v>
                </c:pt>
                <c:pt idx="784">
                  <c:v>7/3/2024</c:v>
                </c:pt>
                <c:pt idx="785">
                  <c:v>8/3/2024</c:v>
                </c:pt>
                <c:pt idx="786">
                  <c:v>9/3/2024</c:v>
                </c:pt>
                <c:pt idx="787">
                  <c:v>10/3/2024</c:v>
                </c:pt>
                <c:pt idx="788">
                  <c:v>11/3/2024</c:v>
                </c:pt>
                <c:pt idx="789">
                  <c:v>12/3/2024</c:v>
                </c:pt>
                <c:pt idx="790">
                  <c:v>13/3/2024</c:v>
                </c:pt>
                <c:pt idx="791">
                  <c:v>14/3/2024</c:v>
                </c:pt>
                <c:pt idx="792">
                  <c:v>15/3/2024</c:v>
                </c:pt>
                <c:pt idx="793">
                  <c:v>16/3/2024</c:v>
                </c:pt>
                <c:pt idx="794">
                  <c:v>17/3/2024</c:v>
                </c:pt>
                <c:pt idx="795">
                  <c:v>18/3/2024</c:v>
                </c:pt>
                <c:pt idx="796">
                  <c:v>19/3/2024</c:v>
                </c:pt>
                <c:pt idx="797">
                  <c:v>20/3/2024</c:v>
                </c:pt>
                <c:pt idx="798">
                  <c:v>21/3/2024</c:v>
                </c:pt>
                <c:pt idx="799">
                  <c:v>22/3/2024</c:v>
                </c:pt>
                <c:pt idx="800">
                  <c:v>23/3/2024</c:v>
                </c:pt>
                <c:pt idx="801">
                  <c:v>24/3/2024</c:v>
                </c:pt>
                <c:pt idx="802">
                  <c:v>25/3/2024</c:v>
                </c:pt>
                <c:pt idx="803">
                  <c:v>26/3/2024</c:v>
                </c:pt>
                <c:pt idx="804">
                  <c:v>27/3/2024</c:v>
                </c:pt>
                <c:pt idx="805">
                  <c:v>28/3/2024</c:v>
                </c:pt>
                <c:pt idx="806">
                  <c:v>29/3/2024</c:v>
                </c:pt>
                <c:pt idx="807">
                  <c:v>30/3/2024</c:v>
                </c:pt>
                <c:pt idx="808">
                  <c:v>31/3/2024</c:v>
                </c:pt>
                <c:pt idx="809">
                  <c:v>1/4/2024</c:v>
                </c:pt>
                <c:pt idx="810">
                  <c:v>2/4/2024</c:v>
                </c:pt>
                <c:pt idx="811">
                  <c:v>3/4/2024</c:v>
                </c:pt>
                <c:pt idx="812">
                  <c:v>4/4/2024</c:v>
                </c:pt>
                <c:pt idx="813">
                  <c:v>5/4/2024</c:v>
                </c:pt>
                <c:pt idx="814">
                  <c:v>6/4/2024</c:v>
                </c:pt>
                <c:pt idx="815">
                  <c:v>7/4/2024</c:v>
                </c:pt>
                <c:pt idx="816">
                  <c:v>8/4/2024</c:v>
                </c:pt>
                <c:pt idx="817">
                  <c:v>9/4/2024</c:v>
                </c:pt>
                <c:pt idx="818">
                  <c:v>10/4/2024</c:v>
                </c:pt>
                <c:pt idx="819">
                  <c:v>11/4/2024</c:v>
                </c:pt>
                <c:pt idx="820">
                  <c:v>12/4/2024</c:v>
                </c:pt>
                <c:pt idx="821">
                  <c:v>13/4/2024</c:v>
                </c:pt>
                <c:pt idx="822">
                  <c:v>14/4/2024</c:v>
                </c:pt>
                <c:pt idx="823">
                  <c:v>15/4/2024</c:v>
                </c:pt>
                <c:pt idx="824">
                  <c:v>16/4/2024</c:v>
                </c:pt>
                <c:pt idx="825">
                  <c:v>17/4/2024</c:v>
                </c:pt>
                <c:pt idx="826">
                  <c:v>18/4/2024</c:v>
                </c:pt>
                <c:pt idx="827">
                  <c:v>19/4/2024</c:v>
                </c:pt>
                <c:pt idx="828">
                  <c:v>20/4/2024</c:v>
                </c:pt>
                <c:pt idx="829">
                  <c:v>21/4/2024</c:v>
                </c:pt>
                <c:pt idx="830">
                  <c:v>22/4/2024</c:v>
                </c:pt>
                <c:pt idx="831">
                  <c:v>23/4/2024</c:v>
                </c:pt>
                <c:pt idx="832">
                  <c:v>24/4/2024</c:v>
                </c:pt>
                <c:pt idx="833">
                  <c:v>25/4/2024</c:v>
                </c:pt>
                <c:pt idx="834">
                  <c:v>26/4/2024</c:v>
                </c:pt>
                <c:pt idx="835">
                  <c:v>27/4/2024</c:v>
                </c:pt>
                <c:pt idx="836">
                  <c:v>28/4/2024</c:v>
                </c:pt>
                <c:pt idx="837">
                  <c:v>29/4/2024</c:v>
                </c:pt>
                <c:pt idx="838">
                  <c:v>30/4/2024</c:v>
                </c:pt>
                <c:pt idx="839">
                  <c:v>1/5/2024</c:v>
                </c:pt>
                <c:pt idx="840">
                  <c:v>2/5/2024</c:v>
                </c:pt>
                <c:pt idx="841">
                  <c:v>3/5/2024</c:v>
                </c:pt>
                <c:pt idx="842">
                  <c:v>4/5/2024</c:v>
                </c:pt>
                <c:pt idx="843">
                  <c:v>5/5/2024</c:v>
                </c:pt>
                <c:pt idx="844">
                  <c:v>6/5/2024</c:v>
                </c:pt>
                <c:pt idx="845">
                  <c:v>7/5/2024</c:v>
                </c:pt>
                <c:pt idx="846">
                  <c:v>8/5/2024</c:v>
                </c:pt>
                <c:pt idx="847">
                  <c:v>9/5/2024</c:v>
                </c:pt>
                <c:pt idx="848">
                  <c:v>10/5/2024</c:v>
                </c:pt>
                <c:pt idx="849">
                  <c:v>11/5/2024</c:v>
                </c:pt>
                <c:pt idx="850">
                  <c:v>12/5/2024</c:v>
                </c:pt>
                <c:pt idx="851">
                  <c:v>13/5/2024</c:v>
                </c:pt>
                <c:pt idx="852">
                  <c:v>14/5/2024</c:v>
                </c:pt>
                <c:pt idx="853">
                  <c:v>15/5/2024</c:v>
                </c:pt>
                <c:pt idx="854">
                  <c:v>16/5/2024</c:v>
                </c:pt>
                <c:pt idx="855">
                  <c:v>17/5/2024</c:v>
                </c:pt>
                <c:pt idx="856">
                  <c:v>18/5/2024</c:v>
                </c:pt>
                <c:pt idx="857">
                  <c:v>19/5/2024</c:v>
                </c:pt>
                <c:pt idx="858">
                  <c:v>20/5/2024</c:v>
                </c:pt>
                <c:pt idx="859">
                  <c:v>21/5/2024</c:v>
                </c:pt>
                <c:pt idx="860">
                  <c:v>22/5/2024</c:v>
                </c:pt>
                <c:pt idx="861">
                  <c:v>23/5/2024</c:v>
                </c:pt>
                <c:pt idx="862">
                  <c:v>24/5/2024</c:v>
                </c:pt>
                <c:pt idx="863">
                  <c:v>25/5/2024</c:v>
                </c:pt>
                <c:pt idx="864">
                  <c:v>26/5/2024</c:v>
                </c:pt>
                <c:pt idx="865">
                  <c:v>27/5/2024</c:v>
                </c:pt>
                <c:pt idx="866">
                  <c:v>28/5/2024</c:v>
                </c:pt>
                <c:pt idx="867">
                  <c:v>29/5/2024</c:v>
                </c:pt>
                <c:pt idx="868">
                  <c:v>30/5/2024</c:v>
                </c:pt>
                <c:pt idx="869">
                  <c:v>31/5/2024</c:v>
                </c:pt>
                <c:pt idx="870">
                  <c:v>1/6/2024</c:v>
                </c:pt>
                <c:pt idx="871">
                  <c:v>2/6/2024</c:v>
                </c:pt>
                <c:pt idx="872">
                  <c:v>3/6/2024</c:v>
                </c:pt>
                <c:pt idx="873">
                  <c:v>4/6/2024</c:v>
                </c:pt>
                <c:pt idx="874">
                  <c:v>5/6/2024</c:v>
                </c:pt>
                <c:pt idx="875">
                  <c:v>6/6/2024</c:v>
                </c:pt>
                <c:pt idx="876">
                  <c:v>7/6/2024</c:v>
                </c:pt>
                <c:pt idx="877">
                  <c:v>8/6/2024</c:v>
                </c:pt>
                <c:pt idx="878">
                  <c:v>9/6/2024</c:v>
                </c:pt>
                <c:pt idx="879">
                  <c:v>10/6/2024</c:v>
                </c:pt>
                <c:pt idx="880">
                  <c:v>11/6/2024</c:v>
                </c:pt>
                <c:pt idx="881">
                  <c:v>12/6/2024</c:v>
                </c:pt>
                <c:pt idx="882">
                  <c:v>13/6/2024</c:v>
                </c:pt>
                <c:pt idx="883">
                  <c:v>14/6/2024</c:v>
                </c:pt>
                <c:pt idx="884">
                  <c:v>15/6/2024</c:v>
                </c:pt>
                <c:pt idx="885">
                  <c:v>16/6/2024</c:v>
                </c:pt>
                <c:pt idx="886">
                  <c:v>17/6/2024</c:v>
                </c:pt>
                <c:pt idx="887">
                  <c:v>18/6/2024</c:v>
                </c:pt>
                <c:pt idx="888">
                  <c:v>19/6/2024</c:v>
                </c:pt>
                <c:pt idx="889">
                  <c:v>20/6/2024</c:v>
                </c:pt>
                <c:pt idx="890">
                  <c:v>21/6/2024</c:v>
                </c:pt>
                <c:pt idx="891">
                  <c:v>22/6/2024</c:v>
                </c:pt>
                <c:pt idx="892">
                  <c:v>23/6/2024</c:v>
                </c:pt>
                <c:pt idx="893">
                  <c:v>24/6/2024</c:v>
                </c:pt>
                <c:pt idx="894">
                  <c:v>25/6/2024</c:v>
                </c:pt>
                <c:pt idx="895">
                  <c:v>26/6/2024</c:v>
                </c:pt>
                <c:pt idx="896">
                  <c:v>27/6/2024</c:v>
                </c:pt>
                <c:pt idx="897">
                  <c:v>28/6/2024</c:v>
                </c:pt>
                <c:pt idx="898">
                  <c:v>29/6/2024</c:v>
                </c:pt>
                <c:pt idx="899">
                  <c:v>30/6/2024</c:v>
                </c:pt>
                <c:pt idx="900">
                  <c:v>1/7/2024</c:v>
                </c:pt>
                <c:pt idx="901">
                  <c:v>2/7/2024</c:v>
                </c:pt>
                <c:pt idx="902">
                  <c:v>3/7/2024</c:v>
                </c:pt>
                <c:pt idx="903">
                  <c:v>4/7/2024</c:v>
                </c:pt>
                <c:pt idx="904">
                  <c:v>5/7/2024</c:v>
                </c:pt>
                <c:pt idx="905">
                  <c:v>6/7/2024</c:v>
                </c:pt>
                <c:pt idx="906">
                  <c:v>7/7/2024</c:v>
                </c:pt>
                <c:pt idx="907">
                  <c:v>8/7/2024</c:v>
                </c:pt>
                <c:pt idx="908">
                  <c:v>9/7/2024</c:v>
                </c:pt>
                <c:pt idx="909">
                  <c:v>10/7/2024</c:v>
                </c:pt>
                <c:pt idx="910">
                  <c:v>11/7/2024</c:v>
                </c:pt>
                <c:pt idx="911">
                  <c:v>12/7/2024</c:v>
                </c:pt>
                <c:pt idx="912">
                  <c:v>13/7/2024</c:v>
                </c:pt>
                <c:pt idx="913">
                  <c:v>14/7/2024</c:v>
                </c:pt>
                <c:pt idx="914">
                  <c:v>15/7/2024</c:v>
                </c:pt>
                <c:pt idx="915">
                  <c:v>16/7/2024</c:v>
                </c:pt>
                <c:pt idx="916">
                  <c:v>17/7/2024</c:v>
                </c:pt>
                <c:pt idx="917">
                  <c:v>18/7/2024</c:v>
                </c:pt>
                <c:pt idx="918">
                  <c:v>19/7/2024</c:v>
                </c:pt>
                <c:pt idx="919">
                  <c:v>20/7/2024</c:v>
                </c:pt>
                <c:pt idx="920">
                  <c:v>21/7/2024</c:v>
                </c:pt>
                <c:pt idx="921">
                  <c:v>22/7/2024</c:v>
                </c:pt>
                <c:pt idx="922">
                  <c:v>23/7/2024</c:v>
                </c:pt>
                <c:pt idx="923">
                  <c:v>24/7/2024</c:v>
                </c:pt>
                <c:pt idx="924">
                  <c:v>25/7/2024</c:v>
                </c:pt>
                <c:pt idx="925">
                  <c:v>26/7/2024</c:v>
                </c:pt>
                <c:pt idx="926">
                  <c:v>27/7/2024</c:v>
                </c:pt>
                <c:pt idx="927">
                  <c:v>28/7/2024</c:v>
                </c:pt>
                <c:pt idx="928">
                  <c:v>29/7/2024</c:v>
                </c:pt>
                <c:pt idx="929">
                  <c:v>30/7/2024</c:v>
                </c:pt>
                <c:pt idx="930">
                  <c:v>31/7/2024</c:v>
                </c:pt>
                <c:pt idx="931">
                  <c:v>1/8/2024</c:v>
                </c:pt>
                <c:pt idx="932">
                  <c:v>2/8/2024</c:v>
                </c:pt>
                <c:pt idx="933">
                  <c:v>3/8/2024</c:v>
                </c:pt>
                <c:pt idx="934">
                  <c:v>4/8/2024</c:v>
                </c:pt>
                <c:pt idx="935">
                  <c:v>5/8/2024</c:v>
                </c:pt>
                <c:pt idx="936">
                  <c:v>6/8/2024</c:v>
                </c:pt>
                <c:pt idx="937">
                  <c:v>7/8/2024</c:v>
                </c:pt>
                <c:pt idx="938">
                  <c:v>8/8/2024</c:v>
                </c:pt>
                <c:pt idx="939">
                  <c:v>9/8/2024</c:v>
                </c:pt>
                <c:pt idx="940">
                  <c:v>10/8/2024</c:v>
                </c:pt>
                <c:pt idx="941">
                  <c:v>11/8/2024</c:v>
                </c:pt>
                <c:pt idx="942">
                  <c:v>12/8/2024</c:v>
                </c:pt>
                <c:pt idx="943">
                  <c:v>13/8/2024</c:v>
                </c:pt>
                <c:pt idx="944">
                  <c:v>14/8/2024</c:v>
                </c:pt>
                <c:pt idx="945">
                  <c:v>15/8/2024</c:v>
                </c:pt>
                <c:pt idx="946">
                  <c:v>16/8/2024</c:v>
                </c:pt>
                <c:pt idx="947">
                  <c:v>17/8/2024</c:v>
                </c:pt>
                <c:pt idx="948">
                  <c:v>18/8/2024</c:v>
                </c:pt>
                <c:pt idx="949">
                  <c:v>19/8/2024</c:v>
                </c:pt>
                <c:pt idx="950">
                  <c:v>20/8/2024</c:v>
                </c:pt>
                <c:pt idx="951">
                  <c:v>21/8/2024</c:v>
                </c:pt>
                <c:pt idx="952">
                  <c:v>22/8/2024</c:v>
                </c:pt>
                <c:pt idx="953">
                  <c:v>23/8/2024</c:v>
                </c:pt>
                <c:pt idx="954">
                  <c:v>24/8/2024</c:v>
                </c:pt>
                <c:pt idx="955">
                  <c:v>25/8/2024</c:v>
                </c:pt>
                <c:pt idx="956">
                  <c:v>26/8/2024</c:v>
                </c:pt>
                <c:pt idx="957">
                  <c:v>27/8/2024</c:v>
                </c:pt>
                <c:pt idx="958">
                  <c:v>28/8/2024</c:v>
                </c:pt>
                <c:pt idx="959">
                  <c:v>29/8/2024</c:v>
                </c:pt>
                <c:pt idx="960">
                  <c:v>30/8/2024</c:v>
                </c:pt>
                <c:pt idx="961">
                  <c:v>31/8/2024</c:v>
                </c:pt>
                <c:pt idx="962">
                  <c:v>1/9/2024</c:v>
                </c:pt>
                <c:pt idx="963">
                  <c:v>2/9/2024</c:v>
                </c:pt>
                <c:pt idx="964">
                  <c:v>3/9/2024</c:v>
                </c:pt>
                <c:pt idx="965">
                  <c:v>4/9/2024</c:v>
                </c:pt>
                <c:pt idx="966">
                  <c:v>5/9/2024</c:v>
                </c:pt>
                <c:pt idx="967">
                  <c:v>6/9/2024</c:v>
                </c:pt>
                <c:pt idx="968">
                  <c:v>7/9/2024</c:v>
                </c:pt>
                <c:pt idx="969">
                  <c:v>8/9/2024</c:v>
                </c:pt>
                <c:pt idx="970">
                  <c:v>9/9/2024</c:v>
                </c:pt>
                <c:pt idx="971">
                  <c:v>10/9/2024</c:v>
                </c:pt>
                <c:pt idx="972">
                  <c:v>11/9/2024</c:v>
                </c:pt>
                <c:pt idx="973">
                  <c:v>12/9/2024</c:v>
                </c:pt>
                <c:pt idx="974">
                  <c:v>13/9/2024</c:v>
                </c:pt>
                <c:pt idx="975">
                  <c:v>14/9/2024</c:v>
                </c:pt>
                <c:pt idx="976">
                  <c:v>15/9/2024</c:v>
                </c:pt>
                <c:pt idx="977">
                  <c:v>16/9/2024</c:v>
                </c:pt>
                <c:pt idx="978">
                  <c:v>17/9/2024</c:v>
                </c:pt>
                <c:pt idx="979">
                  <c:v>18/9/2024</c:v>
                </c:pt>
                <c:pt idx="980">
                  <c:v>19/9/2024</c:v>
                </c:pt>
                <c:pt idx="981">
                  <c:v>20/9/2024</c:v>
                </c:pt>
                <c:pt idx="982">
                  <c:v>21/9/2024</c:v>
                </c:pt>
                <c:pt idx="983">
                  <c:v>22/9/2024</c:v>
                </c:pt>
                <c:pt idx="984">
                  <c:v>23/9/2024</c:v>
                </c:pt>
                <c:pt idx="985">
                  <c:v>24/9/2024</c:v>
                </c:pt>
                <c:pt idx="986">
                  <c:v>25/9/2024</c:v>
                </c:pt>
                <c:pt idx="987">
                  <c:v>26/9/2024</c:v>
                </c:pt>
                <c:pt idx="988">
                  <c:v>27/9/2024</c:v>
                </c:pt>
                <c:pt idx="989">
                  <c:v>28/9/2024</c:v>
                </c:pt>
                <c:pt idx="990">
                  <c:v>29/9/2024</c:v>
                </c:pt>
                <c:pt idx="991">
                  <c:v>30/9/2024</c:v>
                </c:pt>
                <c:pt idx="992">
                  <c:v>1/10/2024</c:v>
                </c:pt>
                <c:pt idx="993">
                  <c:v>2/10/2024</c:v>
                </c:pt>
                <c:pt idx="994">
                  <c:v>3/10/2024</c:v>
                </c:pt>
                <c:pt idx="995">
                  <c:v>4/10/2024</c:v>
                </c:pt>
                <c:pt idx="996">
                  <c:v>5/10/2024</c:v>
                </c:pt>
                <c:pt idx="997">
                  <c:v>6/10/2024</c:v>
                </c:pt>
                <c:pt idx="998">
                  <c:v>7/10/2024</c:v>
                </c:pt>
                <c:pt idx="999">
                  <c:v>8/10/2024</c:v>
                </c:pt>
                <c:pt idx="1000">
                  <c:v>9/10/2024</c:v>
                </c:pt>
                <c:pt idx="1001">
                  <c:v>10/10/2024</c:v>
                </c:pt>
                <c:pt idx="1002">
                  <c:v>11/10/2024</c:v>
                </c:pt>
                <c:pt idx="1003">
                  <c:v>12/10/2024</c:v>
                </c:pt>
                <c:pt idx="1004">
                  <c:v>13/10/2024</c:v>
                </c:pt>
                <c:pt idx="1005">
                  <c:v>14/10/2024</c:v>
                </c:pt>
                <c:pt idx="1006">
                  <c:v>15/10/2024</c:v>
                </c:pt>
                <c:pt idx="1007">
                  <c:v>16/10/2024</c:v>
                </c:pt>
                <c:pt idx="1008">
                  <c:v>17/10/2024</c:v>
                </c:pt>
                <c:pt idx="1009">
                  <c:v>18/10/2024</c:v>
                </c:pt>
                <c:pt idx="1010">
                  <c:v>19/10/2024</c:v>
                </c:pt>
                <c:pt idx="1011">
                  <c:v>20/10/2024</c:v>
                </c:pt>
                <c:pt idx="1012">
                  <c:v>21/10/2024</c:v>
                </c:pt>
                <c:pt idx="1013">
                  <c:v>22/10/2024</c:v>
                </c:pt>
                <c:pt idx="1014">
                  <c:v>23/10/2024</c:v>
                </c:pt>
                <c:pt idx="1015">
                  <c:v>24/10/2024</c:v>
                </c:pt>
                <c:pt idx="1016">
                  <c:v>25/10/2024</c:v>
                </c:pt>
                <c:pt idx="1017">
                  <c:v>26/10/2024</c:v>
                </c:pt>
                <c:pt idx="1018">
                  <c:v>27/10/2024</c:v>
                </c:pt>
                <c:pt idx="1019">
                  <c:v>28/10/2024</c:v>
                </c:pt>
                <c:pt idx="1020">
                  <c:v>29/10/2024</c:v>
                </c:pt>
                <c:pt idx="1021">
                  <c:v>30/10/2024</c:v>
                </c:pt>
                <c:pt idx="1022">
                  <c:v>31/10/2024</c:v>
                </c:pt>
                <c:pt idx="1023">
                  <c:v>1/11/2024</c:v>
                </c:pt>
                <c:pt idx="1024">
                  <c:v>2/11/2024</c:v>
                </c:pt>
                <c:pt idx="1025">
                  <c:v>3/11/2024</c:v>
                </c:pt>
                <c:pt idx="1026">
                  <c:v>4/11/2024</c:v>
                </c:pt>
                <c:pt idx="1027">
                  <c:v>5/11/2024</c:v>
                </c:pt>
                <c:pt idx="1028">
                  <c:v>6/11/2024</c:v>
                </c:pt>
                <c:pt idx="1029">
                  <c:v>7/11/2024</c:v>
                </c:pt>
                <c:pt idx="1030">
                  <c:v>8/11/2024</c:v>
                </c:pt>
                <c:pt idx="1031">
                  <c:v>9/11/2024</c:v>
                </c:pt>
                <c:pt idx="1032">
                  <c:v>10/11/2024</c:v>
                </c:pt>
                <c:pt idx="1033">
                  <c:v>11/11/2024</c:v>
                </c:pt>
                <c:pt idx="1034">
                  <c:v>12/11/2024</c:v>
                </c:pt>
                <c:pt idx="1035">
                  <c:v>13/11/2024</c:v>
                </c:pt>
                <c:pt idx="1036">
                  <c:v>14/11/2024</c:v>
                </c:pt>
                <c:pt idx="1037">
                  <c:v>15/11/2024</c:v>
                </c:pt>
                <c:pt idx="1038">
                  <c:v>16/11/2024</c:v>
                </c:pt>
                <c:pt idx="1039">
                  <c:v>17/11/2024</c:v>
                </c:pt>
                <c:pt idx="1040">
                  <c:v>18/11/2024</c:v>
                </c:pt>
                <c:pt idx="1041">
                  <c:v>19/11/2024</c:v>
                </c:pt>
                <c:pt idx="1042">
                  <c:v>20/11/2024</c:v>
                </c:pt>
                <c:pt idx="1043">
                  <c:v>21/11/2024</c:v>
                </c:pt>
                <c:pt idx="1044">
                  <c:v>22/11/2024</c:v>
                </c:pt>
                <c:pt idx="1045">
                  <c:v>23/11/2024</c:v>
                </c:pt>
                <c:pt idx="1046">
                  <c:v>24/11/2024</c:v>
                </c:pt>
                <c:pt idx="1047">
                  <c:v>25/11/2024</c:v>
                </c:pt>
                <c:pt idx="1048">
                  <c:v>26/11/2024</c:v>
                </c:pt>
                <c:pt idx="1049">
                  <c:v>27/11/2024</c:v>
                </c:pt>
                <c:pt idx="1050">
                  <c:v>28/11/2024</c:v>
                </c:pt>
                <c:pt idx="1051">
                  <c:v>29/11/2024</c:v>
                </c:pt>
                <c:pt idx="1052">
                  <c:v>30/11/2024</c:v>
                </c:pt>
                <c:pt idx="1053">
                  <c:v>1/12/2024</c:v>
                </c:pt>
                <c:pt idx="1054">
                  <c:v>2/12/2024</c:v>
                </c:pt>
                <c:pt idx="1055">
                  <c:v>3/12/2024</c:v>
                </c:pt>
                <c:pt idx="1056">
                  <c:v>4/12/2024</c:v>
                </c:pt>
                <c:pt idx="1057">
                  <c:v>5/12/2024</c:v>
                </c:pt>
                <c:pt idx="1058">
                  <c:v>6/12/2024</c:v>
                </c:pt>
                <c:pt idx="1059">
                  <c:v>7/12/2024</c:v>
                </c:pt>
                <c:pt idx="1060">
                  <c:v>8/12/2024</c:v>
                </c:pt>
                <c:pt idx="1061">
                  <c:v>9/12/2024</c:v>
                </c:pt>
                <c:pt idx="1062">
                  <c:v>10/12/2024</c:v>
                </c:pt>
                <c:pt idx="1063">
                  <c:v>11/12/2024</c:v>
                </c:pt>
                <c:pt idx="1064">
                  <c:v>12/12/2024</c:v>
                </c:pt>
                <c:pt idx="1065">
                  <c:v>13/12/2024</c:v>
                </c:pt>
                <c:pt idx="1066">
                  <c:v>14/12/2024</c:v>
                </c:pt>
                <c:pt idx="1067">
                  <c:v>15/12/2024</c:v>
                </c:pt>
                <c:pt idx="1068">
                  <c:v>16/12/2024</c:v>
                </c:pt>
                <c:pt idx="1069">
                  <c:v>17/12/2024</c:v>
                </c:pt>
                <c:pt idx="1070">
                  <c:v>18/12/2024</c:v>
                </c:pt>
                <c:pt idx="1071">
                  <c:v>19/12/2024</c:v>
                </c:pt>
                <c:pt idx="1072">
                  <c:v>20/12/2024</c:v>
                </c:pt>
                <c:pt idx="1073">
                  <c:v>21/12/2024</c:v>
                </c:pt>
                <c:pt idx="1074">
                  <c:v>22/12/2024</c:v>
                </c:pt>
                <c:pt idx="1075">
                  <c:v>23/12/2024</c:v>
                </c:pt>
                <c:pt idx="1076">
                  <c:v>24/12/2024</c:v>
                </c:pt>
                <c:pt idx="1077">
                  <c:v>25/12/2024</c:v>
                </c:pt>
                <c:pt idx="1078">
                  <c:v>26/12/2024</c:v>
                </c:pt>
                <c:pt idx="1079">
                  <c:v>27/12/2024</c:v>
                </c:pt>
                <c:pt idx="1080">
                  <c:v>28/12/2024</c:v>
                </c:pt>
                <c:pt idx="1081">
                  <c:v>29/12/2024</c:v>
                </c:pt>
                <c:pt idx="1082">
                  <c:v>30/12/2024</c:v>
                </c:pt>
                <c:pt idx="1083">
                  <c:v>31/12/2024</c:v>
                </c:pt>
                <c:pt idx="1084">
                  <c:v>1/1/2025</c:v>
                </c:pt>
                <c:pt idx="1085">
                  <c:v>2/1/2025</c:v>
                </c:pt>
                <c:pt idx="1086">
                  <c:v>3/1/2025</c:v>
                </c:pt>
                <c:pt idx="1087">
                  <c:v>4/1/2025</c:v>
                </c:pt>
                <c:pt idx="1088">
                  <c:v>5/1/2025</c:v>
                </c:pt>
                <c:pt idx="1089">
                  <c:v>6/1/2025</c:v>
                </c:pt>
                <c:pt idx="1090">
                  <c:v>7/1/2025</c:v>
                </c:pt>
                <c:pt idx="1091">
                  <c:v>8/1/2025</c:v>
                </c:pt>
                <c:pt idx="1092">
                  <c:v>9/1/2025</c:v>
                </c:pt>
                <c:pt idx="1093">
                  <c:v>10/1/2025</c:v>
                </c:pt>
                <c:pt idx="1094">
                  <c:v>11/1/2025</c:v>
                </c:pt>
                <c:pt idx="1095">
                  <c:v>12/1/2025</c:v>
                </c:pt>
                <c:pt idx="1096">
                  <c:v>13/1/2025</c:v>
                </c:pt>
                <c:pt idx="1097">
                  <c:v>14/1/2025</c:v>
                </c:pt>
                <c:pt idx="1098">
                  <c:v>15/1/2025</c:v>
                </c:pt>
                <c:pt idx="1099">
                  <c:v>16/1/2025</c:v>
                </c:pt>
                <c:pt idx="1100">
                  <c:v>17/1/2025</c:v>
                </c:pt>
                <c:pt idx="1101">
                  <c:v>18/1/2025</c:v>
                </c:pt>
                <c:pt idx="1102">
                  <c:v>19/1/2025</c:v>
                </c:pt>
                <c:pt idx="1103">
                  <c:v>20/1/2025</c:v>
                </c:pt>
                <c:pt idx="1104">
                  <c:v>21/1/2025</c:v>
                </c:pt>
                <c:pt idx="1105">
                  <c:v>22/1/2025</c:v>
                </c:pt>
                <c:pt idx="1106">
                  <c:v>23/1/2025</c:v>
                </c:pt>
                <c:pt idx="1107">
                  <c:v>24/1/2025</c:v>
                </c:pt>
                <c:pt idx="1108">
                  <c:v>25/1/2025</c:v>
                </c:pt>
                <c:pt idx="1109">
                  <c:v>26/1/2025</c:v>
                </c:pt>
                <c:pt idx="1110">
                  <c:v>27/1/2025</c:v>
                </c:pt>
                <c:pt idx="1111">
                  <c:v>28/1/2025</c:v>
                </c:pt>
                <c:pt idx="1112">
                  <c:v>29/1/2025</c:v>
                </c:pt>
                <c:pt idx="1113">
                  <c:v>30/1/2025</c:v>
                </c:pt>
                <c:pt idx="1114">
                  <c:v>31/1/2025</c:v>
                </c:pt>
                <c:pt idx="1115">
                  <c:v>1/2/2025</c:v>
                </c:pt>
                <c:pt idx="1116">
                  <c:v>2/2/2025</c:v>
                </c:pt>
                <c:pt idx="1117">
                  <c:v>3/2/2025</c:v>
                </c:pt>
                <c:pt idx="1118">
                  <c:v>4/2/2025</c:v>
                </c:pt>
                <c:pt idx="1119">
                  <c:v>5/2/2025</c:v>
                </c:pt>
                <c:pt idx="1120">
                  <c:v>6/2/2025</c:v>
                </c:pt>
                <c:pt idx="1121">
                  <c:v>7/2/2025</c:v>
                </c:pt>
                <c:pt idx="1122">
                  <c:v>8/2/2025</c:v>
                </c:pt>
                <c:pt idx="1123">
                  <c:v>9/2/2025</c:v>
                </c:pt>
                <c:pt idx="1124">
                  <c:v>10/2/2025</c:v>
                </c:pt>
                <c:pt idx="1125">
                  <c:v>11/2/2025</c:v>
                </c:pt>
                <c:pt idx="1126">
                  <c:v>12/2/2025</c:v>
                </c:pt>
                <c:pt idx="1127">
                  <c:v>13/2/2025</c:v>
                </c:pt>
                <c:pt idx="1128">
                  <c:v>14/2/2025</c:v>
                </c:pt>
                <c:pt idx="1129">
                  <c:v>15/2/2025</c:v>
                </c:pt>
                <c:pt idx="1130">
                  <c:v>16/2/2025</c:v>
                </c:pt>
                <c:pt idx="1131">
                  <c:v>17/2/2025</c:v>
                </c:pt>
                <c:pt idx="1132">
                  <c:v>18/2/2025</c:v>
                </c:pt>
                <c:pt idx="1133">
                  <c:v>19/2/2025</c:v>
                </c:pt>
                <c:pt idx="1134">
                  <c:v>20/2/2025</c:v>
                </c:pt>
                <c:pt idx="1135">
                  <c:v>21/2/2025</c:v>
                </c:pt>
                <c:pt idx="1136">
                  <c:v>22/2/2025</c:v>
                </c:pt>
                <c:pt idx="1137">
                  <c:v>23/2/2025</c:v>
                </c:pt>
                <c:pt idx="1138">
                  <c:v>24/2/2025</c:v>
                </c:pt>
                <c:pt idx="1139">
                  <c:v>25/2/2025</c:v>
                </c:pt>
                <c:pt idx="1140">
                  <c:v>26/2/2025</c:v>
                </c:pt>
                <c:pt idx="1141">
                  <c:v>27/2/2025</c:v>
                </c:pt>
                <c:pt idx="1142">
                  <c:v>28/2/2025</c:v>
                </c:pt>
                <c:pt idx="1143">
                  <c:v>1/3/2025</c:v>
                </c:pt>
                <c:pt idx="1144">
                  <c:v>2/3/2025</c:v>
                </c:pt>
                <c:pt idx="1145">
                  <c:v>3/3/2025</c:v>
                </c:pt>
                <c:pt idx="1146">
                  <c:v>4/3/2025</c:v>
                </c:pt>
                <c:pt idx="1147">
                  <c:v>5/3/2025</c:v>
                </c:pt>
                <c:pt idx="1148">
                  <c:v>6/3/2025</c:v>
                </c:pt>
                <c:pt idx="1149">
                  <c:v>7/3/2025</c:v>
                </c:pt>
                <c:pt idx="1150">
                  <c:v>8/3/2025</c:v>
                </c:pt>
                <c:pt idx="1151">
                  <c:v>9/3/2025</c:v>
                </c:pt>
                <c:pt idx="1152">
                  <c:v>10/3/2025</c:v>
                </c:pt>
                <c:pt idx="1153">
                  <c:v>11/3/2025</c:v>
                </c:pt>
                <c:pt idx="1154">
                  <c:v>12/3/2025</c:v>
                </c:pt>
                <c:pt idx="1155">
                  <c:v>13/3/2025</c:v>
                </c:pt>
                <c:pt idx="1156">
                  <c:v>14/3/2025</c:v>
                </c:pt>
                <c:pt idx="1157">
                  <c:v>15/3/2025</c:v>
                </c:pt>
                <c:pt idx="1158">
                  <c:v>16/3/2025</c:v>
                </c:pt>
                <c:pt idx="1159">
                  <c:v>17/3/2025</c:v>
                </c:pt>
                <c:pt idx="1160">
                  <c:v>18/3/2025</c:v>
                </c:pt>
                <c:pt idx="1161">
                  <c:v>19/3/2025</c:v>
                </c:pt>
                <c:pt idx="1162">
                  <c:v>20/3/2025</c:v>
                </c:pt>
                <c:pt idx="1163">
                  <c:v>21/3/2025</c:v>
                </c:pt>
                <c:pt idx="1164">
                  <c:v>22/3/2025</c:v>
                </c:pt>
                <c:pt idx="1165">
                  <c:v>23/3/2025</c:v>
                </c:pt>
                <c:pt idx="1166">
                  <c:v>24/3/2025</c:v>
                </c:pt>
                <c:pt idx="1167">
                  <c:v>25/3/2025</c:v>
                </c:pt>
                <c:pt idx="1168">
                  <c:v>26/3/2025</c:v>
                </c:pt>
                <c:pt idx="1169">
                  <c:v>27/3/2025</c:v>
                </c:pt>
                <c:pt idx="1170">
                  <c:v>28/3/2025</c:v>
                </c:pt>
                <c:pt idx="1171">
                  <c:v>29/3/2025</c:v>
                </c:pt>
                <c:pt idx="1172">
                  <c:v>30/3/2025</c:v>
                </c:pt>
                <c:pt idx="1173">
                  <c:v>31/3/2025</c:v>
                </c:pt>
                <c:pt idx="1174">
                  <c:v>1/4/2025</c:v>
                </c:pt>
                <c:pt idx="1175">
                  <c:v>2/4/2025</c:v>
                </c:pt>
                <c:pt idx="1176">
                  <c:v>3/4/2025</c:v>
                </c:pt>
                <c:pt idx="1177">
                  <c:v>4/4/2025</c:v>
                </c:pt>
                <c:pt idx="1178">
                  <c:v>5/4/2025</c:v>
                </c:pt>
                <c:pt idx="1179">
                  <c:v>6/4/2025</c:v>
                </c:pt>
                <c:pt idx="1180">
                  <c:v>7/4/2025</c:v>
                </c:pt>
                <c:pt idx="1181">
                  <c:v>8/4/2025</c:v>
                </c:pt>
                <c:pt idx="1182">
                  <c:v>9/4/2025</c:v>
                </c:pt>
                <c:pt idx="1183">
                  <c:v>10/4/2025</c:v>
                </c:pt>
                <c:pt idx="1184">
                  <c:v>11/4/2025</c:v>
                </c:pt>
                <c:pt idx="1185">
                  <c:v>12/4/2025</c:v>
                </c:pt>
                <c:pt idx="1186">
                  <c:v>13/4/2025</c:v>
                </c:pt>
                <c:pt idx="1187">
                  <c:v>14/4/2025</c:v>
                </c:pt>
                <c:pt idx="1188">
                  <c:v>15/4/2025</c:v>
                </c:pt>
                <c:pt idx="1189">
                  <c:v>16/4/2025</c:v>
                </c:pt>
                <c:pt idx="1190">
                  <c:v>17/4/2025</c:v>
                </c:pt>
                <c:pt idx="1191">
                  <c:v>18/4/2025</c:v>
                </c:pt>
                <c:pt idx="1192">
                  <c:v>19/4/2025</c:v>
                </c:pt>
                <c:pt idx="1193">
                  <c:v>20/4/2025</c:v>
                </c:pt>
                <c:pt idx="1194">
                  <c:v>21/4/2025</c:v>
                </c:pt>
                <c:pt idx="1195">
                  <c:v>22/4/2025</c:v>
                </c:pt>
                <c:pt idx="1196">
                  <c:v>23/4/2025</c:v>
                </c:pt>
                <c:pt idx="1197">
                  <c:v>24/4/2025</c:v>
                </c:pt>
                <c:pt idx="1198">
                  <c:v>25/4/2025</c:v>
                </c:pt>
                <c:pt idx="1199">
                  <c:v>26/4/2025</c:v>
                </c:pt>
                <c:pt idx="1200">
                  <c:v>27/4/2025</c:v>
                </c:pt>
                <c:pt idx="1201">
                  <c:v>28/4/2025</c:v>
                </c:pt>
                <c:pt idx="1202">
                  <c:v>29/4/2025</c:v>
                </c:pt>
                <c:pt idx="1203">
                  <c:v>30/4/2025</c:v>
                </c:pt>
                <c:pt idx="1204">
                  <c:v>1/5/2025</c:v>
                </c:pt>
                <c:pt idx="1205">
                  <c:v>2/5/2025</c:v>
                </c:pt>
                <c:pt idx="1206">
                  <c:v>3/5/2025</c:v>
                </c:pt>
                <c:pt idx="1207">
                  <c:v>4/5/2025</c:v>
                </c:pt>
                <c:pt idx="1208">
                  <c:v>5/5/2025</c:v>
                </c:pt>
                <c:pt idx="1209">
                  <c:v>6/5/2025</c:v>
                </c:pt>
                <c:pt idx="1210">
                  <c:v>7/5/2025</c:v>
                </c:pt>
                <c:pt idx="1211">
                  <c:v>8/5/2025</c:v>
                </c:pt>
                <c:pt idx="1212">
                  <c:v>9/5/2025</c:v>
                </c:pt>
                <c:pt idx="1213">
                  <c:v>10/5/2025</c:v>
                </c:pt>
                <c:pt idx="1214">
                  <c:v>11/5/2025</c:v>
                </c:pt>
                <c:pt idx="1215">
                  <c:v>12/5/2025</c:v>
                </c:pt>
                <c:pt idx="1216">
                  <c:v>13/5/2025</c:v>
                </c:pt>
                <c:pt idx="1217">
                  <c:v>14/5/2025</c:v>
                </c:pt>
                <c:pt idx="1218">
                  <c:v>15/5/2025</c:v>
                </c:pt>
                <c:pt idx="1219">
                  <c:v>16/5/2025</c:v>
                </c:pt>
                <c:pt idx="1220">
                  <c:v>17/5/2025</c:v>
                </c:pt>
                <c:pt idx="1221">
                  <c:v>18/5/2025</c:v>
                </c:pt>
                <c:pt idx="1222">
                  <c:v>19/5/2025</c:v>
                </c:pt>
                <c:pt idx="1223">
                  <c:v>20/5/2025</c:v>
                </c:pt>
                <c:pt idx="1224">
                  <c:v>21/5/2025</c:v>
                </c:pt>
                <c:pt idx="1225">
                  <c:v>22/5/2025</c:v>
                </c:pt>
                <c:pt idx="1226">
                  <c:v>23/5/2025</c:v>
                </c:pt>
                <c:pt idx="1227">
                  <c:v>24/5/2025</c:v>
                </c:pt>
                <c:pt idx="1228">
                  <c:v>25/5/2025</c:v>
                </c:pt>
                <c:pt idx="1229">
                  <c:v>26/5/2025</c:v>
                </c:pt>
                <c:pt idx="1230">
                  <c:v>27/5/2025</c:v>
                </c:pt>
                <c:pt idx="1231">
                  <c:v>28/5/2025</c:v>
                </c:pt>
                <c:pt idx="1232">
                  <c:v>29/5/2025</c:v>
                </c:pt>
                <c:pt idx="1233">
                  <c:v>30/5/2025</c:v>
                </c:pt>
                <c:pt idx="1234">
                  <c:v>31/5/2025</c:v>
                </c:pt>
                <c:pt idx="1235">
                  <c:v>1/6/2025</c:v>
                </c:pt>
                <c:pt idx="1236">
                  <c:v>2/6/2025</c:v>
                </c:pt>
                <c:pt idx="1237">
                  <c:v>3/6/2025</c:v>
                </c:pt>
                <c:pt idx="1238">
                  <c:v>4/6/2025</c:v>
                </c:pt>
                <c:pt idx="1239">
                  <c:v>5/6/2025</c:v>
                </c:pt>
                <c:pt idx="1240">
                  <c:v>6/6/2025</c:v>
                </c:pt>
                <c:pt idx="1241">
                  <c:v>7/6/2025</c:v>
                </c:pt>
                <c:pt idx="1242">
                  <c:v>8/6/2025</c:v>
                </c:pt>
                <c:pt idx="1243">
                  <c:v>9/6/2025</c:v>
                </c:pt>
                <c:pt idx="1244">
                  <c:v>10/6/2025</c:v>
                </c:pt>
                <c:pt idx="1245">
                  <c:v>11/6/2025</c:v>
                </c:pt>
                <c:pt idx="1246">
                  <c:v>12/6/2025</c:v>
                </c:pt>
                <c:pt idx="1247">
                  <c:v>13/6/2025</c:v>
                </c:pt>
                <c:pt idx="1248">
                  <c:v>14/6/2025</c:v>
                </c:pt>
                <c:pt idx="1249">
                  <c:v>15/6/2025</c:v>
                </c:pt>
                <c:pt idx="1250">
                  <c:v>16/6/2025</c:v>
                </c:pt>
                <c:pt idx="1251">
                  <c:v>17/6/2025</c:v>
                </c:pt>
                <c:pt idx="1252">
                  <c:v>18/6/2025</c:v>
                </c:pt>
                <c:pt idx="1253">
                  <c:v>19/6/2025</c:v>
                </c:pt>
                <c:pt idx="1254">
                  <c:v>20/6/2025</c:v>
                </c:pt>
                <c:pt idx="1255">
                  <c:v>21/6/2025</c:v>
                </c:pt>
                <c:pt idx="1256">
                  <c:v>22/6/2025</c:v>
                </c:pt>
                <c:pt idx="1257">
                  <c:v>23/6/2025</c:v>
                </c:pt>
                <c:pt idx="1258">
                  <c:v>24/6/2025</c:v>
                </c:pt>
                <c:pt idx="1259">
                  <c:v>25/6/2025</c:v>
                </c:pt>
                <c:pt idx="1260">
                  <c:v>26/6/2025</c:v>
                </c:pt>
                <c:pt idx="1261">
                  <c:v>27/6/2025</c:v>
                </c:pt>
                <c:pt idx="1262">
                  <c:v>28/6/2025</c:v>
                </c:pt>
                <c:pt idx="1263">
                  <c:v>29/6/2025</c:v>
                </c:pt>
                <c:pt idx="1264">
                  <c:v>30/6/2025</c:v>
                </c:pt>
                <c:pt idx="1265">
                  <c:v>1/7/2025</c:v>
                </c:pt>
                <c:pt idx="1266">
                  <c:v>2/7/2025</c:v>
                </c:pt>
                <c:pt idx="1267">
                  <c:v>3/7/2025</c:v>
                </c:pt>
                <c:pt idx="1268">
                  <c:v>4/7/2025</c:v>
                </c:pt>
                <c:pt idx="1269">
                  <c:v>5/7/2025</c:v>
                </c:pt>
                <c:pt idx="1270">
                  <c:v>6/7/2025</c:v>
                </c:pt>
                <c:pt idx="1271">
                  <c:v>7/7/2025</c:v>
                </c:pt>
                <c:pt idx="1272">
                  <c:v>8/7/2025</c:v>
                </c:pt>
                <c:pt idx="1273">
                  <c:v>9/7/2025</c:v>
                </c:pt>
                <c:pt idx="1274">
                  <c:v>10/7/2025</c:v>
                </c:pt>
                <c:pt idx="1275">
                  <c:v>11/7/2025</c:v>
                </c:pt>
                <c:pt idx="1276">
                  <c:v>12/7/2025</c:v>
                </c:pt>
                <c:pt idx="1277">
                  <c:v>13/7/2025</c:v>
                </c:pt>
                <c:pt idx="1278">
                  <c:v>14/7/2025</c:v>
                </c:pt>
                <c:pt idx="1279">
                  <c:v>15/7/2025</c:v>
                </c:pt>
                <c:pt idx="1280">
                  <c:v>16/7/2025</c:v>
                </c:pt>
                <c:pt idx="1281">
                  <c:v>17/7/2025</c:v>
                </c:pt>
                <c:pt idx="1282">
                  <c:v>18/7/2025</c:v>
                </c:pt>
                <c:pt idx="1283">
                  <c:v>19/7/2025</c:v>
                </c:pt>
                <c:pt idx="1284">
                  <c:v>20/7/2025</c:v>
                </c:pt>
                <c:pt idx="1285">
                  <c:v>21/7/2025</c:v>
                </c:pt>
                <c:pt idx="1286">
                  <c:v>22/7/2025</c:v>
                </c:pt>
                <c:pt idx="1287">
                  <c:v>23/7/2025</c:v>
                </c:pt>
                <c:pt idx="1288">
                  <c:v>24/7/2025</c:v>
                </c:pt>
                <c:pt idx="1289">
                  <c:v>25/7/2025</c:v>
                </c:pt>
                <c:pt idx="1290">
                  <c:v>26/7/2025</c:v>
                </c:pt>
                <c:pt idx="1291">
                  <c:v>27/7/2025</c:v>
                </c:pt>
                <c:pt idx="1292">
                  <c:v>28/7/2025</c:v>
                </c:pt>
                <c:pt idx="1293">
                  <c:v>29/7/2025</c:v>
                </c:pt>
                <c:pt idx="1294">
                  <c:v>30/7/2025</c:v>
                </c:pt>
                <c:pt idx="1295">
                  <c:v>31/7/2025</c:v>
                </c:pt>
                <c:pt idx="1296">
                  <c:v>1/8/2025</c:v>
                </c:pt>
                <c:pt idx="1297">
                  <c:v>2/8/2025</c:v>
                </c:pt>
                <c:pt idx="1298">
                  <c:v>3/8/2025</c:v>
                </c:pt>
                <c:pt idx="1299">
                  <c:v>4/8/2025</c:v>
                </c:pt>
                <c:pt idx="1300">
                  <c:v>5/8/2025</c:v>
                </c:pt>
                <c:pt idx="1301">
                  <c:v>6/8/2025</c:v>
                </c:pt>
                <c:pt idx="1302">
                  <c:v>7/8/2025</c:v>
                </c:pt>
                <c:pt idx="1303">
                  <c:v>8/8/2025</c:v>
                </c:pt>
                <c:pt idx="1304">
                  <c:v>9/8/2025</c:v>
                </c:pt>
                <c:pt idx="1305">
                  <c:v>10/8/2025</c:v>
                </c:pt>
                <c:pt idx="1306">
                  <c:v>11/8/2025</c:v>
                </c:pt>
                <c:pt idx="1307">
                  <c:v>12/8/2025</c:v>
                </c:pt>
                <c:pt idx="1308">
                  <c:v>13/8/2025</c:v>
                </c:pt>
                <c:pt idx="1309">
                  <c:v>14/8/2025</c:v>
                </c:pt>
                <c:pt idx="1310">
                  <c:v>15/8/2025</c:v>
                </c:pt>
                <c:pt idx="1311">
                  <c:v>16/8/2025</c:v>
                </c:pt>
                <c:pt idx="1312">
                  <c:v>17/8/2025</c:v>
                </c:pt>
                <c:pt idx="1313">
                  <c:v>18/8/2025</c:v>
                </c:pt>
                <c:pt idx="1314">
                  <c:v>19/8/2025</c:v>
                </c:pt>
                <c:pt idx="1315">
                  <c:v>20/8/2025</c:v>
                </c:pt>
                <c:pt idx="1316">
                  <c:v>21/8/2025</c:v>
                </c:pt>
                <c:pt idx="1317">
                  <c:v>22/8/2025</c:v>
                </c:pt>
                <c:pt idx="1318">
                  <c:v>23/8/2025</c:v>
                </c:pt>
                <c:pt idx="1319">
                  <c:v>24/8/2025</c:v>
                </c:pt>
                <c:pt idx="1320">
                  <c:v>25/8/2025</c:v>
                </c:pt>
                <c:pt idx="1321">
                  <c:v>26/8/2025</c:v>
                </c:pt>
                <c:pt idx="1322">
                  <c:v>27/8/2025</c:v>
                </c:pt>
                <c:pt idx="1323">
                  <c:v>28/8/2025</c:v>
                </c:pt>
                <c:pt idx="1324">
                  <c:v>29/8/2025</c:v>
                </c:pt>
                <c:pt idx="1325">
                  <c:v>30/8/2025</c:v>
                </c:pt>
                <c:pt idx="1326">
                  <c:v>31/8/2025</c:v>
                </c:pt>
                <c:pt idx="1327">
                  <c:v>1/9/2025</c:v>
                </c:pt>
                <c:pt idx="1328">
                  <c:v>2/9/2025</c:v>
                </c:pt>
                <c:pt idx="1329">
                  <c:v>3/9/2025</c:v>
                </c:pt>
                <c:pt idx="1330">
                  <c:v>4/9/2025</c:v>
                </c:pt>
                <c:pt idx="1331">
                  <c:v>5/9/2025</c:v>
                </c:pt>
                <c:pt idx="1332">
                  <c:v>6/9/2025</c:v>
                </c:pt>
                <c:pt idx="1333">
                  <c:v>7/9/2025</c:v>
                </c:pt>
                <c:pt idx="1334">
                  <c:v>8/9/2025</c:v>
                </c:pt>
                <c:pt idx="1335">
                  <c:v>9/9/2025</c:v>
                </c:pt>
                <c:pt idx="1336">
                  <c:v>10/9/2025</c:v>
                </c:pt>
                <c:pt idx="1337">
                  <c:v>11/9/2025</c:v>
                </c:pt>
                <c:pt idx="1338">
                  <c:v>12/9/2025</c:v>
                </c:pt>
                <c:pt idx="1339">
                  <c:v>13/9/2025</c:v>
                </c:pt>
                <c:pt idx="1340">
                  <c:v>14/9/2025</c:v>
                </c:pt>
                <c:pt idx="1341">
                  <c:v>15/9/2025</c:v>
                </c:pt>
                <c:pt idx="1342">
                  <c:v>16/9/2025</c:v>
                </c:pt>
                <c:pt idx="1343">
                  <c:v>17/9/2025</c:v>
                </c:pt>
                <c:pt idx="1344">
                  <c:v>18/9/2025</c:v>
                </c:pt>
                <c:pt idx="1345">
                  <c:v>19/9/2025</c:v>
                </c:pt>
                <c:pt idx="1346">
                  <c:v>20/9/2025</c:v>
                </c:pt>
                <c:pt idx="1347">
                  <c:v>21/9/2025</c:v>
                </c:pt>
                <c:pt idx="1348">
                  <c:v>22/9/2025</c:v>
                </c:pt>
                <c:pt idx="1349">
                  <c:v>23/9/2025</c:v>
                </c:pt>
                <c:pt idx="1350">
                  <c:v>24/9/2025</c:v>
                </c:pt>
                <c:pt idx="1351">
                  <c:v>25/9/2025</c:v>
                </c:pt>
                <c:pt idx="1352">
                  <c:v>26/9/2025</c:v>
                </c:pt>
                <c:pt idx="1353">
                  <c:v>27/9/2025</c:v>
                </c:pt>
                <c:pt idx="1354">
                  <c:v>28/9/2025</c:v>
                </c:pt>
                <c:pt idx="1355">
                  <c:v>29/9/2025</c:v>
                </c:pt>
                <c:pt idx="1356">
                  <c:v>30/9/2025</c:v>
                </c:pt>
                <c:pt idx="1357">
                  <c:v>1/10/2025</c:v>
                </c:pt>
                <c:pt idx="1358">
                  <c:v>2/10/2025</c:v>
                </c:pt>
                <c:pt idx="1359">
                  <c:v>3/10/2025</c:v>
                </c:pt>
                <c:pt idx="1360">
                  <c:v>4/10/2025</c:v>
                </c:pt>
                <c:pt idx="1361">
                  <c:v>5/10/2025</c:v>
                </c:pt>
                <c:pt idx="1362">
                  <c:v>6/10/2025</c:v>
                </c:pt>
                <c:pt idx="1363">
                  <c:v>7/10/2025</c:v>
                </c:pt>
                <c:pt idx="1364">
                  <c:v>8/10/2025</c:v>
                </c:pt>
                <c:pt idx="1365">
                  <c:v>9/10/2025</c:v>
                </c:pt>
                <c:pt idx="1366">
                  <c:v>10/10/2025</c:v>
                </c:pt>
                <c:pt idx="1367">
                  <c:v>11/10/2025</c:v>
                </c:pt>
                <c:pt idx="1368">
                  <c:v>12/10/2025</c:v>
                </c:pt>
                <c:pt idx="1369">
                  <c:v>13/10/2025</c:v>
                </c:pt>
                <c:pt idx="1370">
                  <c:v>14/10/2025</c:v>
                </c:pt>
                <c:pt idx="1371">
                  <c:v>15/10/2025</c:v>
                </c:pt>
                <c:pt idx="1372">
                  <c:v>16/10/2025</c:v>
                </c:pt>
                <c:pt idx="1373">
                  <c:v>17/10/2025</c:v>
                </c:pt>
                <c:pt idx="1374">
                  <c:v>18/10/2025</c:v>
                </c:pt>
                <c:pt idx="1375">
                  <c:v>19/10/2025</c:v>
                </c:pt>
                <c:pt idx="1376">
                  <c:v>20/10/2025</c:v>
                </c:pt>
                <c:pt idx="1377">
                  <c:v>21/10/2025</c:v>
                </c:pt>
                <c:pt idx="1378">
                  <c:v>22/10/2025</c:v>
                </c:pt>
                <c:pt idx="1379">
                  <c:v>23/10/2025</c:v>
                </c:pt>
                <c:pt idx="1380">
                  <c:v>24/10/2025</c:v>
                </c:pt>
                <c:pt idx="1381">
                  <c:v>25/10/2025</c:v>
                </c:pt>
                <c:pt idx="1382">
                  <c:v>26/10/2025</c:v>
                </c:pt>
                <c:pt idx="1383">
                  <c:v>27/10/2025</c:v>
                </c:pt>
                <c:pt idx="1384">
                  <c:v>28/10/2025</c:v>
                </c:pt>
                <c:pt idx="1385">
                  <c:v>29/10/2025</c:v>
                </c:pt>
                <c:pt idx="1386">
                  <c:v>30/10/2025</c:v>
                </c:pt>
                <c:pt idx="1387">
                  <c:v>31/10/2025</c:v>
                </c:pt>
                <c:pt idx="1388">
                  <c:v>1/11/2025</c:v>
                </c:pt>
                <c:pt idx="1389">
                  <c:v>2/11/2025</c:v>
                </c:pt>
                <c:pt idx="1390">
                  <c:v>3/11/2025</c:v>
                </c:pt>
                <c:pt idx="1391">
                  <c:v>4/11/2025</c:v>
                </c:pt>
                <c:pt idx="1392">
                  <c:v>5/11/2025</c:v>
                </c:pt>
                <c:pt idx="1393">
                  <c:v>6/11/2025</c:v>
                </c:pt>
                <c:pt idx="1394">
                  <c:v>7/11/2025</c:v>
                </c:pt>
                <c:pt idx="1395">
                  <c:v>8/11/2025</c:v>
                </c:pt>
                <c:pt idx="1396">
                  <c:v>9/11/2025</c:v>
                </c:pt>
                <c:pt idx="1397">
                  <c:v>10/11/2025</c:v>
                </c:pt>
                <c:pt idx="1398">
                  <c:v>11/11/2025</c:v>
                </c:pt>
                <c:pt idx="1399">
                  <c:v>12/11/2025</c:v>
                </c:pt>
                <c:pt idx="1400">
                  <c:v>13/11/2025</c:v>
                </c:pt>
                <c:pt idx="1401">
                  <c:v>14/11/2025</c:v>
                </c:pt>
                <c:pt idx="1402">
                  <c:v>15/11/2025</c:v>
                </c:pt>
                <c:pt idx="1403">
                  <c:v>16/11/2025</c:v>
                </c:pt>
                <c:pt idx="1404">
                  <c:v>17/11/2025</c:v>
                </c:pt>
                <c:pt idx="1405">
                  <c:v>18/11/2025</c:v>
                </c:pt>
                <c:pt idx="1406">
                  <c:v>19/11/2025</c:v>
                </c:pt>
                <c:pt idx="1407">
                  <c:v>20/11/2025</c:v>
                </c:pt>
                <c:pt idx="1408">
                  <c:v>21/11/2025</c:v>
                </c:pt>
                <c:pt idx="1409">
                  <c:v>22/11/2025</c:v>
                </c:pt>
                <c:pt idx="1410">
                  <c:v>23/11/2025</c:v>
                </c:pt>
                <c:pt idx="1411">
                  <c:v>24/11/2025</c:v>
                </c:pt>
                <c:pt idx="1412">
                  <c:v>25/11/2025</c:v>
                </c:pt>
                <c:pt idx="1413">
                  <c:v>26/11/2025</c:v>
                </c:pt>
                <c:pt idx="1414">
                  <c:v>27/11/2025</c:v>
                </c:pt>
                <c:pt idx="1415">
                  <c:v>28/11/2025</c:v>
                </c:pt>
                <c:pt idx="1416">
                  <c:v>29/11/2025</c:v>
                </c:pt>
                <c:pt idx="1417">
                  <c:v>30/11/2025</c:v>
                </c:pt>
                <c:pt idx="1418">
                  <c:v>1/12/2025</c:v>
                </c:pt>
                <c:pt idx="1419">
                  <c:v>2/12/2025</c:v>
                </c:pt>
                <c:pt idx="1420">
                  <c:v>3/12/2025</c:v>
                </c:pt>
                <c:pt idx="1421">
                  <c:v>4/12/2025</c:v>
                </c:pt>
                <c:pt idx="1422">
                  <c:v>5/12/2025</c:v>
                </c:pt>
                <c:pt idx="1423">
                  <c:v>6/12/2025</c:v>
                </c:pt>
                <c:pt idx="1424">
                  <c:v>7/12/2025</c:v>
                </c:pt>
                <c:pt idx="1425">
                  <c:v>8/12/2025</c:v>
                </c:pt>
                <c:pt idx="1426">
                  <c:v>9/12/2025</c:v>
                </c:pt>
                <c:pt idx="1427">
                  <c:v>10/12/2025</c:v>
                </c:pt>
                <c:pt idx="1428">
                  <c:v>11/12/2025</c:v>
                </c:pt>
                <c:pt idx="1429">
                  <c:v>12/12/2025</c:v>
                </c:pt>
                <c:pt idx="1430">
                  <c:v>13/12/2025</c:v>
                </c:pt>
                <c:pt idx="1431">
                  <c:v>14/12/2025</c:v>
                </c:pt>
                <c:pt idx="1432">
                  <c:v>15/12/2025</c:v>
                </c:pt>
                <c:pt idx="1433">
                  <c:v>16/12/2025</c:v>
                </c:pt>
                <c:pt idx="1434">
                  <c:v>17/12/2025</c:v>
                </c:pt>
                <c:pt idx="1435">
                  <c:v>18/12/2025</c:v>
                </c:pt>
                <c:pt idx="1436">
                  <c:v>19/12/2025</c:v>
                </c:pt>
                <c:pt idx="1437">
                  <c:v>20/12/2025</c:v>
                </c:pt>
                <c:pt idx="1438">
                  <c:v>21/12/2025</c:v>
                </c:pt>
                <c:pt idx="1439">
                  <c:v>22/12/2025</c:v>
                </c:pt>
                <c:pt idx="1440">
                  <c:v>23/12/2025</c:v>
                </c:pt>
                <c:pt idx="1441">
                  <c:v>24/12/2025</c:v>
                </c:pt>
                <c:pt idx="1442">
                  <c:v>25/12/2025</c:v>
                </c:pt>
                <c:pt idx="1443">
                  <c:v>26/12/2025</c:v>
                </c:pt>
                <c:pt idx="1444">
                  <c:v>27/12/2025</c:v>
                </c:pt>
                <c:pt idx="1445">
                  <c:v>28/12/2025</c:v>
                </c:pt>
                <c:pt idx="1446">
                  <c:v>29/12/2025</c:v>
                </c:pt>
                <c:pt idx="1447">
                  <c:v>30/12/2025</c:v>
                </c:pt>
                <c:pt idx="1448">
                  <c:v>31/12/2025</c:v>
                </c:pt>
                <c:pt idx="1449">
                  <c:v>1/1/2026</c:v>
                </c:pt>
                <c:pt idx="1450">
                  <c:v>2/1/2026</c:v>
                </c:pt>
                <c:pt idx="1451">
                  <c:v>3/1/2026</c:v>
                </c:pt>
                <c:pt idx="1452">
                  <c:v>4/1/2026</c:v>
                </c:pt>
                <c:pt idx="1453">
                  <c:v>5/1/2026</c:v>
                </c:pt>
                <c:pt idx="1454">
                  <c:v>6/1/2026</c:v>
                </c:pt>
                <c:pt idx="1455">
                  <c:v>7/1/2026</c:v>
                </c:pt>
                <c:pt idx="1456">
                  <c:v>8/1/2026</c:v>
                </c:pt>
                <c:pt idx="1457">
                  <c:v>9/1/2026</c:v>
                </c:pt>
                <c:pt idx="1458">
                  <c:v>10/1/2026</c:v>
                </c:pt>
                <c:pt idx="1459">
                  <c:v>11/1/2026</c:v>
                </c:pt>
                <c:pt idx="1460">
                  <c:v>12/1/2026</c:v>
                </c:pt>
                <c:pt idx="1461">
                  <c:v>13/1/2026</c:v>
                </c:pt>
                <c:pt idx="1462">
                  <c:v>14/1/2026</c:v>
                </c:pt>
                <c:pt idx="1463">
                  <c:v>15/1/2026</c:v>
                </c:pt>
                <c:pt idx="1464">
                  <c:v>16/1/2026</c:v>
                </c:pt>
                <c:pt idx="1465">
                  <c:v>17/1/2026</c:v>
                </c:pt>
                <c:pt idx="1466">
                  <c:v>18/1/2026</c:v>
                </c:pt>
                <c:pt idx="1467">
                  <c:v>19/1/2026</c:v>
                </c:pt>
                <c:pt idx="1468">
                  <c:v>20/1/2026</c:v>
                </c:pt>
                <c:pt idx="1469">
                  <c:v>21/1/2026</c:v>
                </c:pt>
                <c:pt idx="1470">
                  <c:v>22/1/2026</c:v>
                </c:pt>
                <c:pt idx="1471">
                  <c:v>23/1/2026</c:v>
                </c:pt>
                <c:pt idx="1472">
                  <c:v>24/1/2026</c:v>
                </c:pt>
                <c:pt idx="1473">
                  <c:v>25/1/2026</c:v>
                </c:pt>
                <c:pt idx="1474">
                  <c:v>26/1/2026</c:v>
                </c:pt>
                <c:pt idx="1475">
                  <c:v>27/1/2026</c:v>
                </c:pt>
                <c:pt idx="1476">
                  <c:v>28/1/2026</c:v>
                </c:pt>
                <c:pt idx="1477">
                  <c:v>29/1/2026</c:v>
                </c:pt>
                <c:pt idx="1478">
                  <c:v>30/1/2026</c:v>
                </c:pt>
                <c:pt idx="1479">
                  <c:v>31/1/2026</c:v>
                </c:pt>
                <c:pt idx="1480">
                  <c:v>1/2/2026</c:v>
                </c:pt>
                <c:pt idx="1481">
                  <c:v>2/2/2026</c:v>
                </c:pt>
                <c:pt idx="1482">
                  <c:v>3/2/2026</c:v>
                </c:pt>
              </c:strCache>
            </c:strRef>
          </c:cat>
          <c:val>
            <c:numRef>
              <c:f>'usdt  (2)'!$U$7:$U$1747</c:f>
              <c:numCache>
                <c:formatCode>General</c:formatCode>
                <c:ptCount val="1741"/>
                <c:pt idx="0">
                  <c:v>0</c:v>
                </c:pt>
                <c:pt idx="1">
                  <c:v>6.0473664962337422E-4</c:v>
                </c:pt>
                <c:pt idx="2">
                  <c:v>3.1994881092014383E-4</c:v>
                </c:pt>
                <c:pt idx="3">
                  <c:v>7.9118780744350068E-4</c:v>
                </c:pt>
                <c:pt idx="4">
                  <c:v>6.2096206201686698E-4</c:v>
                </c:pt>
                <c:pt idx="5">
                  <c:v>9.9657495227491974E-5</c:v>
                </c:pt>
                <c:pt idx="6">
                  <c:v>-4.2326872143726223E-4</c:v>
                </c:pt>
                <c:pt idx="7">
                  <c:v>4.9505207667525214E-4</c:v>
                </c:pt>
                <c:pt idx="8">
                  <c:v>3.3725110102477242E-4</c:v>
                </c:pt>
                <c:pt idx="9">
                  <c:v>-3.4969052976473387E-4</c:v>
                </c:pt>
                <c:pt idx="10">
                  <c:v>-1.3312128925025942E-4</c:v>
                </c:pt>
                <c:pt idx="11">
                  <c:v>5.9296795576626996E-4</c:v>
                </c:pt>
                <c:pt idx="12">
                  <c:v>3.973519707958383E-4</c:v>
                </c:pt>
                <c:pt idx="13">
                  <c:v>8.6038276392406119E-4</c:v>
                </c:pt>
                <c:pt idx="14">
                  <c:v>4.6982160459765475E-4</c:v>
                </c:pt>
                <c:pt idx="15">
                  <c:v>5.1138013308804988E-4</c:v>
                </c:pt>
                <c:pt idx="16">
                  <c:v>-2.0328916981229354E-4</c:v>
                </c:pt>
                <c:pt idx="17">
                  <c:v>1.0096538427469637E-3</c:v>
                </c:pt>
                <c:pt idx="18">
                  <c:v>5.713214181122208E-4</c:v>
                </c:pt>
                <c:pt idx="19">
                  <c:v>-9.2676027244927212E-5</c:v>
                </c:pt>
                <c:pt idx="20">
                  <c:v>6.8037160526024691E-4</c:v>
                </c:pt>
                <c:pt idx="21">
                  <c:v>7.2126475799617646E-4</c:v>
                </c:pt>
                <c:pt idx="22">
                  <c:v>7.0242104346210333E-4</c:v>
                </c:pt>
                <c:pt idx="23">
                  <c:v>1.9097821906323691E-4</c:v>
                </c:pt>
                <c:pt idx="24">
                  <c:v>8.9133620641770005E-4</c:v>
                </c:pt>
                <c:pt idx="25">
                  <c:v>-7.1340992565323394E-5</c:v>
                </c:pt>
                <c:pt idx="26">
                  <c:v>4.1277958505063728E-4</c:v>
                </c:pt>
                <c:pt idx="27">
                  <c:v>7.876515235153334E-4</c:v>
                </c:pt>
                <c:pt idx="28">
                  <c:v>3.1937408778268697E-4</c:v>
                </c:pt>
                <c:pt idx="29">
                  <c:v>1.0446911498438697E-4</c:v>
                </c:pt>
                <c:pt idx="30">
                  <c:v>6.8776383664887299E-4</c:v>
                </c:pt>
                <c:pt idx="31">
                  <c:v>8.1252163765926759E-4</c:v>
                </c:pt>
                <c:pt idx="32">
                  <c:v>3.8595014990171764E-4</c:v>
                </c:pt>
                <c:pt idx="33">
                  <c:v>7.4099264209030383E-5</c:v>
                </c:pt>
                <c:pt idx="34">
                  <c:v>-1.7230296634550884E-4</c:v>
                </c:pt>
                <c:pt idx="35">
                  <c:v>1.2672037463567203E-3</c:v>
                </c:pt>
                <c:pt idx="36">
                  <c:v>-5.3506994964132033E-4</c:v>
                </c:pt>
                <c:pt idx="37">
                  <c:v>1.6997126496752214E-4</c:v>
                </c:pt>
                <c:pt idx="38">
                  <c:v>7.9444440018239617E-4</c:v>
                </c:pt>
                <c:pt idx="39">
                  <c:v>-3.3878654429586044E-4</c:v>
                </c:pt>
                <c:pt idx="40">
                  <c:v>9.1138215047223447E-4</c:v>
                </c:pt>
                <c:pt idx="41">
                  <c:v>9.1392529925339878E-5</c:v>
                </c:pt>
                <c:pt idx="42">
                  <c:v>-3.0950696750528028E-5</c:v>
                </c:pt>
                <c:pt idx="43">
                  <c:v>4.8120269132113328E-4</c:v>
                </c:pt>
                <c:pt idx="44">
                  <c:v>6.3453741948054829E-4</c:v>
                </c:pt>
                <c:pt idx="45">
                  <c:v>-2.0798916140267427E-4</c:v>
                </c:pt>
                <c:pt idx="46">
                  <c:v>5.3579349353492583E-4</c:v>
                </c:pt>
                <c:pt idx="47">
                  <c:v>1.453694295254974E-4</c:v>
                </c:pt>
                <c:pt idx="48">
                  <c:v>6.5222033887625568E-5</c:v>
                </c:pt>
                <c:pt idx="49">
                  <c:v>1.6370186110172834E-4</c:v>
                </c:pt>
                <c:pt idx="50">
                  <c:v>1.2248250430371194E-3</c:v>
                </c:pt>
                <c:pt idx="51">
                  <c:v>7.9733360922458561E-4</c:v>
                </c:pt>
                <c:pt idx="52">
                  <c:v>-1.3613776575858134E-4</c:v>
                </c:pt>
                <c:pt idx="53">
                  <c:v>1.0267757719985419E-3</c:v>
                </c:pt>
                <c:pt idx="54">
                  <c:v>-3.653269878500224E-4</c:v>
                </c:pt>
                <c:pt idx="55">
                  <c:v>3.5663876955269625E-4</c:v>
                </c:pt>
                <c:pt idx="56">
                  <c:v>3.0423415796344453E-4</c:v>
                </c:pt>
                <c:pt idx="57">
                  <c:v>7.8095034986107965E-4</c:v>
                </c:pt>
                <c:pt idx="58">
                  <c:v>3.9383361464976935E-4</c:v>
                </c:pt>
                <c:pt idx="59">
                  <c:v>5.136541011897508E-4</c:v>
                </c:pt>
                <c:pt idx="60">
                  <c:v>3.3979463310909128E-4</c:v>
                </c:pt>
                <c:pt idx="61">
                  <c:v>3.2611302271741866E-4</c:v>
                </c:pt>
                <c:pt idx="62">
                  <c:v>-8.0462996805349569E-5</c:v>
                </c:pt>
                <c:pt idx="63">
                  <c:v>6.4591224551167491E-4</c:v>
                </c:pt>
                <c:pt idx="64">
                  <c:v>3.4109236488921062E-4</c:v>
                </c:pt>
                <c:pt idx="65">
                  <c:v>-9.5803357205608738E-5</c:v>
                </c:pt>
                <c:pt idx="66">
                  <c:v>2.0263067880697464E-4</c:v>
                </c:pt>
                <c:pt idx="67">
                  <c:v>4.1631572893101565E-4</c:v>
                </c:pt>
                <c:pt idx="68">
                  <c:v>3.195501613469268E-4</c:v>
                </c:pt>
                <c:pt idx="69">
                  <c:v>4.4894705708545626E-4</c:v>
                </c:pt>
                <c:pt idx="70">
                  <c:v>6.1889049904243149E-4</c:v>
                </c:pt>
                <c:pt idx="71">
                  <c:v>3.2837524199458886E-4</c:v>
                </c:pt>
                <c:pt idx="72">
                  <c:v>1.081579791881175E-4</c:v>
                </c:pt>
                <c:pt idx="73">
                  <c:v>6.2118660715477722E-4</c:v>
                </c:pt>
                <c:pt idx="74">
                  <c:v>-3.6182907693562384E-6</c:v>
                </c:pt>
                <c:pt idx="75">
                  <c:v>3.4332361818214789E-5</c:v>
                </c:pt>
                <c:pt idx="76">
                  <c:v>4.2486189077487407E-4</c:v>
                </c:pt>
                <c:pt idx="77">
                  <c:v>4.3804835333786051E-4</c:v>
                </c:pt>
                <c:pt idx="78">
                  <c:v>2.1341148062788097E-4</c:v>
                </c:pt>
                <c:pt idx="79">
                  <c:v>1.5374570546814351E-4</c:v>
                </c:pt>
                <c:pt idx="80">
                  <c:v>6.3217072297773404E-4</c:v>
                </c:pt>
                <c:pt idx="81">
                  <c:v>4.6836630564415973E-4</c:v>
                </c:pt>
                <c:pt idx="82">
                  <c:v>4.6632619642411843E-4</c:v>
                </c:pt>
                <c:pt idx="83">
                  <c:v>6.9745181979451686E-4</c:v>
                </c:pt>
                <c:pt idx="84">
                  <c:v>6.8796357053052884E-4</c:v>
                </c:pt>
                <c:pt idx="85">
                  <c:v>1.084430469440955E-3</c:v>
                </c:pt>
                <c:pt idx="86">
                  <c:v>1.0757807292075867E-4</c:v>
                </c:pt>
                <c:pt idx="87">
                  <c:v>6.1423014188273463E-4</c:v>
                </c:pt>
                <c:pt idx="88">
                  <c:v>3.5175109686891721E-4</c:v>
                </c:pt>
                <c:pt idx="89">
                  <c:v>-9.7331980745249573E-5</c:v>
                </c:pt>
                <c:pt idx="90">
                  <c:v>6.2763841375520287E-4</c:v>
                </c:pt>
                <c:pt idx="91">
                  <c:v>1.1267782394903734E-3</c:v>
                </c:pt>
                <c:pt idx="92">
                  <c:v>6.5816840405058389E-4</c:v>
                </c:pt>
                <c:pt idx="93">
                  <c:v>6.523572857571392E-4</c:v>
                </c:pt>
                <c:pt idx="94">
                  <c:v>6.5775048623859618E-4</c:v>
                </c:pt>
                <c:pt idx="95">
                  <c:v>-2.9209222751162721E-5</c:v>
                </c:pt>
                <c:pt idx="96">
                  <c:v>5.2244059960420135E-4</c:v>
                </c:pt>
                <c:pt idx="97">
                  <c:v>7.637692737956774E-4</c:v>
                </c:pt>
                <c:pt idx="98">
                  <c:v>9.2070454364571769E-4</c:v>
                </c:pt>
                <c:pt idx="99">
                  <c:v>6.0115459241875707E-4</c:v>
                </c:pt>
                <c:pt idx="100">
                  <c:v>3.4150993212814137E-4</c:v>
                </c:pt>
                <c:pt idx="101">
                  <c:v>5.9303451047193218E-4</c:v>
                </c:pt>
                <c:pt idx="102">
                  <c:v>1.9135405205063965E-4</c:v>
                </c:pt>
                <c:pt idx="103">
                  <c:v>9.3148501764754772E-4</c:v>
                </c:pt>
                <c:pt idx="104">
                  <c:v>1.080113079410858E-3</c:v>
                </c:pt>
                <c:pt idx="105">
                  <c:v>7.7620276122328567E-5</c:v>
                </c:pt>
                <c:pt idx="106">
                  <c:v>3.2133870164997386E-4</c:v>
                </c:pt>
                <c:pt idx="107">
                  <c:v>7.23630220700354E-4</c:v>
                </c:pt>
                <c:pt idx="108">
                  <c:v>4.4770360368698997E-4</c:v>
                </c:pt>
                <c:pt idx="109">
                  <c:v>2.0999045029967392E-4</c:v>
                </c:pt>
                <c:pt idx="110">
                  <c:v>4.9843297761824096E-4</c:v>
                </c:pt>
                <c:pt idx="111">
                  <c:v>5.8227966975798963E-4</c:v>
                </c:pt>
                <c:pt idx="112">
                  <c:v>1.0341357718224233E-3</c:v>
                </c:pt>
                <c:pt idx="113">
                  <c:v>6.3238954725062396E-4</c:v>
                </c:pt>
                <c:pt idx="114">
                  <c:v>9.2200870431986576E-4</c:v>
                </c:pt>
                <c:pt idx="115">
                  <c:v>3.5310182096294718E-4</c:v>
                </c:pt>
                <c:pt idx="116">
                  <c:v>7.2326230617052721E-4</c:v>
                </c:pt>
                <c:pt idx="117">
                  <c:v>3.1013087167932962E-4</c:v>
                </c:pt>
                <c:pt idx="118">
                  <c:v>8.8782024753608331E-4</c:v>
                </c:pt>
                <c:pt idx="119">
                  <c:v>1.1429603268259794E-4</c:v>
                </c:pt>
                <c:pt idx="120">
                  <c:v>1.8504314437033429E-4</c:v>
                </c:pt>
                <c:pt idx="121">
                  <c:v>7.9326319454435892E-4</c:v>
                </c:pt>
                <c:pt idx="122">
                  <c:v>6.7509630737403055E-4</c:v>
                </c:pt>
                <c:pt idx="123">
                  <c:v>4.9871809509724645E-5</c:v>
                </c:pt>
                <c:pt idx="124">
                  <c:v>3.0618702462996742E-4</c:v>
                </c:pt>
                <c:pt idx="125">
                  <c:v>4.6343194623381525E-4</c:v>
                </c:pt>
                <c:pt idx="126">
                  <c:v>-4.6421569538315226E-5</c:v>
                </c:pt>
                <c:pt idx="127">
                  <c:v>7.8002422025127082E-4</c:v>
                </c:pt>
                <c:pt idx="128">
                  <c:v>5.4081685910959299E-4</c:v>
                </c:pt>
                <c:pt idx="129">
                  <c:v>3.1634128529914172E-4</c:v>
                </c:pt>
                <c:pt idx="130">
                  <c:v>9.8646775569548556E-4</c:v>
                </c:pt>
                <c:pt idx="131">
                  <c:v>-1.1930393225009491E-5</c:v>
                </c:pt>
                <c:pt idx="132">
                  <c:v>4.2684506156495189E-4</c:v>
                </c:pt>
                <c:pt idx="133">
                  <c:v>3.1368514307187132E-4</c:v>
                </c:pt>
                <c:pt idx="134">
                  <c:v>3.2635536170887912E-4</c:v>
                </c:pt>
                <c:pt idx="135">
                  <c:v>4.2056790778779508E-4</c:v>
                </c:pt>
                <c:pt idx="136">
                  <c:v>4.1333798713902157E-4</c:v>
                </c:pt>
                <c:pt idx="137">
                  <c:v>2.6971615522229425E-4</c:v>
                </c:pt>
                <c:pt idx="138">
                  <c:v>8.0458576123289261E-4</c:v>
                </c:pt>
                <c:pt idx="139">
                  <c:v>7.2795998794385924E-4</c:v>
                </c:pt>
                <c:pt idx="140">
                  <c:v>7.845635780632411E-4</c:v>
                </c:pt>
                <c:pt idx="141">
                  <c:v>3.3311713587331728E-4</c:v>
                </c:pt>
                <c:pt idx="142">
                  <c:v>5.3099771873130989E-4</c:v>
                </c:pt>
                <c:pt idx="143">
                  <c:v>5.2825545403903992E-4</c:v>
                </c:pt>
                <c:pt idx="144">
                  <c:v>1.0062517768893283E-4</c:v>
                </c:pt>
                <c:pt idx="145">
                  <c:v>2.1085104244640998E-4</c:v>
                </c:pt>
                <c:pt idx="146">
                  <c:v>5.2760007350651579E-4</c:v>
                </c:pt>
                <c:pt idx="147">
                  <c:v>3.8299045198455248E-4</c:v>
                </c:pt>
                <c:pt idx="148">
                  <c:v>5.962641744889503E-4</c:v>
                </c:pt>
                <c:pt idx="149">
                  <c:v>3.8712951674301551E-4</c:v>
                </c:pt>
                <c:pt idx="150">
                  <c:v>6.559753082140329E-4</c:v>
                </c:pt>
                <c:pt idx="151">
                  <c:v>9.4285024825843742E-4</c:v>
                </c:pt>
                <c:pt idx="152">
                  <c:v>1.2825033108691908E-3</c:v>
                </c:pt>
                <c:pt idx="153">
                  <c:v>6.0412506450983707E-5</c:v>
                </c:pt>
                <c:pt idx="154">
                  <c:v>7.5051796666678104E-4</c:v>
                </c:pt>
                <c:pt idx="155">
                  <c:v>7.138811272006661E-4</c:v>
                </c:pt>
                <c:pt idx="156">
                  <c:v>6.1419398600041659E-4</c:v>
                </c:pt>
                <c:pt idx="157">
                  <c:v>6.8486322889327322E-4</c:v>
                </c:pt>
                <c:pt idx="158">
                  <c:v>6.8727888659549314E-4</c:v>
                </c:pt>
                <c:pt idx="159">
                  <c:v>3.5138641911578589E-4</c:v>
                </c:pt>
                <c:pt idx="160">
                  <c:v>5.1725628105534708E-4</c:v>
                </c:pt>
                <c:pt idx="161">
                  <c:v>6.9298345353954207E-4</c:v>
                </c:pt>
                <c:pt idx="162">
                  <c:v>8.1958682319031493E-4</c:v>
                </c:pt>
                <c:pt idx="163">
                  <c:v>4.5815169030189145E-4</c:v>
                </c:pt>
                <c:pt idx="164">
                  <c:v>-1.663931528638166E-8</c:v>
                </c:pt>
                <c:pt idx="165">
                  <c:v>4.1162609173697176E-4</c:v>
                </c:pt>
                <c:pt idx="166">
                  <c:v>3.5945854752867718E-4</c:v>
                </c:pt>
                <c:pt idx="167">
                  <c:v>7.4271328986419069E-4</c:v>
                </c:pt>
                <c:pt idx="168">
                  <c:v>5.4781774612669898E-4</c:v>
                </c:pt>
                <c:pt idx="169">
                  <c:v>3.7323744898981972E-4</c:v>
                </c:pt>
                <c:pt idx="170">
                  <c:v>7.7552969045427921E-4</c:v>
                </c:pt>
                <c:pt idx="171">
                  <c:v>6.2286248649603265E-4</c:v>
                </c:pt>
                <c:pt idx="172">
                  <c:v>6.2230172828092061E-4</c:v>
                </c:pt>
                <c:pt idx="173">
                  <c:v>3.3921543995401964E-4</c:v>
                </c:pt>
                <c:pt idx="174">
                  <c:v>3.5471224350289003E-4</c:v>
                </c:pt>
                <c:pt idx="175">
                  <c:v>2.2889686023248119E-4</c:v>
                </c:pt>
                <c:pt idx="176">
                  <c:v>2.6509958517969943E-4</c:v>
                </c:pt>
                <c:pt idx="177">
                  <c:v>4.9512198318177022E-4</c:v>
                </c:pt>
                <c:pt idx="178">
                  <c:v>7.8559645670329612E-4</c:v>
                </c:pt>
                <c:pt idx="179">
                  <c:v>3.4773130689842854E-4</c:v>
                </c:pt>
                <c:pt idx="180">
                  <c:v>5.9102030298460284E-4</c:v>
                </c:pt>
                <c:pt idx="181">
                  <c:v>9.2383179240912504E-4</c:v>
                </c:pt>
                <c:pt idx="182">
                  <c:v>3.7466014238196762E-4</c:v>
                </c:pt>
                <c:pt idx="183">
                  <c:v>1.0766588109333434E-4</c:v>
                </c:pt>
                <c:pt idx="184">
                  <c:v>3.155424328951823E-4</c:v>
                </c:pt>
                <c:pt idx="185">
                  <c:v>7.811133986083314E-4</c:v>
                </c:pt>
                <c:pt idx="186">
                  <c:v>6.5637636416476558E-4</c:v>
                </c:pt>
                <c:pt idx="187">
                  <c:v>2.0177494795301448E-4</c:v>
                </c:pt>
                <c:pt idx="188">
                  <c:v>1.1020088777643014E-4</c:v>
                </c:pt>
                <c:pt idx="189">
                  <c:v>6.9932279655097736E-4</c:v>
                </c:pt>
                <c:pt idx="190">
                  <c:v>6.5950954522245287E-4</c:v>
                </c:pt>
                <c:pt idx="191">
                  <c:v>7.6670531538721093E-4</c:v>
                </c:pt>
                <c:pt idx="192">
                  <c:v>6.958093563386549E-4</c:v>
                </c:pt>
                <c:pt idx="193">
                  <c:v>7.3722432907251769E-4</c:v>
                </c:pt>
                <c:pt idx="194">
                  <c:v>6.9816924756019056E-4</c:v>
                </c:pt>
                <c:pt idx="195">
                  <c:v>3.2048374493817325E-4</c:v>
                </c:pt>
                <c:pt idx="196">
                  <c:v>5.969825918397799E-4</c:v>
                </c:pt>
                <c:pt idx="197">
                  <c:v>4.1331678997363279E-4</c:v>
                </c:pt>
                <c:pt idx="198">
                  <c:v>1.7506922090529964E-4</c:v>
                </c:pt>
                <c:pt idx="199">
                  <c:v>4.2676957066836295E-4</c:v>
                </c:pt>
                <c:pt idx="200">
                  <c:v>4.3683094375629206E-4</c:v>
                </c:pt>
                <c:pt idx="201">
                  <c:v>2.4374001765901056E-4</c:v>
                </c:pt>
                <c:pt idx="202">
                  <c:v>5.0339591631493096E-4</c:v>
                </c:pt>
                <c:pt idx="203">
                  <c:v>4.280321350991741E-4</c:v>
                </c:pt>
                <c:pt idx="204">
                  <c:v>2.4929839365979645E-4</c:v>
                </c:pt>
                <c:pt idx="205">
                  <c:v>2.7405294712154628E-4</c:v>
                </c:pt>
                <c:pt idx="206">
                  <c:v>5.0974555623121889E-4</c:v>
                </c:pt>
                <c:pt idx="207">
                  <c:v>2.9387184221715151E-4</c:v>
                </c:pt>
                <c:pt idx="208">
                  <c:v>6.0050466713443631E-4</c:v>
                </c:pt>
                <c:pt idx="209">
                  <c:v>3.5666586966185738E-4</c:v>
                </c:pt>
                <c:pt idx="210">
                  <c:v>9.7207097691244261E-5</c:v>
                </c:pt>
                <c:pt idx="211">
                  <c:v>4.5072084368284282E-4</c:v>
                </c:pt>
                <c:pt idx="212">
                  <c:v>9.8144199210743093E-4</c:v>
                </c:pt>
                <c:pt idx="213">
                  <c:v>6.9927605861374263E-4</c:v>
                </c:pt>
                <c:pt idx="214">
                  <c:v>7.7510483669920513E-4</c:v>
                </c:pt>
                <c:pt idx="215">
                  <c:v>5.1614419483147328E-4</c:v>
                </c:pt>
                <c:pt idx="216">
                  <c:v>9.7384750736067085E-4</c:v>
                </c:pt>
                <c:pt idx="217">
                  <c:v>2.4546174084360433E-4</c:v>
                </c:pt>
                <c:pt idx="218">
                  <c:v>8.5254101694376373E-4</c:v>
                </c:pt>
                <c:pt idx="219">
                  <c:v>6.719969643963139E-4</c:v>
                </c:pt>
                <c:pt idx="220">
                  <c:v>3.0280388875015651E-4</c:v>
                </c:pt>
                <c:pt idx="221">
                  <c:v>3.9855680390524716E-4</c:v>
                </c:pt>
                <c:pt idx="222">
                  <c:v>8.3009481985515888E-5</c:v>
                </c:pt>
                <c:pt idx="223">
                  <c:v>3.8566088915956668E-4</c:v>
                </c:pt>
                <c:pt idx="224">
                  <c:v>5.046272673947112E-4</c:v>
                </c:pt>
                <c:pt idx="225">
                  <c:v>7.0081514538858174E-4</c:v>
                </c:pt>
                <c:pt idx="226">
                  <c:v>9.7852700341445869E-4</c:v>
                </c:pt>
                <c:pt idx="227">
                  <c:v>4.7387499794828374E-4</c:v>
                </c:pt>
                <c:pt idx="228">
                  <c:v>6.7705938804527726E-4</c:v>
                </c:pt>
                <c:pt idx="229">
                  <c:v>3.7539113526326753E-4</c:v>
                </c:pt>
                <c:pt idx="230">
                  <c:v>2.6929708292487724E-4</c:v>
                </c:pt>
                <c:pt idx="231">
                  <c:v>4.2072372805422326E-4</c:v>
                </c:pt>
                <c:pt idx="232">
                  <c:v>8.4377806151404071E-4</c:v>
                </c:pt>
                <c:pt idx="233">
                  <c:v>8.5327383823543949E-4</c:v>
                </c:pt>
                <c:pt idx="234">
                  <c:v>4.6850710220185441E-4</c:v>
                </c:pt>
                <c:pt idx="235">
                  <c:v>4.6946248103995188E-4</c:v>
                </c:pt>
                <c:pt idx="236">
                  <c:v>6.9442048376567905E-4</c:v>
                </c:pt>
                <c:pt idx="237">
                  <c:v>3.1447059456800688E-4</c:v>
                </c:pt>
                <c:pt idx="238">
                  <c:v>3.4325845111435164E-4</c:v>
                </c:pt>
                <c:pt idx="239">
                  <c:v>4.1758212142345441E-4</c:v>
                </c:pt>
                <c:pt idx="240">
                  <c:v>4.631337702211886E-4</c:v>
                </c:pt>
                <c:pt idx="241">
                  <c:v>6.157291593996336E-5</c:v>
                </c:pt>
                <c:pt idx="242">
                  <c:v>2.2419208189406638E-4</c:v>
                </c:pt>
                <c:pt idx="243">
                  <c:v>8.2254752065597241E-4</c:v>
                </c:pt>
                <c:pt idx="244">
                  <c:v>3.0026672770351397E-4</c:v>
                </c:pt>
                <c:pt idx="245">
                  <c:v>3.0974618928337669E-4</c:v>
                </c:pt>
                <c:pt idx="246">
                  <c:v>1.0100669879822099E-3</c:v>
                </c:pt>
                <c:pt idx="247">
                  <c:v>1.3458332037497465E-4</c:v>
                </c:pt>
                <c:pt idx="248">
                  <c:v>5.3409889279547838E-4</c:v>
                </c:pt>
                <c:pt idx="249">
                  <c:v>4.6126419451825618E-4</c:v>
                </c:pt>
                <c:pt idx="250">
                  <c:v>4.2607384746142277E-4</c:v>
                </c:pt>
                <c:pt idx="251">
                  <c:v>6.1287012892278603E-4</c:v>
                </c:pt>
                <c:pt idx="252">
                  <c:v>6.8060404572237618E-5</c:v>
                </c:pt>
                <c:pt idx="253">
                  <c:v>3.3039308288358114E-4</c:v>
                </c:pt>
                <c:pt idx="254">
                  <c:v>1.5493044168675744E-4</c:v>
                </c:pt>
                <c:pt idx="255">
                  <c:v>9.8373252126124599E-5</c:v>
                </c:pt>
                <c:pt idx="256">
                  <c:v>1.8246920103034812E-4</c:v>
                </c:pt>
                <c:pt idx="257">
                  <c:v>2.5049707903891373E-4</c:v>
                </c:pt>
                <c:pt idx="258">
                  <c:v>1.7758270615290164E-4</c:v>
                </c:pt>
                <c:pt idx="259">
                  <c:v>6.0519783745322236E-4</c:v>
                </c:pt>
                <c:pt idx="260">
                  <c:v>5.8137946962587511E-4</c:v>
                </c:pt>
                <c:pt idx="261">
                  <c:v>5.3574121195010358E-4</c:v>
                </c:pt>
                <c:pt idx="262">
                  <c:v>7.2486192875079614E-4</c:v>
                </c:pt>
                <c:pt idx="263">
                  <c:v>2.2991955511050295E-4</c:v>
                </c:pt>
                <c:pt idx="264">
                  <c:v>3.4323683866415323E-4</c:v>
                </c:pt>
                <c:pt idx="265">
                  <c:v>3.6298833879017404E-4</c:v>
                </c:pt>
                <c:pt idx="266">
                  <c:v>4.8919455685111934E-4</c:v>
                </c:pt>
                <c:pt idx="267">
                  <c:v>4.6291939809952747E-4</c:v>
                </c:pt>
                <c:pt idx="268">
                  <c:v>3.0988710096544635E-4</c:v>
                </c:pt>
                <c:pt idx="269">
                  <c:v>2.9433500751819424E-4</c:v>
                </c:pt>
                <c:pt idx="270">
                  <c:v>4.5409812654237077E-4</c:v>
                </c:pt>
                <c:pt idx="271">
                  <c:v>2.5111824540646245E-4</c:v>
                </c:pt>
                <c:pt idx="272">
                  <c:v>3.3185176733416342E-4</c:v>
                </c:pt>
                <c:pt idx="273">
                  <c:v>2.6962517123837418E-4</c:v>
                </c:pt>
                <c:pt idx="274">
                  <c:v>4.3667296585851349E-4</c:v>
                </c:pt>
                <c:pt idx="275">
                  <c:v>6.6101884608872304E-4</c:v>
                </c:pt>
                <c:pt idx="276">
                  <c:v>6.9620185557396673E-4</c:v>
                </c:pt>
                <c:pt idx="277">
                  <c:v>7.2404166786254156E-4</c:v>
                </c:pt>
                <c:pt idx="278">
                  <c:v>4.4987317010795988E-4</c:v>
                </c:pt>
                <c:pt idx="279">
                  <c:v>1.6534396782268184E-4</c:v>
                </c:pt>
                <c:pt idx="280">
                  <c:v>2.0420489591135813E-4</c:v>
                </c:pt>
                <c:pt idx="281">
                  <c:v>5.6497971316277272E-4</c:v>
                </c:pt>
                <c:pt idx="282">
                  <c:v>3.8804660692232616E-4</c:v>
                </c:pt>
                <c:pt idx="283">
                  <c:v>5.2001507546934722E-4</c:v>
                </c:pt>
                <c:pt idx="284">
                  <c:v>4.5568179423677855E-4</c:v>
                </c:pt>
                <c:pt idx="285">
                  <c:v>4.5013988317593045E-4</c:v>
                </c:pt>
                <c:pt idx="286">
                  <c:v>5.1434886536304704E-4</c:v>
                </c:pt>
                <c:pt idx="287">
                  <c:v>1.3967861761229755E-4</c:v>
                </c:pt>
                <c:pt idx="288">
                  <c:v>2.2583499127597117E-4</c:v>
                </c:pt>
                <c:pt idx="289">
                  <c:v>3.8759978121434968E-5</c:v>
                </c:pt>
                <c:pt idx="290">
                  <c:v>5.1387895974927208E-4</c:v>
                </c:pt>
                <c:pt idx="291">
                  <c:v>3.0996724517168446E-4</c:v>
                </c:pt>
                <c:pt idx="292">
                  <c:v>6.5357067359031506E-4</c:v>
                </c:pt>
                <c:pt idx="293">
                  <c:v>5.0288436138769493E-4</c:v>
                </c:pt>
                <c:pt idx="294">
                  <c:v>3.7513484073962045E-4</c:v>
                </c:pt>
                <c:pt idx="295">
                  <c:v>2.1432390200057264E-4</c:v>
                </c:pt>
                <c:pt idx="296">
                  <c:v>1.7401470594481051E-4</c:v>
                </c:pt>
                <c:pt idx="297">
                  <c:v>3.2198759958401929E-4</c:v>
                </c:pt>
                <c:pt idx="298">
                  <c:v>1.967210732255839E-4</c:v>
                </c:pt>
                <c:pt idx="299">
                  <c:v>4.8844918925626871E-4</c:v>
                </c:pt>
                <c:pt idx="300">
                  <c:v>-3.12121867700569E-4</c:v>
                </c:pt>
                <c:pt idx="301">
                  <c:v>7.9293626208075819E-4</c:v>
                </c:pt>
                <c:pt idx="302">
                  <c:v>4.5624964391720129E-4</c:v>
                </c:pt>
                <c:pt idx="303">
                  <c:v>5.0955715066075156E-4</c:v>
                </c:pt>
                <c:pt idx="304">
                  <c:v>3.5298226361513884E-4</c:v>
                </c:pt>
                <c:pt idx="305">
                  <c:v>1.1855903791716965E-3</c:v>
                </c:pt>
                <c:pt idx="306">
                  <c:v>3.4391114312401554E-4</c:v>
                </c:pt>
                <c:pt idx="307">
                  <c:v>3.2485632320477462E-4</c:v>
                </c:pt>
                <c:pt idx="308">
                  <c:v>7.4482900554066213E-4</c:v>
                </c:pt>
                <c:pt idx="309">
                  <c:v>4.9633764966443403E-4</c:v>
                </c:pt>
                <c:pt idx="310">
                  <c:v>1.8663573988823831E-4</c:v>
                </c:pt>
                <c:pt idx="311">
                  <c:v>-1.2484677639597499E-3</c:v>
                </c:pt>
                <c:pt idx="312">
                  <c:v>1.3460166448330047E-3</c:v>
                </c:pt>
                <c:pt idx="313">
                  <c:v>4.2015033257005873E-4</c:v>
                </c:pt>
                <c:pt idx="314">
                  <c:v>-5.9182374210249426E-4</c:v>
                </c:pt>
                <c:pt idx="315">
                  <c:v>9.0517359546654874E-5</c:v>
                </c:pt>
                <c:pt idx="316">
                  <c:v>4.020125154726537E-4</c:v>
                </c:pt>
                <c:pt idx="317">
                  <c:v>9.0942984693886454E-4</c:v>
                </c:pt>
                <c:pt idx="318">
                  <c:v>3.0019484562449934E-4</c:v>
                </c:pt>
                <c:pt idx="319">
                  <c:v>-1.088477443134064E-3</c:v>
                </c:pt>
                <c:pt idx="320">
                  <c:v>2.0282613116447972E-4</c:v>
                </c:pt>
                <c:pt idx="321">
                  <c:v>1.0184239524157258E-3</c:v>
                </c:pt>
                <c:pt idx="322">
                  <c:v>8.3247047022308722E-4</c:v>
                </c:pt>
                <c:pt idx="323">
                  <c:v>-6.176548955543348E-5</c:v>
                </c:pt>
                <c:pt idx="324">
                  <c:v>1.2239044886058715E-4</c:v>
                </c:pt>
                <c:pt idx="325">
                  <c:v>5.0487139047114484E-4</c:v>
                </c:pt>
                <c:pt idx="326">
                  <c:v>-1.6794972885270511E-4</c:v>
                </c:pt>
                <c:pt idx="327">
                  <c:v>6.6482043371297891E-5</c:v>
                </c:pt>
                <c:pt idx="328">
                  <c:v>5.4442610536443146E-4</c:v>
                </c:pt>
                <c:pt idx="329">
                  <c:v>5.8753526697579274E-4</c:v>
                </c:pt>
                <c:pt idx="330">
                  <c:v>3.2678109286189623E-4</c:v>
                </c:pt>
                <c:pt idx="331">
                  <c:v>3.8466952827849877E-4</c:v>
                </c:pt>
                <c:pt idx="332">
                  <c:v>4.2724663607914524E-4</c:v>
                </c:pt>
                <c:pt idx="333">
                  <c:v>5.7641649655954409E-4</c:v>
                </c:pt>
                <c:pt idx="334">
                  <c:v>1.0571511316214102E-4</c:v>
                </c:pt>
                <c:pt idx="335">
                  <c:v>-3.5900202046053304E-6</c:v>
                </c:pt>
                <c:pt idx="336">
                  <c:v>3.8641061236567024E-5</c:v>
                </c:pt>
                <c:pt idx="337">
                  <c:v>8.6773831414191285E-4</c:v>
                </c:pt>
                <c:pt idx="338">
                  <c:v>1.3496533892881347E-4</c:v>
                </c:pt>
                <c:pt idx="339">
                  <c:v>3.9744049849685029E-4</c:v>
                </c:pt>
                <c:pt idx="340">
                  <c:v>7.7538086298253775E-4</c:v>
                </c:pt>
                <c:pt idx="341">
                  <c:v>5.3334219760013018E-4</c:v>
                </c:pt>
                <c:pt idx="342">
                  <c:v>-2.2909521237804008E-4</c:v>
                </c:pt>
                <c:pt idx="343">
                  <c:v>1.0570579360924816E-4</c:v>
                </c:pt>
                <c:pt idx="344">
                  <c:v>-6.4760956859065659E-6</c:v>
                </c:pt>
                <c:pt idx="345">
                  <c:v>1.6335352556415169E-5</c:v>
                </c:pt>
                <c:pt idx="346">
                  <c:v>1.8170246400305091E-4</c:v>
                </c:pt>
                <c:pt idx="347">
                  <c:v>-3.8312050582391902E-4</c:v>
                </c:pt>
                <c:pt idx="348">
                  <c:v>1.6754374566589866E-4</c:v>
                </c:pt>
                <c:pt idx="349">
                  <c:v>6.8874570705672395E-5</c:v>
                </c:pt>
                <c:pt idx="350">
                  <c:v>1.8882882294444955E-4</c:v>
                </c:pt>
                <c:pt idx="351">
                  <c:v>-4.9507540808610775E-4</c:v>
                </c:pt>
                <c:pt idx="352">
                  <c:v>3.4376739724611158E-4</c:v>
                </c:pt>
                <c:pt idx="353">
                  <c:v>4.5485626854264186E-4</c:v>
                </c:pt>
                <c:pt idx="354">
                  <c:v>4.8523996893388245E-4</c:v>
                </c:pt>
                <c:pt idx="355">
                  <c:v>5.0851663463463541E-4</c:v>
                </c:pt>
                <c:pt idx="356">
                  <c:v>-7.2018540941707883E-4</c:v>
                </c:pt>
                <c:pt idx="357">
                  <c:v>1.6383980860566942E-4</c:v>
                </c:pt>
                <c:pt idx="358">
                  <c:v>3.1294696559662949E-4</c:v>
                </c:pt>
                <c:pt idx="359">
                  <c:v>2.1860297717394119E-4</c:v>
                </c:pt>
                <c:pt idx="360">
                  <c:v>1.1329661907888089E-4</c:v>
                </c:pt>
                <c:pt idx="361">
                  <c:v>2.9589620093360707E-4</c:v>
                </c:pt>
                <c:pt idx="362">
                  <c:v>5.0114155341541539E-5</c:v>
                </c:pt>
                <c:pt idx="363">
                  <c:v>-1.2962115585974784E-4</c:v>
                </c:pt>
                <c:pt idx="364">
                  <c:v>4.6811784049409239E-4</c:v>
                </c:pt>
                <c:pt idx="365">
                  <c:v>-4.6310912265445682E-5</c:v>
                </c:pt>
                <c:pt idx="366">
                  <c:v>-1.1771862295056564E-4</c:v>
                </c:pt>
                <c:pt idx="367">
                  <c:v>2.7338212001824629E-5</c:v>
                </c:pt>
                <c:pt idx="368">
                  <c:v>-5.304541610874437E-4</c:v>
                </c:pt>
                <c:pt idx="369">
                  <c:v>1.6466538442145792E-4</c:v>
                </c:pt>
                <c:pt idx="370">
                  <c:v>-1.799871014625296E-6</c:v>
                </c:pt>
                <c:pt idx="371">
                  <c:v>3.7712009544067424E-4</c:v>
                </c:pt>
                <c:pt idx="372">
                  <c:v>1.0122148573385853E-3</c:v>
                </c:pt>
                <c:pt idx="373">
                  <c:v>-4.7763071405778159E-4</c:v>
                </c:pt>
                <c:pt idx="374">
                  <c:v>-1.0353424915687622E-4</c:v>
                </c:pt>
                <c:pt idx="375">
                  <c:v>-6.0143898778992021E-4</c:v>
                </c:pt>
                <c:pt idx="376">
                  <c:v>-4.7890821944506222E-4</c:v>
                </c:pt>
                <c:pt idx="377">
                  <c:v>-2.6038777279675421E-4</c:v>
                </c:pt>
                <c:pt idx="378">
                  <c:v>-8.3867958221072898E-5</c:v>
                </c:pt>
                <c:pt idx="379">
                  <c:v>-1.463990872111285E-4</c:v>
                </c:pt>
                <c:pt idx="380">
                  <c:v>3.4378969107042159E-4</c:v>
                </c:pt>
                <c:pt idx="381">
                  <c:v>1.3242167131511534E-4</c:v>
                </c:pt>
                <c:pt idx="382">
                  <c:v>-3.4356159675322354E-4</c:v>
                </c:pt>
                <c:pt idx="383">
                  <c:v>-4.5626671185448805E-4</c:v>
                </c:pt>
                <c:pt idx="384">
                  <c:v>-7.7706497131001584E-5</c:v>
                </c:pt>
                <c:pt idx="385">
                  <c:v>-2.5944248558221883E-4</c:v>
                </c:pt>
                <c:pt idx="386">
                  <c:v>-3.7432317877918918E-4</c:v>
                </c:pt>
                <c:pt idx="387">
                  <c:v>1.3587039104904778E-4</c:v>
                </c:pt>
                <c:pt idx="388">
                  <c:v>-3.0844674545615029E-4</c:v>
                </c:pt>
                <c:pt idx="389">
                  <c:v>4.1031794401289156E-4</c:v>
                </c:pt>
                <c:pt idx="390">
                  <c:v>-9.6693057320605189E-5</c:v>
                </c:pt>
                <c:pt idx="391">
                  <c:v>-4.2293255882978892E-4</c:v>
                </c:pt>
                <c:pt idx="392">
                  <c:v>1.173362691264479E-5</c:v>
                </c:pt>
                <c:pt idx="393">
                  <c:v>2.0192746709869903E-5</c:v>
                </c:pt>
                <c:pt idx="394">
                  <c:v>1.046676009444256E-3</c:v>
                </c:pt>
                <c:pt idx="395">
                  <c:v>1.8656848050457465E-4</c:v>
                </c:pt>
                <c:pt idx="396">
                  <c:v>6.4956832302648859E-4</c:v>
                </c:pt>
                <c:pt idx="397">
                  <c:v>3.3065616706960774E-4</c:v>
                </c:pt>
                <c:pt idx="398">
                  <c:v>-7.4168891513640199E-4</c:v>
                </c:pt>
                <c:pt idx="399">
                  <c:v>-5.8307447735291343E-4</c:v>
                </c:pt>
                <c:pt idx="400">
                  <c:v>-4.660983747554236E-4</c:v>
                </c:pt>
                <c:pt idx="401">
                  <c:v>-4.7913604739411962E-4</c:v>
                </c:pt>
                <c:pt idx="402">
                  <c:v>-2.4311648366290794E-4</c:v>
                </c:pt>
                <c:pt idx="403">
                  <c:v>-1.1060259013763517E-3</c:v>
                </c:pt>
                <c:pt idx="404">
                  <c:v>-7.2145268119318913E-4</c:v>
                </c:pt>
                <c:pt idx="405">
                  <c:v>-4.8565932106948219E-4</c:v>
                </c:pt>
                <c:pt idx="406">
                  <c:v>-5.3086917216144743E-4</c:v>
                </c:pt>
                <c:pt idx="407">
                  <c:v>-1.8636571469305064E-4</c:v>
                </c:pt>
                <c:pt idx="408">
                  <c:v>9.5267762068333508E-5</c:v>
                </c:pt>
                <c:pt idx="409">
                  <c:v>1.8655702558475457E-4</c:v>
                </c:pt>
                <c:pt idx="410">
                  <c:v>1.5135966351285618E-4</c:v>
                </c:pt>
                <c:pt idx="411">
                  <c:v>4.1288852865254533E-4</c:v>
                </c:pt>
                <c:pt idx="412">
                  <c:v>8.9995950242907074E-5</c:v>
                </c:pt>
                <c:pt idx="413">
                  <c:v>2.0480720731264895E-4</c:v>
                </c:pt>
                <c:pt idx="414">
                  <c:v>1.7185126999596067E-4</c:v>
                </c:pt>
                <c:pt idx="415">
                  <c:v>9.5333493745743716E-5</c:v>
                </c:pt>
                <c:pt idx="416">
                  <c:v>2.4176057352601912E-4</c:v>
                </c:pt>
                <c:pt idx="417">
                  <c:v>6.5125742988957048E-4</c:v>
                </c:pt>
                <c:pt idx="418">
                  <c:v>4.5023218445076359E-4</c:v>
                </c:pt>
                <c:pt idx="419">
                  <c:v>9.5948487170696088E-4</c:v>
                </c:pt>
                <c:pt idx="420">
                  <c:v>1.1777112964773786E-3</c:v>
                </c:pt>
                <c:pt idx="421">
                  <c:v>1.3522367046616055E-3</c:v>
                </c:pt>
                <c:pt idx="422">
                  <c:v>5.5744999760719066E-4</c:v>
                </c:pt>
                <c:pt idx="423">
                  <c:v>-5.7046686717824907E-4</c:v>
                </c:pt>
                <c:pt idx="424">
                  <c:v>1.0814915273130103E-3</c:v>
                </c:pt>
                <c:pt idx="425">
                  <c:v>-1.1429410674644587E-3</c:v>
                </c:pt>
                <c:pt idx="426">
                  <c:v>-1.1297565837047937E-4</c:v>
                </c:pt>
                <c:pt idx="427">
                  <c:v>-3.3031736806024103E-4</c:v>
                </c:pt>
                <c:pt idx="428">
                  <c:v>-3.094682117391261E-4</c:v>
                </c:pt>
                <c:pt idx="429">
                  <c:v>-3.2046049436512274E-4</c:v>
                </c:pt>
                <c:pt idx="430">
                  <c:v>9.0254326841563857E-5</c:v>
                </c:pt>
                <c:pt idx="431">
                  <c:v>6.391989452096767E-4</c:v>
                </c:pt>
                <c:pt idx="432">
                  <c:v>5.1397940813628336E-4</c:v>
                </c:pt>
                <c:pt idx="433">
                  <c:v>6.6606224117882911E-4</c:v>
                </c:pt>
                <c:pt idx="434">
                  <c:v>4.8265341092011677E-4</c:v>
                </c:pt>
                <c:pt idx="435">
                  <c:v>7.429891147209015E-4</c:v>
                </c:pt>
                <c:pt idx="436">
                  <c:v>2.9597682810007418E-4</c:v>
                </c:pt>
                <c:pt idx="437">
                  <c:v>4.3738861402325822E-4</c:v>
                </c:pt>
                <c:pt idx="438">
                  <c:v>6.9962592570029631E-4</c:v>
                </c:pt>
                <c:pt idx="439">
                  <c:v>1.0931719915864932E-3</c:v>
                </c:pt>
                <c:pt idx="440">
                  <c:v>6.4053401605842543E-4</c:v>
                </c:pt>
                <c:pt idx="441">
                  <c:v>3.9884968163508502E-4</c:v>
                </c:pt>
                <c:pt idx="442">
                  <c:v>2.8001888242707048E-4</c:v>
                </c:pt>
                <c:pt idx="443">
                  <c:v>1.1371687810607515E-3</c:v>
                </c:pt>
                <c:pt idx="444">
                  <c:v>1.1212690374208631E-4</c:v>
                </c:pt>
                <c:pt idx="445">
                  <c:v>6.478968038280869E-4</c:v>
                </c:pt>
                <c:pt idx="446">
                  <c:v>2.4075806504475473E-4</c:v>
                </c:pt>
                <c:pt idx="447">
                  <c:v>4.2985343229398024E-4</c:v>
                </c:pt>
                <c:pt idx="448">
                  <c:v>4.9740868132576346E-4</c:v>
                </c:pt>
                <c:pt idx="449">
                  <c:v>5.7098804649697828E-4</c:v>
                </c:pt>
                <c:pt idx="450">
                  <c:v>7.536832214619318E-4</c:v>
                </c:pt>
                <c:pt idx="451">
                  <c:v>7.65045037503356E-4</c:v>
                </c:pt>
                <c:pt idx="452">
                  <c:v>1.08758588158237E-4</c:v>
                </c:pt>
                <c:pt idx="453">
                  <c:v>1.3971037503412726E-4</c:v>
                </c:pt>
                <c:pt idx="454">
                  <c:v>-2.4774602791607757E-4</c:v>
                </c:pt>
                <c:pt idx="455">
                  <c:v>5.0474644053808738E-4</c:v>
                </c:pt>
                <c:pt idx="456">
                  <c:v>7.0904988263610375E-4</c:v>
                </c:pt>
                <c:pt idx="457">
                  <c:v>4.2607855031641417E-5</c:v>
                </c:pt>
                <c:pt idx="458">
                  <c:v>7.8049929639466373E-4</c:v>
                </c:pt>
                <c:pt idx="459">
                  <c:v>5.3985425246673652E-4</c:v>
                </c:pt>
                <c:pt idx="460">
                  <c:v>1.494182306890266E-4</c:v>
                </c:pt>
                <c:pt idx="461">
                  <c:v>4.5778801715658728E-4</c:v>
                </c:pt>
                <c:pt idx="462">
                  <c:v>-2.8324600104396745E-4</c:v>
                </c:pt>
                <c:pt idx="463">
                  <c:v>1.8357887665047481E-4</c:v>
                </c:pt>
                <c:pt idx="464">
                  <c:v>9.3041186286765061E-4</c:v>
                </c:pt>
                <c:pt idx="465">
                  <c:v>7.4474691354584543E-4</c:v>
                </c:pt>
                <c:pt idx="466">
                  <c:v>5.0540417668363581E-4</c:v>
                </c:pt>
                <c:pt idx="467">
                  <c:v>6.032363621235416E-4</c:v>
                </c:pt>
                <c:pt idx="468">
                  <c:v>2.5632050845821952E-4</c:v>
                </c:pt>
                <c:pt idx="469">
                  <c:v>4.5657948456644126E-4</c:v>
                </c:pt>
                <c:pt idx="470">
                  <c:v>5.5314049209398712E-4</c:v>
                </c:pt>
                <c:pt idx="471">
                  <c:v>4.8982274537772937E-4</c:v>
                </c:pt>
                <c:pt idx="472">
                  <c:v>3.79889251690314E-4</c:v>
                </c:pt>
                <c:pt idx="473">
                  <c:v>2.5178238737080181E-4</c:v>
                </c:pt>
                <c:pt idx="474">
                  <c:v>4.9497324191251292E-4</c:v>
                </c:pt>
                <c:pt idx="475">
                  <c:v>-1.9826785600412483E-4</c:v>
                </c:pt>
                <c:pt idx="476">
                  <c:v>4.7938050039974742E-4</c:v>
                </c:pt>
                <c:pt idx="477">
                  <c:v>8.7358372729254513E-4</c:v>
                </c:pt>
                <c:pt idx="478">
                  <c:v>1.068918489355822E-4</c:v>
                </c:pt>
                <c:pt idx="479">
                  <c:v>7.2407275167966228E-4</c:v>
                </c:pt>
                <c:pt idx="480">
                  <c:v>1.0315519777917431E-3</c:v>
                </c:pt>
                <c:pt idx="481">
                  <c:v>5.8985521326375943E-4</c:v>
                </c:pt>
                <c:pt idx="482">
                  <c:v>7.4071304794984575E-4</c:v>
                </c:pt>
                <c:pt idx="483">
                  <c:v>3.0493924736270665E-4</c:v>
                </c:pt>
                <c:pt idx="484">
                  <c:v>5.9033521670612222E-4</c:v>
                </c:pt>
                <c:pt idx="485">
                  <c:v>5.4769882386439218E-4</c:v>
                </c:pt>
                <c:pt idx="486">
                  <c:v>2.4966353036532535E-4</c:v>
                </c:pt>
                <c:pt idx="487">
                  <c:v>1.1609066011039589E-4</c:v>
                </c:pt>
                <c:pt idx="488">
                  <c:v>1.0071545635958399E-4</c:v>
                </c:pt>
                <c:pt idx="489">
                  <c:v>6.8577600529188068E-4</c:v>
                </c:pt>
                <c:pt idx="490">
                  <c:v>-8.0331438878315323E-5</c:v>
                </c:pt>
                <c:pt idx="491">
                  <c:v>7.7019715725437361E-4</c:v>
                </c:pt>
                <c:pt idx="492">
                  <c:v>4.395215234072673E-4</c:v>
                </c:pt>
                <c:pt idx="493">
                  <c:v>1.8816888153992139E-4</c:v>
                </c:pt>
                <c:pt idx="494">
                  <c:v>2.682028369295318E-4</c:v>
                </c:pt>
                <c:pt idx="495">
                  <c:v>2.9553617055693711E-4</c:v>
                </c:pt>
                <c:pt idx="496">
                  <c:v>3.4368605543335593E-4</c:v>
                </c:pt>
                <c:pt idx="497">
                  <c:v>5.2938094677960163E-4</c:v>
                </c:pt>
                <c:pt idx="498">
                  <c:v>5.3326521468160951E-4</c:v>
                </c:pt>
                <c:pt idx="499">
                  <c:v>6.3366923765241587E-4</c:v>
                </c:pt>
                <c:pt idx="500">
                  <c:v>-1.6432952215716213E-4</c:v>
                </c:pt>
                <c:pt idx="501">
                  <c:v>1.81683020621348E-4</c:v>
                </c:pt>
                <c:pt idx="502">
                  <c:v>-1.1251046940750328E-5</c:v>
                </c:pt>
                <c:pt idx="503">
                  <c:v>3.1707814275106307E-4</c:v>
                </c:pt>
                <c:pt idx="504">
                  <c:v>5.5879462573424127E-4</c:v>
                </c:pt>
                <c:pt idx="505">
                  <c:v>4.3151987039803094E-4</c:v>
                </c:pt>
                <c:pt idx="506">
                  <c:v>5.0982992153418907E-4</c:v>
                </c:pt>
                <c:pt idx="507">
                  <c:v>4.3407799816900166E-4</c:v>
                </c:pt>
                <c:pt idx="508">
                  <c:v>7.2252269676092897E-4</c:v>
                </c:pt>
                <c:pt idx="509">
                  <c:v>2.8567328834381547E-4</c:v>
                </c:pt>
                <c:pt idx="510">
                  <c:v>5.1270769608151312E-4</c:v>
                </c:pt>
                <c:pt idx="511">
                  <c:v>4.6341956640281844E-4</c:v>
                </c:pt>
                <c:pt idx="512">
                  <c:v>2.9635354422727052E-4</c:v>
                </c:pt>
                <c:pt idx="513">
                  <c:v>5.2973987590073008E-4</c:v>
                </c:pt>
                <c:pt idx="514">
                  <c:v>1.5118044609391791E-4</c:v>
                </c:pt>
                <c:pt idx="515">
                  <c:v>4.6599555657301242E-4</c:v>
                </c:pt>
                <c:pt idx="516">
                  <c:v>1.544855612356733E-4</c:v>
                </c:pt>
                <c:pt idx="517">
                  <c:v>4.2649603821097481E-4</c:v>
                </c:pt>
                <c:pt idx="518">
                  <c:v>-4.0694302421720322E-4</c:v>
                </c:pt>
                <c:pt idx="519">
                  <c:v>-6.1915225167370053E-4</c:v>
                </c:pt>
                <c:pt idx="520">
                  <c:v>-3.9271569014093656E-4</c:v>
                </c:pt>
                <c:pt idx="521">
                  <c:v>2.7207679473145263E-4</c:v>
                </c:pt>
                <c:pt idx="522">
                  <c:v>3.093052173641988E-4</c:v>
                </c:pt>
                <c:pt idx="523">
                  <c:v>-1.6019448937781058E-4</c:v>
                </c:pt>
                <c:pt idx="524">
                  <c:v>-1.8701288930677592E-4</c:v>
                </c:pt>
                <c:pt idx="525">
                  <c:v>2.5635358643559536E-4</c:v>
                </c:pt>
                <c:pt idx="526">
                  <c:v>4.6871458060133449E-4</c:v>
                </c:pt>
                <c:pt idx="527">
                  <c:v>2.4384754850105526E-4</c:v>
                </c:pt>
                <c:pt idx="528">
                  <c:v>2.1596771585008634E-4</c:v>
                </c:pt>
                <c:pt idx="529">
                  <c:v>4.9552367337762741E-4</c:v>
                </c:pt>
                <c:pt idx="530">
                  <c:v>-3.2111529675146332E-5</c:v>
                </c:pt>
                <c:pt idx="531">
                  <c:v>3.956460902245174E-4</c:v>
                </c:pt>
                <c:pt idx="532">
                  <c:v>-2.7093714998420421E-4</c:v>
                </c:pt>
                <c:pt idx="533">
                  <c:v>2.9446026176302079E-4</c:v>
                </c:pt>
                <c:pt idx="534">
                  <c:v>-1.5284539007320714E-4</c:v>
                </c:pt>
                <c:pt idx="535">
                  <c:v>-2.4366797395481755E-4</c:v>
                </c:pt>
                <c:pt idx="536">
                  <c:v>-2.4742544143008699E-4</c:v>
                </c:pt>
                <c:pt idx="537">
                  <c:v>9.5897444300332995E-5</c:v>
                </c:pt>
                <c:pt idx="538">
                  <c:v>-1.17364432296129E-4</c:v>
                </c:pt>
                <c:pt idx="539">
                  <c:v>3.0525665551275416E-4</c:v>
                </c:pt>
                <c:pt idx="540">
                  <c:v>5.6346171689001254E-4</c:v>
                </c:pt>
                <c:pt idx="541">
                  <c:v>7.3870971429252502E-4</c:v>
                </c:pt>
                <c:pt idx="542">
                  <c:v>2.2662512423576029E-4</c:v>
                </c:pt>
                <c:pt idx="543">
                  <c:v>8.0481254910672381E-5</c:v>
                </c:pt>
                <c:pt idx="544">
                  <c:v>3.0687046903793776E-5</c:v>
                </c:pt>
                <c:pt idx="545">
                  <c:v>8.519839154731232E-5</c:v>
                </c:pt>
                <c:pt idx="546">
                  <c:v>-1.7883182475028346E-4</c:v>
                </c:pt>
                <c:pt idx="547">
                  <c:v>2.5980968120158283E-4</c:v>
                </c:pt>
                <c:pt idx="548">
                  <c:v>3.7869119731999515E-4</c:v>
                </c:pt>
                <c:pt idx="549">
                  <c:v>5.6293713334794543E-4</c:v>
                </c:pt>
                <c:pt idx="550">
                  <c:v>1.7976384250751839E-4</c:v>
                </c:pt>
                <c:pt idx="551">
                  <c:v>1.9199288767683735E-4</c:v>
                </c:pt>
                <c:pt idx="552">
                  <c:v>5.1190469524054903E-4</c:v>
                </c:pt>
                <c:pt idx="553">
                  <c:v>3.4668963862108783E-4</c:v>
                </c:pt>
                <c:pt idx="554">
                  <c:v>4.0848201030185393E-4</c:v>
                </c:pt>
                <c:pt idx="555">
                  <c:v>3.009297626891973E-4</c:v>
                </c:pt>
                <c:pt idx="556">
                  <c:v>5.5868045798898732E-4</c:v>
                </c:pt>
                <c:pt idx="557">
                  <c:v>9.4181770708713617E-5</c:v>
                </c:pt>
                <c:pt idx="558">
                  <c:v>2.8191313108317687E-4</c:v>
                </c:pt>
                <c:pt idx="559">
                  <c:v>5.3120369628491379E-4</c:v>
                </c:pt>
                <c:pt idx="560">
                  <c:v>3.2944252678288006E-4</c:v>
                </c:pt>
                <c:pt idx="561">
                  <c:v>2.6734509324960221E-4</c:v>
                </c:pt>
                <c:pt idx="562">
                  <c:v>3.7180181779375969E-4</c:v>
                </c:pt>
                <c:pt idx="563">
                  <c:v>4.400372135026999E-4</c:v>
                </c:pt>
                <c:pt idx="564">
                  <c:v>5.7995825593986847E-4</c:v>
                </c:pt>
                <c:pt idx="565">
                  <c:v>-4.0960970802356471E-4</c:v>
                </c:pt>
                <c:pt idx="566">
                  <c:v>-6.8050834941239206E-4</c:v>
                </c:pt>
                <c:pt idx="567">
                  <c:v>-5.1624575161153465E-4</c:v>
                </c:pt>
                <c:pt idx="568">
                  <c:v>-5.6444324288680537E-4</c:v>
                </c:pt>
                <c:pt idx="569">
                  <c:v>-1.2441290185337989E-4</c:v>
                </c:pt>
                <c:pt idx="570">
                  <c:v>-5.9863443072997644E-4</c:v>
                </c:pt>
                <c:pt idx="571">
                  <c:v>-4.675556053662365E-4</c:v>
                </c:pt>
                <c:pt idx="572">
                  <c:v>-8.509380367185249E-5</c:v>
                </c:pt>
                <c:pt idx="573">
                  <c:v>-4.9013742492672301E-4</c:v>
                </c:pt>
                <c:pt idx="574">
                  <c:v>-6.8219939271725735E-4</c:v>
                </c:pt>
                <c:pt idx="575">
                  <c:v>-3.3327427810959589E-4</c:v>
                </c:pt>
                <c:pt idx="576">
                  <c:v>-1.8039235076626822E-4</c:v>
                </c:pt>
                <c:pt idx="577">
                  <c:v>-4.071967347455326E-5</c:v>
                </c:pt>
                <c:pt idx="578">
                  <c:v>-3.0076325016220032E-4</c:v>
                </c:pt>
                <c:pt idx="579">
                  <c:v>-2.3989235838044477E-4</c:v>
                </c:pt>
                <c:pt idx="580">
                  <c:v>-2.6288415650222216E-4</c:v>
                </c:pt>
                <c:pt idx="581">
                  <c:v>-3.5698210890967858E-4</c:v>
                </c:pt>
                <c:pt idx="582">
                  <c:v>6.1364367989418119E-4</c:v>
                </c:pt>
                <c:pt idx="583">
                  <c:v>4.336501990751813E-4</c:v>
                </c:pt>
                <c:pt idx="584">
                  <c:v>2.1602557914550397E-4</c:v>
                </c:pt>
                <c:pt idx="585">
                  <c:v>4.0711086062872494E-4</c:v>
                </c:pt>
                <c:pt idx="586">
                  <c:v>5.919368390529604E-4</c:v>
                </c:pt>
                <c:pt idx="587">
                  <c:v>4.4030977198528847E-4</c:v>
                </c:pt>
                <c:pt idx="588">
                  <c:v>4.5771552322942976E-4</c:v>
                </c:pt>
                <c:pt idx="589">
                  <c:v>5.5622250716587406E-4</c:v>
                </c:pt>
                <c:pt idx="590">
                  <c:v>3.5524277096343629E-4</c:v>
                </c:pt>
                <c:pt idx="591">
                  <c:v>4.8478755301855118E-4</c:v>
                </c:pt>
                <c:pt idx="592">
                  <c:v>3.1775727374894934E-4</c:v>
                </c:pt>
                <c:pt idx="593">
                  <c:v>3.6995420219301041E-4</c:v>
                </c:pt>
                <c:pt idx="594">
                  <c:v>3.1200553154501392E-4</c:v>
                </c:pt>
                <c:pt idx="595">
                  <c:v>7.4498648020363955E-4</c:v>
                </c:pt>
                <c:pt idx="596">
                  <c:v>6.2956620501407074E-4</c:v>
                </c:pt>
                <c:pt idx="597">
                  <c:v>7.2051568054973313E-4</c:v>
                </c:pt>
                <c:pt idx="598">
                  <c:v>6.8625714221292363E-4</c:v>
                </c:pt>
                <c:pt idx="599">
                  <c:v>4.9042838611235639E-4</c:v>
                </c:pt>
                <c:pt idx="600">
                  <c:v>6.6792287439790591E-4</c:v>
                </c:pt>
                <c:pt idx="601">
                  <c:v>3.63117478497644E-4</c:v>
                </c:pt>
                <c:pt idx="602">
                  <c:v>1.6742471833494787E-4</c:v>
                </c:pt>
                <c:pt idx="603">
                  <c:v>4.8227629370327309E-4</c:v>
                </c:pt>
                <c:pt idx="604">
                  <c:v>4.3334342872103837E-4</c:v>
                </c:pt>
                <c:pt idx="605">
                  <c:v>4.5099391084289954E-4</c:v>
                </c:pt>
                <c:pt idx="606">
                  <c:v>5.5222811681966341E-4</c:v>
                </c:pt>
                <c:pt idx="607">
                  <c:v>2.4786267272292777E-4</c:v>
                </c:pt>
                <c:pt idx="608">
                  <c:v>-8.5305526644615393E-5</c:v>
                </c:pt>
                <c:pt idx="609">
                  <c:v>5.5990855985240773E-4</c:v>
                </c:pt>
                <c:pt idx="610">
                  <c:v>4.4297785374798344E-4</c:v>
                </c:pt>
                <c:pt idx="611">
                  <c:v>3.1670163432381311E-4</c:v>
                </c:pt>
                <c:pt idx="612">
                  <c:v>3.2270394478459239E-4</c:v>
                </c:pt>
                <c:pt idx="613">
                  <c:v>5.7133996135311476E-4</c:v>
                </c:pt>
                <c:pt idx="614">
                  <c:v>6.3726746292955782E-4</c:v>
                </c:pt>
                <c:pt idx="615">
                  <c:v>6.2202259590896753E-4</c:v>
                </c:pt>
                <c:pt idx="616">
                  <c:v>3.8529035241363874E-4</c:v>
                </c:pt>
                <c:pt idx="617">
                  <c:v>5.1657517178450732E-4</c:v>
                </c:pt>
                <c:pt idx="618">
                  <c:v>3.0539665538669672E-4</c:v>
                </c:pt>
                <c:pt idx="619">
                  <c:v>3.885625774172972E-4</c:v>
                </c:pt>
                <c:pt idx="620">
                  <c:v>3.4522082288365594E-4</c:v>
                </c:pt>
                <c:pt idx="621">
                  <c:v>-6.4991954339969492E-5</c:v>
                </c:pt>
                <c:pt idx="622">
                  <c:v>3.3874629331707219E-4</c:v>
                </c:pt>
                <c:pt idx="623">
                  <c:v>2.5159617652650238E-4</c:v>
                </c:pt>
                <c:pt idx="624">
                  <c:v>9.1563819502463926E-5</c:v>
                </c:pt>
                <c:pt idx="625">
                  <c:v>2.4434188199618282E-4</c:v>
                </c:pt>
                <c:pt idx="626">
                  <c:v>4.1471775712573755E-5</c:v>
                </c:pt>
                <c:pt idx="627">
                  <c:v>7.1449800185357138E-4</c:v>
                </c:pt>
                <c:pt idx="628">
                  <c:v>5.969095618787696E-4</c:v>
                </c:pt>
                <c:pt idx="629">
                  <c:v>4.9803793769999068E-4</c:v>
                </c:pt>
                <c:pt idx="630">
                  <c:v>2.8029418225311955E-4</c:v>
                </c:pt>
                <c:pt idx="631">
                  <c:v>8.1571318638793934E-5</c:v>
                </c:pt>
                <c:pt idx="632">
                  <c:v>6.5284721482611644E-4</c:v>
                </c:pt>
                <c:pt idx="633">
                  <c:v>3.4940154059246706E-4</c:v>
                </c:pt>
                <c:pt idx="634">
                  <c:v>2.0789156931162885E-4</c:v>
                </c:pt>
                <c:pt idx="635">
                  <c:v>5.6847545805857906E-4</c:v>
                </c:pt>
                <c:pt idx="636">
                  <c:v>2.8953179914220428E-4</c:v>
                </c:pt>
                <c:pt idx="637">
                  <c:v>3.04292581676277E-5</c:v>
                </c:pt>
                <c:pt idx="638">
                  <c:v>5.7306009900716589E-5</c:v>
                </c:pt>
                <c:pt idx="639">
                  <c:v>3.6019279252703191E-4</c:v>
                </c:pt>
                <c:pt idx="640">
                  <c:v>-8.5309598001225516E-5</c:v>
                </c:pt>
                <c:pt idx="641">
                  <c:v>3.5779996385679582E-4</c:v>
                </c:pt>
                <c:pt idx="642">
                  <c:v>1.8267349866146675E-4</c:v>
                </c:pt>
                <c:pt idx="643">
                  <c:v>4.698312480673422E-4</c:v>
                </c:pt>
                <c:pt idx="644">
                  <c:v>5.0798404437242051E-4</c:v>
                </c:pt>
                <c:pt idx="645">
                  <c:v>4.2394411641974661E-4</c:v>
                </c:pt>
                <c:pt idx="646">
                  <c:v>3.9303507230201482E-4</c:v>
                </c:pt>
                <c:pt idx="647">
                  <c:v>3.1130357482472203E-4</c:v>
                </c:pt>
                <c:pt idx="648">
                  <c:v>-8.5017830490229812E-4</c:v>
                </c:pt>
                <c:pt idx="649">
                  <c:v>-1.908094588794958E-4</c:v>
                </c:pt>
                <c:pt idx="650">
                  <c:v>-4.8375855650161458E-4</c:v>
                </c:pt>
                <c:pt idx="651">
                  <c:v>-9.0304311478653983E-4</c:v>
                </c:pt>
                <c:pt idx="652">
                  <c:v>-6.9383368420603377E-4</c:v>
                </c:pt>
                <c:pt idx="653">
                  <c:v>-8.4094642928561408E-4</c:v>
                </c:pt>
                <c:pt idx="654">
                  <c:v>-5.6113808393660244E-4</c:v>
                </c:pt>
                <c:pt idx="655">
                  <c:v>-7.5752989299345149E-4</c:v>
                </c:pt>
                <c:pt idx="656">
                  <c:v>-1.0371399239533349E-3</c:v>
                </c:pt>
                <c:pt idx="657">
                  <c:v>-7.9661162901159815E-4</c:v>
                </c:pt>
                <c:pt idx="658">
                  <c:v>-7.8238016079123401E-4</c:v>
                </c:pt>
                <c:pt idx="659">
                  <c:v>-1.5653602294894139E-4</c:v>
                </c:pt>
                <c:pt idx="660">
                  <c:v>-1.7755726302763728E-4</c:v>
                </c:pt>
                <c:pt idx="661">
                  <c:v>-3.7552421278660812E-4</c:v>
                </c:pt>
                <c:pt idx="662">
                  <c:v>-6.1777048414274414E-4</c:v>
                </c:pt>
                <c:pt idx="663">
                  <c:v>-4.1836195672357831E-4</c:v>
                </c:pt>
                <c:pt idx="664">
                  <c:v>2.0109520667703718E-4</c:v>
                </c:pt>
                <c:pt idx="665">
                  <c:v>-6.8415896773201673E-4</c:v>
                </c:pt>
                <c:pt idx="666">
                  <c:v>-5.4884743440790037E-4</c:v>
                </c:pt>
                <c:pt idx="667">
                  <c:v>-1.0475160925679356E-3</c:v>
                </c:pt>
                <c:pt idx="668">
                  <c:v>-5.9357180110026662E-4</c:v>
                </c:pt>
                <c:pt idx="669">
                  <c:v>-5.8035702123310597E-4</c:v>
                </c:pt>
                <c:pt idx="670">
                  <c:v>-2.0178219232445656E-4</c:v>
                </c:pt>
                <c:pt idx="671">
                  <c:v>-3.1049629714621633E-4</c:v>
                </c:pt>
                <c:pt idx="672">
                  <c:v>-5.5714011819013717E-4</c:v>
                </c:pt>
                <c:pt idx="673">
                  <c:v>-2.1233451669837007E-4</c:v>
                </c:pt>
                <c:pt idx="674">
                  <c:v>-1.5586521410020066E-4</c:v>
                </c:pt>
                <c:pt idx="675">
                  <c:v>1.7845647998637661E-4</c:v>
                </c:pt>
                <c:pt idx="676">
                  <c:v>5.3605914548787266E-5</c:v>
                </c:pt>
                <c:pt idx="677">
                  <c:v>1.0583732565315265E-3</c:v>
                </c:pt>
                <c:pt idx="678">
                  <c:v>-1.5413102850262244E-4</c:v>
                </c:pt>
                <c:pt idx="679">
                  <c:v>8.2723693082139424E-5</c:v>
                </c:pt>
                <c:pt idx="680">
                  <c:v>-5.3127298790205373E-4</c:v>
                </c:pt>
                <c:pt idx="681">
                  <c:v>-3.1966381163687721E-4</c:v>
                </c:pt>
                <c:pt idx="682">
                  <c:v>-5.7364397077492958E-5</c:v>
                </c:pt>
                <c:pt idx="683">
                  <c:v>-3.8751946076499865E-4</c:v>
                </c:pt>
                <c:pt idx="684">
                  <c:v>4.5936537660584459E-4</c:v>
                </c:pt>
                <c:pt idx="685">
                  <c:v>1.9634234870674177E-4</c:v>
                </c:pt>
                <c:pt idx="686">
                  <c:v>9.174772467732531E-5</c:v>
                </c:pt>
                <c:pt idx="687">
                  <c:v>-5.574154552223804E-5</c:v>
                </c:pt>
                <c:pt idx="688">
                  <c:v>-3.8013299896451477E-4</c:v>
                </c:pt>
                <c:pt idx="689">
                  <c:v>-1.034891024932316E-3</c:v>
                </c:pt>
                <c:pt idx="690">
                  <c:v>-4.7267531350833402E-4</c:v>
                </c:pt>
                <c:pt idx="691">
                  <c:v>-4.6259710444032859E-4</c:v>
                </c:pt>
                <c:pt idx="692">
                  <c:v>-3.4836779604907993E-4</c:v>
                </c:pt>
                <c:pt idx="693">
                  <c:v>-8.1918681198210922E-4</c:v>
                </c:pt>
                <c:pt idx="694">
                  <c:v>-3.676706981136872E-4</c:v>
                </c:pt>
                <c:pt idx="695">
                  <c:v>-9.5940324583773326E-4</c:v>
                </c:pt>
                <c:pt idx="696">
                  <c:v>-1.1032752228475582E-3</c:v>
                </c:pt>
                <c:pt idx="697">
                  <c:v>-2.1680187296392242E-4</c:v>
                </c:pt>
                <c:pt idx="698">
                  <c:v>-7.6185411745143482E-4</c:v>
                </c:pt>
                <c:pt idx="699">
                  <c:v>-4.5777246360437929E-4</c:v>
                </c:pt>
                <c:pt idx="700">
                  <c:v>-4.8528286384463148E-4</c:v>
                </c:pt>
                <c:pt idx="701">
                  <c:v>-7.259317934339587E-4</c:v>
                </c:pt>
                <c:pt idx="702">
                  <c:v>-8.0941484902345457E-4</c:v>
                </c:pt>
                <c:pt idx="703">
                  <c:v>-1.6588505408053562E-4</c:v>
                </c:pt>
                <c:pt idx="704">
                  <c:v>-7.8052704499992993E-4</c:v>
                </c:pt>
                <c:pt idx="705">
                  <c:v>-6.355934840573935E-4</c:v>
                </c:pt>
                <c:pt idx="706">
                  <c:v>-7.2605355188907171E-4</c:v>
                </c:pt>
                <c:pt idx="707">
                  <c:v>-8.5381612765465819E-4</c:v>
                </c:pt>
                <c:pt idx="708">
                  <c:v>-9.6929466995824903E-4</c:v>
                </c:pt>
                <c:pt idx="709">
                  <c:v>-2.6354183707008751E-4</c:v>
                </c:pt>
                <c:pt idx="710">
                  <c:v>-2.3218139692378459E-4</c:v>
                </c:pt>
                <c:pt idx="711">
                  <c:v>-8.9104060019743424E-4</c:v>
                </c:pt>
                <c:pt idx="712">
                  <c:v>-9.7623513293638043E-4</c:v>
                </c:pt>
                <c:pt idx="713">
                  <c:v>-1.7448364177202451E-4</c:v>
                </c:pt>
                <c:pt idx="714">
                  <c:v>-9.2461131748425534E-4</c:v>
                </c:pt>
                <c:pt idx="715">
                  <c:v>-4.9980247991175772E-4</c:v>
                </c:pt>
                <c:pt idx="716">
                  <c:v>-7.5238096659262905E-4</c:v>
                </c:pt>
                <c:pt idx="717">
                  <c:v>-5.0560555213681848E-4</c:v>
                </c:pt>
                <c:pt idx="718">
                  <c:v>-1.4150901927514556E-3</c:v>
                </c:pt>
                <c:pt idx="719">
                  <c:v>-1.1150308081846333E-3</c:v>
                </c:pt>
                <c:pt idx="720">
                  <c:v>1.4817602625578034E-4</c:v>
                </c:pt>
                <c:pt idx="721">
                  <c:v>1.0373610889116082E-3</c:v>
                </c:pt>
                <c:pt idx="722">
                  <c:v>4.9772366764452359E-4</c:v>
                </c:pt>
                <c:pt idx="723">
                  <c:v>5.9671281680320049E-4</c:v>
                </c:pt>
                <c:pt idx="724">
                  <c:v>7.1364398649494847E-4</c:v>
                </c:pt>
                <c:pt idx="725">
                  <c:v>3.890408951075012E-4</c:v>
                </c:pt>
                <c:pt idx="726">
                  <c:v>1.0671220938336938E-5</c:v>
                </c:pt>
                <c:pt idx="727">
                  <c:v>-2.6480159390427792E-4</c:v>
                </c:pt>
                <c:pt idx="728">
                  <c:v>-7.3408159194649134E-5</c:v>
                </c:pt>
                <c:pt idx="729">
                  <c:v>5.0496347863215776E-4</c:v>
                </c:pt>
                <c:pt idx="730">
                  <c:v>1.7974123709341871E-4</c:v>
                </c:pt>
                <c:pt idx="731">
                  <c:v>6.8656066400122609E-4</c:v>
                </c:pt>
                <c:pt idx="732">
                  <c:v>2.47605749607373E-4</c:v>
                </c:pt>
                <c:pt idx="733">
                  <c:v>6.5600918466458271E-4</c:v>
                </c:pt>
                <c:pt idx="734">
                  <c:v>3.7793622786888033E-4</c:v>
                </c:pt>
                <c:pt idx="735">
                  <c:v>4.8590353133637571E-4</c:v>
                </c:pt>
                <c:pt idx="736">
                  <c:v>2.6781383608462183E-4</c:v>
                </c:pt>
                <c:pt idx="737">
                  <c:v>4.4322700171826537E-4</c:v>
                </c:pt>
                <c:pt idx="738">
                  <c:v>-5.2505266451380219E-4</c:v>
                </c:pt>
                <c:pt idx="739">
                  <c:v>2.9516750890093679E-4</c:v>
                </c:pt>
                <c:pt idx="740">
                  <c:v>8.1865559605922205E-5</c:v>
                </c:pt>
                <c:pt idx="741">
                  <c:v>1.768483138874712E-4</c:v>
                </c:pt>
                <c:pt idx="742">
                  <c:v>3.8445725433565106E-4</c:v>
                </c:pt>
                <c:pt idx="743">
                  <c:v>5.8060110986481888E-4</c:v>
                </c:pt>
                <c:pt idx="744">
                  <c:v>6.6954456012987054E-4</c:v>
                </c:pt>
                <c:pt idx="745">
                  <c:v>3.1763756507913199E-4</c:v>
                </c:pt>
                <c:pt idx="746">
                  <c:v>3.4810164598702962E-4</c:v>
                </c:pt>
                <c:pt idx="747">
                  <c:v>4.9492568690922612E-4</c:v>
                </c:pt>
                <c:pt idx="748">
                  <c:v>2.6049110450660873E-4</c:v>
                </c:pt>
                <c:pt idx="749">
                  <c:v>3.3461339342391144E-4</c:v>
                </c:pt>
                <c:pt idx="750">
                  <c:v>4.7128135561450029E-4</c:v>
                </c:pt>
                <c:pt idx="751">
                  <c:v>4.2505049634199789E-4</c:v>
                </c:pt>
                <c:pt idx="752">
                  <c:v>5.9707009389384127E-4</c:v>
                </c:pt>
                <c:pt idx="753">
                  <c:v>2.8161667180935136E-4</c:v>
                </c:pt>
                <c:pt idx="754">
                  <c:v>6.0177245807304779E-4</c:v>
                </c:pt>
                <c:pt idx="755">
                  <c:v>2.9788623273759404E-4</c:v>
                </c:pt>
                <c:pt idx="756">
                  <c:v>4.7893155026838862E-4</c:v>
                </c:pt>
                <c:pt idx="757">
                  <c:v>2.648865880991148E-4</c:v>
                </c:pt>
                <c:pt idx="758">
                  <c:v>2.1921708173301341E-4</c:v>
                </c:pt>
                <c:pt idx="759">
                  <c:v>-2.7366741185362429E-4</c:v>
                </c:pt>
                <c:pt idx="760">
                  <c:v>-1.4043507678593669E-4</c:v>
                </c:pt>
                <c:pt idx="761">
                  <c:v>-2.167704328550242E-4</c:v>
                </c:pt>
                <c:pt idx="762">
                  <c:v>-1.5266603385693115E-4</c:v>
                </c:pt>
                <c:pt idx="763">
                  <c:v>-6.2670025561003162E-4</c:v>
                </c:pt>
                <c:pt idx="764">
                  <c:v>-3.0232529160210781E-5</c:v>
                </c:pt>
                <c:pt idx="765">
                  <c:v>-6.6590944241736361E-4</c:v>
                </c:pt>
                <c:pt idx="766">
                  <c:v>-3.5443943558753339E-4</c:v>
                </c:pt>
                <c:pt idx="767">
                  <c:v>1.0711009389188753E-3</c:v>
                </c:pt>
                <c:pt idx="768">
                  <c:v>-1.0691009073211875E-3</c:v>
                </c:pt>
                <c:pt idx="769">
                  <c:v>-1.2099319499652436E-3</c:v>
                </c:pt>
                <c:pt idx="770">
                  <c:v>-9.3242223207154018E-4</c:v>
                </c:pt>
                <c:pt idx="771">
                  <c:v>-1.7089960935407121E-4</c:v>
                </c:pt>
                <c:pt idx="772">
                  <c:v>-6.7882831693203078E-4</c:v>
                </c:pt>
                <c:pt idx="773">
                  <c:v>-8.1246408615737436E-4</c:v>
                </c:pt>
                <c:pt idx="774">
                  <c:v>-4.2016178164140915E-4</c:v>
                </c:pt>
                <c:pt idx="775">
                  <c:v>-6.8371308524939301E-4</c:v>
                </c:pt>
                <c:pt idx="776">
                  <c:v>-6.7134366155596097E-4</c:v>
                </c:pt>
                <c:pt idx="777">
                  <c:v>-1.6125847232248344E-3</c:v>
                </c:pt>
                <c:pt idx="778">
                  <c:v>-7.078286523411921E-4</c:v>
                </c:pt>
                <c:pt idx="779">
                  <c:v>-9.9002317910953344E-4</c:v>
                </c:pt>
                <c:pt idx="780">
                  <c:v>-9.6832139038373886E-4</c:v>
                </c:pt>
                <c:pt idx="781">
                  <c:v>-8.2080542021069759E-4</c:v>
                </c:pt>
                <c:pt idx="782">
                  <c:v>-4.1613687251866116E-4</c:v>
                </c:pt>
                <c:pt idx="783">
                  <c:v>-6.0908065716973304E-4</c:v>
                </c:pt>
                <c:pt idx="784">
                  <c:v>-7.8017851231005134E-4</c:v>
                </c:pt>
                <c:pt idx="785">
                  <c:v>-7.2169613448215336E-4</c:v>
                </c:pt>
                <c:pt idx="786">
                  <c:v>-4.2720154732557624E-4</c:v>
                </c:pt>
                <c:pt idx="787">
                  <c:v>-1.4244991831720711E-3</c:v>
                </c:pt>
                <c:pt idx="788">
                  <c:v>-1.2512538075211412E-3</c:v>
                </c:pt>
                <c:pt idx="789">
                  <c:v>-8.2137432645241787E-4</c:v>
                </c:pt>
                <c:pt idx="790">
                  <c:v>-2.9634971094683483E-4</c:v>
                </c:pt>
                <c:pt idx="791">
                  <c:v>-9.3266435534846651E-4</c:v>
                </c:pt>
                <c:pt idx="792">
                  <c:v>-6.4070582277325912E-4</c:v>
                </c:pt>
                <c:pt idx="793">
                  <c:v>-9.6458894866346457E-4</c:v>
                </c:pt>
                <c:pt idx="794">
                  <c:v>-5.4023658168526466E-4</c:v>
                </c:pt>
                <c:pt idx="795">
                  <c:v>9.5790353764337712E-6</c:v>
                </c:pt>
                <c:pt idx="796">
                  <c:v>-2.9584956314877646E-4</c:v>
                </c:pt>
                <c:pt idx="797">
                  <c:v>-5.7648465954780585E-4</c:v>
                </c:pt>
                <c:pt idx="798">
                  <c:v>-5.0158914476858762E-4</c:v>
                </c:pt>
                <c:pt idx="799">
                  <c:v>-1.3850269482788889E-4</c:v>
                </c:pt>
                <c:pt idx="800">
                  <c:v>1.3255060858828749E-5</c:v>
                </c:pt>
                <c:pt idx="801">
                  <c:v>-9.2858074795469929E-4</c:v>
                </c:pt>
                <c:pt idx="802">
                  <c:v>-9.9878734922321188E-4</c:v>
                </c:pt>
                <c:pt idx="803">
                  <c:v>-9.2047231894978529E-4</c:v>
                </c:pt>
                <c:pt idx="804">
                  <c:v>-1.1897866262615226E-3</c:v>
                </c:pt>
                <c:pt idx="805">
                  <c:v>-9.6851979065491701E-4</c:v>
                </c:pt>
                <c:pt idx="806">
                  <c:v>-5.5941701063117713E-4</c:v>
                </c:pt>
                <c:pt idx="807">
                  <c:v>-8.2584256169376227E-4</c:v>
                </c:pt>
                <c:pt idx="808">
                  <c:v>-1.3659132812966638E-3</c:v>
                </c:pt>
                <c:pt idx="809">
                  <c:v>-8.8548950181468653E-4</c:v>
                </c:pt>
                <c:pt idx="810">
                  <c:v>3.8133447391181202E-4</c:v>
                </c:pt>
                <c:pt idx="811">
                  <c:v>6.8695234634819644E-4</c:v>
                </c:pt>
                <c:pt idx="812">
                  <c:v>6.1396142358594746E-4</c:v>
                </c:pt>
                <c:pt idx="813">
                  <c:v>1.4364893257505607E-4</c:v>
                </c:pt>
                <c:pt idx="814">
                  <c:v>1.9909184176865633E-4</c:v>
                </c:pt>
                <c:pt idx="815">
                  <c:v>-1.9195273732492093E-4</c:v>
                </c:pt>
                <c:pt idx="816">
                  <c:v>-7.4556127925796837E-4</c:v>
                </c:pt>
                <c:pt idx="817">
                  <c:v>-6.1747477943597815E-5</c:v>
                </c:pt>
                <c:pt idx="818">
                  <c:v>1.7734455051429436E-5</c:v>
                </c:pt>
                <c:pt idx="819">
                  <c:v>4.1573397117893989E-4</c:v>
                </c:pt>
                <c:pt idx="820">
                  <c:v>4.5667419901752762E-4</c:v>
                </c:pt>
                <c:pt idx="821">
                  <c:v>6.9688669120195946E-4</c:v>
                </c:pt>
                <c:pt idx="822">
                  <c:v>4.6146041713847943E-4</c:v>
                </c:pt>
                <c:pt idx="823">
                  <c:v>3.5407965098717116E-4</c:v>
                </c:pt>
                <c:pt idx="824">
                  <c:v>4.781974112031377E-4</c:v>
                </c:pt>
                <c:pt idx="825">
                  <c:v>3.2850844642286973E-4</c:v>
                </c:pt>
                <c:pt idx="826">
                  <c:v>5.6254946222335776E-4</c:v>
                </c:pt>
                <c:pt idx="827">
                  <c:v>5.9369666824260524E-4</c:v>
                </c:pt>
                <c:pt idx="828">
                  <c:v>4.1761553601657366E-4</c:v>
                </c:pt>
                <c:pt idx="829">
                  <c:v>3.0039226684655003E-4</c:v>
                </c:pt>
                <c:pt idx="830">
                  <c:v>2.3116223560211863E-4</c:v>
                </c:pt>
                <c:pt idx="831">
                  <c:v>2.2855260048138166E-4</c:v>
                </c:pt>
                <c:pt idx="832">
                  <c:v>3.3197095169879297E-4</c:v>
                </c:pt>
                <c:pt idx="833">
                  <c:v>4.9997038028753342E-4</c:v>
                </c:pt>
                <c:pt idx="834">
                  <c:v>7.1159853550012864E-4</c:v>
                </c:pt>
                <c:pt idx="835">
                  <c:v>4.3612737058255295E-4</c:v>
                </c:pt>
                <c:pt idx="836">
                  <c:v>7.1907225877930751E-4</c:v>
                </c:pt>
                <c:pt idx="837">
                  <c:v>7.21362425687734E-4</c:v>
                </c:pt>
                <c:pt idx="838">
                  <c:v>-9.7283069506627745E-5</c:v>
                </c:pt>
                <c:pt idx="839">
                  <c:v>4.4076400808451999E-4</c:v>
                </c:pt>
                <c:pt idx="840">
                  <c:v>6.1903891659883636E-4</c:v>
                </c:pt>
                <c:pt idx="841">
                  <c:v>4.2192572949711281E-4</c:v>
                </c:pt>
                <c:pt idx="842">
                  <c:v>4.9186770088096221E-4</c:v>
                </c:pt>
                <c:pt idx="843">
                  <c:v>2.8682365287611625E-4</c:v>
                </c:pt>
                <c:pt idx="844">
                  <c:v>6.4875654744625609E-4</c:v>
                </c:pt>
                <c:pt idx="845">
                  <c:v>4.9114492183059786E-4</c:v>
                </c:pt>
                <c:pt idx="846">
                  <c:v>7.3832833529409209E-4</c:v>
                </c:pt>
                <c:pt idx="847">
                  <c:v>3.7211842110872781E-4</c:v>
                </c:pt>
                <c:pt idx="848">
                  <c:v>5.6509153386282882E-4</c:v>
                </c:pt>
                <c:pt idx="849">
                  <c:v>4.8643645900219219E-4</c:v>
                </c:pt>
                <c:pt idx="850">
                  <c:v>3.0821700267334988E-4</c:v>
                </c:pt>
                <c:pt idx="851">
                  <c:v>4.1656333314554848E-4</c:v>
                </c:pt>
                <c:pt idx="852">
                  <c:v>3.8260619163795818E-4</c:v>
                </c:pt>
                <c:pt idx="853">
                  <c:v>3.128431745503086E-4</c:v>
                </c:pt>
                <c:pt idx="854">
                  <c:v>4.8096232309376938E-4</c:v>
                </c:pt>
                <c:pt idx="855">
                  <c:v>3.5796173820475737E-4</c:v>
                </c:pt>
                <c:pt idx="856">
                  <c:v>4.5416457271109812E-4</c:v>
                </c:pt>
                <c:pt idx="857">
                  <c:v>2.7796500498546747E-4</c:v>
                </c:pt>
                <c:pt idx="858">
                  <c:v>-3.8265550584939143E-4</c:v>
                </c:pt>
                <c:pt idx="859">
                  <c:v>-5.446755837470752E-4</c:v>
                </c:pt>
                <c:pt idx="860">
                  <c:v>-8.4006901055656065E-4</c:v>
                </c:pt>
                <c:pt idx="861">
                  <c:v>-7.4635865754391843E-4</c:v>
                </c:pt>
                <c:pt idx="862">
                  <c:v>-4.4163890878731483E-4</c:v>
                </c:pt>
                <c:pt idx="863">
                  <c:v>-5.5512506819834796E-4</c:v>
                </c:pt>
                <c:pt idx="864">
                  <c:v>-4.4797122029093054E-4</c:v>
                </c:pt>
                <c:pt idx="865">
                  <c:v>-8.5231772080385519E-4</c:v>
                </c:pt>
                <c:pt idx="866">
                  <c:v>-7.523572169325347E-4</c:v>
                </c:pt>
                <c:pt idx="867">
                  <c:v>-6.3764341762330824E-4</c:v>
                </c:pt>
                <c:pt idx="868">
                  <c:v>-5.7787185571035694E-4</c:v>
                </c:pt>
                <c:pt idx="869">
                  <c:v>-3.9884564686989532E-4</c:v>
                </c:pt>
                <c:pt idx="870">
                  <c:v>-6.0609259374683785E-4</c:v>
                </c:pt>
                <c:pt idx="871">
                  <c:v>-3.868173530920799E-4</c:v>
                </c:pt>
                <c:pt idx="872">
                  <c:v>-6.3164876062403159E-4</c:v>
                </c:pt>
                <c:pt idx="873">
                  <c:v>-6.2128098056688321E-4</c:v>
                </c:pt>
                <c:pt idx="874">
                  <c:v>-3.165976195390918E-4</c:v>
                </c:pt>
                <c:pt idx="875">
                  <c:v>-6.2709830494882225E-4</c:v>
                </c:pt>
                <c:pt idx="876">
                  <c:v>-2.9371787346662025E-4</c:v>
                </c:pt>
                <c:pt idx="877">
                  <c:v>-6.4904522518995111E-4</c:v>
                </c:pt>
                <c:pt idx="878">
                  <c:v>-6.5491888074739764E-4</c:v>
                </c:pt>
                <c:pt idx="879">
                  <c:v>-5.0141947573785299E-4</c:v>
                </c:pt>
                <c:pt idx="880">
                  <c:v>-5.7112824864294159E-4</c:v>
                </c:pt>
                <c:pt idx="881">
                  <c:v>-1.2394845958498297E-4</c:v>
                </c:pt>
                <c:pt idx="882">
                  <c:v>-2.5834453809803079E-4</c:v>
                </c:pt>
                <c:pt idx="883">
                  <c:v>1.7899656845700652E-4</c:v>
                </c:pt>
                <c:pt idx="884">
                  <c:v>3.3096696194541691E-4</c:v>
                </c:pt>
                <c:pt idx="885">
                  <c:v>2.9093186867104029E-4</c:v>
                </c:pt>
                <c:pt idx="886">
                  <c:v>-2.7786478996037761E-4</c:v>
                </c:pt>
                <c:pt idx="887">
                  <c:v>4.4880996120680734E-4</c:v>
                </c:pt>
                <c:pt idx="888">
                  <c:v>-1.9733543280557475E-4</c:v>
                </c:pt>
                <c:pt idx="889">
                  <c:v>-2.2985082392684627E-4</c:v>
                </c:pt>
                <c:pt idx="890">
                  <c:v>-1.47808167404457E-4</c:v>
                </c:pt>
                <c:pt idx="891">
                  <c:v>-3.4389963840956528E-4</c:v>
                </c:pt>
                <c:pt idx="892">
                  <c:v>2.9690525414732328E-4</c:v>
                </c:pt>
                <c:pt idx="893">
                  <c:v>4.0997894146975944E-4</c:v>
                </c:pt>
                <c:pt idx="894">
                  <c:v>3.1066228074518162E-4</c:v>
                </c:pt>
                <c:pt idx="895">
                  <c:v>4.8221011154198887E-5</c:v>
                </c:pt>
                <c:pt idx="896">
                  <c:v>-5.0311107042657374E-4</c:v>
                </c:pt>
                <c:pt idx="897">
                  <c:v>3.959865395098973E-5</c:v>
                </c:pt>
                <c:pt idx="898">
                  <c:v>-3.0756071892817471E-4</c:v>
                </c:pt>
                <c:pt idx="899">
                  <c:v>-5.3403937381741305E-4</c:v>
                </c:pt>
                <c:pt idx="900">
                  <c:v>-3.1034664893587511E-4</c:v>
                </c:pt>
                <c:pt idx="901">
                  <c:v>-1.2811026622162205E-4</c:v>
                </c:pt>
                <c:pt idx="902">
                  <c:v>4.4065539182806183E-4</c:v>
                </c:pt>
                <c:pt idx="903">
                  <c:v>6.1513280555270929E-4</c:v>
                </c:pt>
                <c:pt idx="904">
                  <c:v>4.7773429372645852E-4</c:v>
                </c:pt>
                <c:pt idx="905">
                  <c:v>6.7801257142830211E-4</c:v>
                </c:pt>
                <c:pt idx="906">
                  <c:v>-3.7745937762072251E-5</c:v>
                </c:pt>
                <c:pt idx="907">
                  <c:v>-9.1920319729920749E-5</c:v>
                </c:pt>
                <c:pt idx="908">
                  <c:v>6.4175565893626952E-4</c:v>
                </c:pt>
                <c:pt idx="909">
                  <c:v>2.7690348150444862E-4</c:v>
                </c:pt>
                <c:pt idx="910">
                  <c:v>5.7502826780202567E-4</c:v>
                </c:pt>
                <c:pt idx="911">
                  <c:v>5.152378015269095E-4</c:v>
                </c:pt>
                <c:pt idx="912">
                  <c:v>1.068049829357153E-4</c:v>
                </c:pt>
                <c:pt idx="913">
                  <c:v>6.5911675928666572E-4</c:v>
                </c:pt>
                <c:pt idx="914">
                  <c:v>6.8076265714095627E-5</c:v>
                </c:pt>
                <c:pt idx="915">
                  <c:v>2.7538454466472179E-4</c:v>
                </c:pt>
                <c:pt idx="916">
                  <c:v>2.502739881724297E-4</c:v>
                </c:pt>
                <c:pt idx="917">
                  <c:v>2.1370044206149005E-4</c:v>
                </c:pt>
                <c:pt idx="918">
                  <c:v>4.73405580628333E-4</c:v>
                </c:pt>
                <c:pt idx="919">
                  <c:v>2.6126068126254597E-4</c:v>
                </c:pt>
                <c:pt idx="920">
                  <c:v>-1.6920241706789882E-4</c:v>
                </c:pt>
                <c:pt idx="921">
                  <c:v>2.75453409572898E-4</c:v>
                </c:pt>
                <c:pt idx="922">
                  <c:v>-1.1276185211745753E-4</c:v>
                </c:pt>
                <c:pt idx="923">
                  <c:v>6.1938637645579461E-5</c:v>
                </c:pt>
                <c:pt idx="924">
                  <c:v>-2.6874956594488426E-4</c:v>
                </c:pt>
                <c:pt idx="925">
                  <c:v>8.9392754482970472E-5</c:v>
                </c:pt>
                <c:pt idx="926">
                  <c:v>1.6952853434267417E-4</c:v>
                </c:pt>
                <c:pt idx="927">
                  <c:v>-3.4296308581886872E-4</c:v>
                </c:pt>
                <c:pt idx="928">
                  <c:v>9.9080431152070094E-6</c:v>
                </c:pt>
                <c:pt idx="929">
                  <c:v>-2.1684687993065298E-4</c:v>
                </c:pt>
                <c:pt idx="930">
                  <c:v>3.514103244628157E-5</c:v>
                </c:pt>
                <c:pt idx="931">
                  <c:v>2.6527030994238851E-5</c:v>
                </c:pt>
                <c:pt idx="932">
                  <c:v>4.5159845151011537E-4</c:v>
                </c:pt>
                <c:pt idx="933">
                  <c:v>-5.1208729478582759E-5</c:v>
                </c:pt>
                <c:pt idx="934">
                  <c:v>4.2445247122092835E-4</c:v>
                </c:pt>
                <c:pt idx="935">
                  <c:v>5.9521812754694653E-4</c:v>
                </c:pt>
                <c:pt idx="936">
                  <c:v>1.9911409778113165E-4</c:v>
                </c:pt>
                <c:pt idx="937">
                  <c:v>3.2702094939763415E-4</c:v>
                </c:pt>
                <c:pt idx="938">
                  <c:v>4.4268631050080646E-4</c:v>
                </c:pt>
                <c:pt idx="939">
                  <c:v>3.202775149501814E-4</c:v>
                </c:pt>
                <c:pt idx="940">
                  <c:v>4.6071923432855385E-4</c:v>
                </c:pt>
                <c:pt idx="941">
                  <c:v>4.2202906252828602E-4</c:v>
                </c:pt>
                <c:pt idx="942">
                  <c:v>2.8698413587547775E-4</c:v>
                </c:pt>
                <c:pt idx="943">
                  <c:v>3.3634221073185964E-4</c:v>
                </c:pt>
                <c:pt idx="944">
                  <c:v>5.3984781164411128E-4</c:v>
                </c:pt>
                <c:pt idx="945">
                  <c:v>8.3268998907942194E-4</c:v>
                </c:pt>
                <c:pt idx="946">
                  <c:v>2.0413618191489479E-4</c:v>
                </c:pt>
                <c:pt idx="947">
                  <c:v>3.2239389781727943E-4</c:v>
                </c:pt>
                <c:pt idx="948">
                  <c:v>8.5876415587010614E-4</c:v>
                </c:pt>
                <c:pt idx="949">
                  <c:v>3.5608963934340116E-4</c:v>
                </c:pt>
                <c:pt idx="950">
                  <c:v>3.7201273921796924E-4</c:v>
                </c:pt>
                <c:pt idx="951">
                  <c:v>3.5448036875378001E-4</c:v>
                </c:pt>
                <c:pt idx="952">
                  <c:v>3.4170397373038929E-4</c:v>
                </c:pt>
                <c:pt idx="953">
                  <c:v>4.3904023885664255E-4</c:v>
                </c:pt>
                <c:pt idx="954">
                  <c:v>6.9253421776352633E-6</c:v>
                </c:pt>
                <c:pt idx="955">
                  <c:v>3.1573932204015663E-4</c:v>
                </c:pt>
                <c:pt idx="956">
                  <c:v>3.6476182511898004E-4</c:v>
                </c:pt>
                <c:pt idx="957">
                  <c:v>8.1322958271743252E-4</c:v>
                </c:pt>
                <c:pt idx="958">
                  <c:v>7.3700342780029494E-4</c:v>
                </c:pt>
                <c:pt idx="959">
                  <c:v>4.3136756503187984E-4</c:v>
                </c:pt>
                <c:pt idx="960">
                  <c:v>3.8750017587639584E-4</c:v>
                </c:pt>
                <c:pt idx="961">
                  <c:v>1.3339941346774472E-4</c:v>
                </c:pt>
                <c:pt idx="962">
                  <c:v>2.243651175604879E-4</c:v>
                </c:pt>
                <c:pt idx="963">
                  <c:v>2.9090580702030772E-4</c:v>
                </c:pt>
                <c:pt idx="964">
                  <c:v>3.7262065986244815E-4</c:v>
                </c:pt>
                <c:pt idx="965">
                  <c:v>4.6992723097612665E-4</c:v>
                </c:pt>
                <c:pt idx="966">
                  <c:v>4.0258633812488739E-5</c:v>
                </c:pt>
                <c:pt idx="967">
                  <c:v>2.4901434676199074E-4</c:v>
                </c:pt>
                <c:pt idx="968">
                  <c:v>5.404565671957342E-4</c:v>
                </c:pt>
                <c:pt idx="969">
                  <c:v>3.2571041545423378E-4</c:v>
                </c:pt>
                <c:pt idx="970">
                  <c:v>5.5470194686222285E-4</c:v>
                </c:pt>
                <c:pt idx="971">
                  <c:v>1.8785062839271879E-4</c:v>
                </c:pt>
                <c:pt idx="972">
                  <c:v>3.1576197303942504E-4</c:v>
                </c:pt>
                <c:pt idx="973">
                  <c:v>3.186249742221263E-4</c:v>
                </c:pt>
                <c:pt idx="974">
                  <c:v>5.106550048698733E-5</c:v>
                </c:pt>
                <c:pt idx="975">
                  <c:v>3.031340958900692E-4</c:v>
                </c:pt>
                <c:pt idx="976">
                  <c:v>2.2350436791712975E-4</c:v>
                </c:pt>
                <c:pt idx="977">
                  <c:v>3.4884061661533708E-4</c:v>
                </c:pt>
                <c:pt idx="978">
                  <c:v>2.6394000950934448E-4</c:v>
                </c:pt>
                <c:pt idx="979">
                  <c:v>3.800998158430916E-4</c:v>
                </c:pt>
                <c:pt idx="980">
                  <c:v>1.1183702647115538E-4</c:v>
                </c:pt>
                <c:pt idx="981">
                  <c:v>-9.2385955051877796E-5</c:v>
                </c:pt>
                <c:pt idx="982">
                  <c:v>3.0107261298447616E-4</c:v>
                </c:pt>
                <c:pt idx="983">
                  <c:v>4.378908946796932E-4</c:v>
                </c:pt>
                <c:pt idx="984">
                  <c:v>3.3208241603744124E-4</c:v>
                </c:pt>
                <c:pt idx="985">
                  <c:v>3.7284395435905531E-4</c:v>
                </c:pt>
                <c:pt idx="986">
                  <c:v>3.2128466293642111E-4</c:v>
                </c:pt>
                <c:pt idx="987">
                  <c:v>2.8309974486483104E-4</c:v>
                </c:pt>
                <c:pt idx="988">
                  <c:v>4.7164321140730578E-4</c:v>
                </c:pt>
                <c:pt idx="989">
                  <c:v>2.2285920355672275E-4</c:v>
                </c:pt>
                <c:pt idx="990">
                  <c:v>3.1907798602145808E-4</c:v>
                </c:pt>
                <c:pt idx="991">
                  <c:v>1.6522510814292372E-4</c:v>
                </c:pt>
                <c:pt idx="992">
                  <c:v>4.9406525872334876E-4</c:v>
                </c:pt>
                <c:pt idx="993">
                  <c:v>3.6370218403882377E-4</c:v>
                </c:pt>
                <c:pt idx="994">
                  <c:v>3.3188540444892723E-4</c:v>
                </c:pt>
                <c:pt idx="995">
                  <c:v>4.4108926808240044E-4</c:v>
                </c:pt>
                <c:pt idx="996">
                  <c:v>5.159162413842527E-4</c:v>
                </c:pt>
                <c:pt idx="997">
                  <c:v>2.7074039710099087E-4</c:v>
                </c:pt>
                <c:pt idx="998">
                  <c:v>5.0967462644183796E-4</c:v>
                </c:pt>
                <c:pt idx="999">
                  <c:v>4.2721954835625055E-4</c:v>
                </c:pt>
                <c:pt idx="1000">
                  <c:v>3.8506572222857835E-4</c:v>
                </c:pt>
                <c:pt idx="1001">
                  <c:v>3.7859409023244364E-4</c:v>
                </c:pt>
                <c:pt idx="1002">
                  <c:v>3.5773230335437323E-4</c:v>
                </c:pt>
                <c:pt idx="1003">
                  <c:v>4.3228213468050376E-4</c:v>
                </c:pt>
                <c:pt idx="1004">
                  <c:v>2.6034835305404887E-4</c:v>
                </c:pt>
                <c:pt idx="1005">
                  <c:v>-3.0485286235264264E-5</c:v>
                </c:pt>
                <c:pt idx="1006">
                  <c:v>-1.8758240149558306E-4</c:v>
                </c:pt>
                <c:pt idx="1007">
                  <c:v>3.3767329115239443E-4</c:v>
                </c:pt>
                <c:pt idx="1008">
                  <c:v>5.756452231860004E-5</c:v>
                </c:pt>
                <c:pt idx="1009">
                  <c:v>2.0368285845979677E-4</c:v>
                </c:pt>
                <c:pt idx="1010">
                  <c:v>-6.2723601671179475E-5</c:v>
                </c:pt>
                <c:pt idx="1011">
                  <c:v>-2.3354811564332541E-4</c:v>
                </c:pt>
                <c:pt idx="1012">
                  <c:v>-1.2827605380564354E-4</c:v>
                </c:pt>
                <c:pt idx="1013">
                  <c:v>-2.3749815512561336E-4</c:v>
                </c:pt>
                <c:pt idx="1014">
                  <c:v>-2.6994479704879116E-4</c:v>
                </c:pt>
                <c:pt idx="1015">
                  <c:v>-4.7504179829723533E-4</c:v>
                </c:pt>
                <c:pt idx="1016">
                  <c:v>-3.326133254343154E-4</c:v>
                </c:pt>
                <c:pt idx="1017">
                  <c:v>-1.1270126385587335E-4</c:v>
                </c:pt>
                <c:pt idx="1018">
                  <c:v>-1.2195798362167501E-4</c:v>
                </c:pt>
                <c:pt idx="1019">
                  <c:v>-4.3233979809418905E-4</c:v>
                </c:pt>
                <c:pt idx="1020">
                  <c:v>-4.1787595846515209E-4</c:v>
                </c:pt>
                <c:pt idx="1021">
                  <c:v>-4.2872074294232593E-4</c:v>
                </c:pt>
                <c:pt idx="1022">
                  <c:v>-3.5584263426895668E-4</c:v>
                </c:pt>
                <c:pt idx="1023">
                  <c:v>-3.211792272012391E-4</c:v>
                </c:pt>
                <c:pt idx="1024">
                  <c:v>1.3908940691835936E-5</c:v>
                </c:pt>
                <c:pt idx="1025">
                  <c:v>-1.298240403430081E-4</c:v>
                </c:pt>
                <c:pt idx="1026">
                  <c:v>2.8913548448993124E-4</c:v>
                </c:pt>
                <c:pt idx="1027">
                  <c:v>4.8566631293410798E-4</c:v>
                </c:pt>
                <c:pt idx="1028">
                  <c:v>6.5048947510291111E-5</c:v>
                </c:pt>
                <c:pt idx="1029">
                  <c:v>1.2503267317585847E-4</c:v>
                </c:pt>
                <c:pt idx="1030">
                  <c:v>3.6830872976797291E-4</c:v>
                </c:pt>
                <c:pt idx="1031">
                  <c:v>3.1911067330622295E-4</c:v>
                </c:pt>
                <c:pt idx="1032">
                  <c:v>-7.0224138770561342E-4</c:v>
                </c:pt>
                <c:pt idx="1033">
                  <c:v>-7.5249802651452819E-4</c:v>
                </c:pt>
                <c:pt idx="1034">
                  <c:v>-3.6101745727938226E-4</c:v>
                </c:pt>
                <c:pt idx="1035">
                  <c:v>-3.9032413668484481E-4</c:v>
                </c:pt>
                <c:pt idx="1036">
                  <c:v>-1.5594177504740751E-4</c:v>
                </c:pt>
                <c:pt idx="1037">
                  <c:v>-6.504126601368529E-4</c:v>
                </c:pt>
                <c:pt idx="1038">
                  <c:v>-6.9979458515693756E-4</c:v>
                </c:pt>
                <c:pt idx="1039">
                  <c:v>-3.9353290526220454E-4</c:v>
                </c:pt>
                <c:pt idx="1040">
                  <c:v>-8.7965268603157419E-4</c:v>
                </c:pt>
                <c:pt idx="1041">
                  <c:v>-5.3012433216936567E-4</c:v>
                </c:pt>
                <c:pt idx="1042">
                  <c:v>-1.416082716665329E-4</c:v>
                </c:pt>
                <c:pt idx="1043">
                  <c:v>-9.2361123900072054E-4</c:v>
                </c:pt>
                <c:pt idx="1044">
                  <c:v>-2.7427449499455145E-4</c:v>
                </c:pt>
                <c:pt idx="1045">
                  <c:v>-5.6457196388413997E-4</c:v>
                </c:pt>
                <c:pt idx="1046">
                  <c:v>-4.249454170744405E-4</c:v>
                </c:pt>
                <c:pt idx="1047">
                  <c:v>-7.7718444004302968E-4</c:v>
                </c:pt>
                <c:pt idx="1048">
                  <c:v>-3.8148133858020297E-4</c:v>
                </c:pt>
                <c:pt idx="1049">
                  <c:v>-5.2657620827288056E-4</c:v>
                </c:pt>
                <c:pt idx="1050">
                  <c:v>-7.931481422855691E-4</c:v>
                </c:pt>
                <c:pt idx="1051">
                  <c:v>-8.8338711784425889E-4</c:v>
                </c:pt>
                <c:pt idx="1052">
                  <c:v>-8.3842016077087511E-4</c:v>
                </c:pt>
                <c:pt idx="1053">
                  <c:v>-9.0257982986516479E-4</c:v>
                </c:pt>
                <c:pt idx="1054">
                  <c:v>-8.1855610952638125E-4</c:v>
                </c:pt>
                <c:pt idx="1055">
                  <c:v>-8.8213935959141675E-4</c:v>
                </c:pt>
                <c:pt idx="1056">
                  <c:v>-1.0404050518217636E-3</c:v>
                </c:pt>
                <c:pt idx="1057">
                  <c:v>-8.9492877158813347E-4</c:v>
                </c:pt>
                <c:pt idx="1058">
                  <c:v>-4.343665139035182E-4</c:v>
                </c:pt>
                <c:pt idx="1059">
                  <c:v>-8.3974294033918714E-4</c:v>
                </c:pt>
                <c:pt idx="1060">
                  <c:v>-1.0546147686240331E-3</c:v>
                </c:pt>
                <c:pt idx="1061">
                  <c:v>-6.6755318593792552E-4</c:v>
                </c:pt>
                <c:pt idx="1062">
                  <c:v>-1.4193969063741672E-4</c:v>
                </c:pt>
                <c:pt idx="1063">
                  <c:v>-7.4721509068638621E-5</c:v>
                </c:pt>
                <c:pt idx="1064">
                  <c:v>-3.8306019542896859E-4</c:v>
                </c:pt>
                <c:pt idx="1065">
                  <c:v>-1.1973553993265119E-4</c:v>
                </c:pt>
                <c:pt idx="1066">
                  <c:v>-3.7992355210606069E-4</c:v>
                </c:pt>
                <c:pt idx="1067">
                  <c:v>-6.8069909776996519E-4</c:v>
                </c:pt>
                <c:pt idx="1068">
                  <c:v>-5.0265440045225919E-4</c:v>
                </c:pt>
                <c:pt idx="1069">
                  <c:v>-3.0520550878993403E-4</c:v>
                </c:pt>
                <c:pt idx="1070">
                  <c:v>4.4778872805506624E-5</c:v>
                </c:pt>
                <c:pt idx="1071">
                  <c:v>1.2176386378545711E-4</c:v>
                </c:pt>
                <c:pt idx="1072">
                  <c:v>4.1266888615646417E-4</c:v>
                </c:pt>
                <c:pt idx="1073">
                  <c:v>5.0320941179072881E-4</c:v>
                </c:pt>
                <c:pt idx="1074">
                  <c:v>1.5215708199073802E-4</c:v>
                </c:pt>
                <c:pt idx="1075">
                  <c:v>7.1869868281868143E-5</c:v>
                </c:pt>
                <c:pt idx="1076">
                  <c:v>2.5728939622294437E-6</c:v>
                </c:pt>
                <c:pt idx="1077">
                  <c:v>3.2497461286538968E-6</c:v>
                </c:pt>
                <c:pt idx="1078">
                  <c:v>2.6573672774169181E-4</c:v>
                </c:pt>
                <c:pt idx="1079">
                  <c:v>5.4771008391111273E-5</c:v>
                </c:pt>
                <c:pt idx="1080">
                  <c:v>-5.8658654208449342E-5</c:v>
                </c:pt>
                <c:pt idx="1081">
                  <c:v>1.8508663374090011E-4</c:v>
                </c:pt>
                <c:pt idx="1082">
                  <c:v>4.9069185134400683E-5</c:v>
                </c:pt>
                <c:pt idx="1083">
                  <c:v>6.2308392244530056E-5</c:v>
                </c:pt>
                <c:pt idx="1084">
                  <c:v>-4.2960091530145241E-5</c:v>
                </c:pt>
                <c:pt idx="1085">
                  <c:v>-1.6765119032948012E-4</c:v>
                </c:pt>
                <c:pt idx="1086">
                  <c:v>-3.8215161099756181E-5</c:v>
                </c:pt>
                <c:pt idx="1087">
                  <c:v>9.4704851117958711E-5</c:v>
                </c:pt>
                <c:pt idx="1088">
                  <c:v>2.6133000729758511E-4</c:v>
                </c:pt>
                <c:pt idx="1089">
                  <c:v>1.3594720902372891E-4</c:v>
                </c:pt>
                <c:pt idx="1090">
                  <c:v>2.3322422063814548E-4</c:v>
                </c:pt>
                <c:pt idx="1091">
                  <c:v>1.4108147250435204E-4</c:v>
                </c:pt>
                <c:pt idx="1092">
                  <c:v>3.7486209949991666E-4</c:v>
                </c:pt>
                <c:pt idx="1093">
                  <c:v>2.842115987413115E-4</c:v>
                </c:pt>
                <c:pt idx="1094">
                  <c:v>5.8003838415769779E-4</c:v>
                </c:pt>
                <c:pt idx="1095">
                  <c:v>3.5405206520157715E-4</c:v>
                </c:pt>
                <c:pt idx="1096">
                  <c:v>2.6781876040108809E-4</c:v>
                </c:pt>
                <c:pt idx="1097">
                  <c:v>5.8932402021239557E-4</c:v>
                </c:pt>
                <c:pt idx="1098">
                  <c:v>3.5616663598830124E-4</c:v>
                </c:pt>
                <c:pt idx="1099">
                  <c:v>2.3570988445229568E-4</c:v>
                </c:pt>
                <c:pt idx="1100">
                  <c:v>2.3342333102344042E-4</c:v>
                </c:pt>
                <c:pt idx="1101">
                  <c:v>-3.0070879081053577E-4</c:v>
                </c:pt>
                <c:pt idx="1102">
                  <c:v>-8.6899890765902569E-4</c:v>
                </c:pt>
                <c:pt idx="1103">
                  <c:v>-3.4676114764350512E-4</c:v>
                </c:pt>
                <c:pt idx="1104">
                  <c:v>1.0469099525962377E-4</c:v>
                </c:pt>
                <c:pt idx="1105">
                  <c:v>7.4151531763052471E-5</c:v>
                </c:pt>
                <c:pt idx="1106">
                  <c:v>4.2715918915378458E-4</c:v>
                </c:pt>
                <c:pt idx="1107">
                  <c:v>2.1503062538217509E-4</c:v>
                </c:pt>
                <c:pt idx="1108">
                  <c:v>5.2317322967302695E-4</c:v>
                </c:pt>
                <c:pt idx="1109">
                  <c:v>5.7759939152198241E-4</c:v>
                </c:pt>
                <c:pt idx="1110">
                  <c:v>2.686928824309179E-4</c:v>
                </c:pt>
                <c:pt idx="1111">
                  <c:v>-1.3195412594385937E-6</c:v>
                </c:pt>
                <c:pt idx="1112">
                  <c:v>3.0962386061038507E-4</c:v>
                </c:pt>
                <c:pt idx="1113">
                  <c:v>3.6557017033682311E-4</c:v>
                </c:pt>
                <c:pt idx="1114">
                  <c:v>3.7544934946501539E-4</c:v>
                </c:pt>
                <c:pt idx="1115">
                  <c:v>3.0194312012898341E-4</c:v>
                </c:pt>
                <c:pt idx="1116">
                  <c:v>3.4259022255610683E-4</c:v>
                </c:pt>
                <c:pt idx="1117">
                  <c:v>5.888839715735239E-4</c:v>
                </c:pt>
                <c:pt idx="1118">
                  <c:v>4.8039421369444417E-4</c:v>
                </c:pt>
                <c:pt idx="1119">
                  <c:v>4.5775902517141695E-4</c:v>
                </c:pt>
                <c:pt idx="1120">
                  <c:v>3.0383112352590761E-4</c:v>
                </c:pt>
                <c:pt idx="1121">
                  <c:v>4.1502742486851233E-4</c:v>
                </c:pt>
                <c:pt idx="1122">
                  <c:v>2.0007766818152896E-4</c:v>
                </c:pt>
                <c:pt idx="1123">
                  <c:v>1.6677970706792402E-4</c:v>
                </c:pt>
                <c:pt idx="1124">
                  <c:v>4.0021372219456962E-4</c:v>
                </c:pt>
                <c:pt idx="1125">
                  <c:v>4.2855019238073589E-4</c:v>
                </c:pt>
                <c:pt idx="1126">
                  <c:v>3.503807808624208E-4</c:v>
                </c:pt>
                <c:pt idx="1127">
                  <c:v>2.9549542414575736E-4</c:v>
                </c:pt>
                <c:pt idx="1128">
                  <c:v>4.9296683581312927E-4</c:v>
                </c:pt>
                <c:pt idx="1129">
                  <c:v>4.1535673417704845E-4</c:v>
                </c:pt>
                <c:pt idx="1130">
                  <c:v>3.3736592837574711E-4</c:v>
                </c:pt>
                <c:pt idx="1131">
                  <c:v>1.6805215698072028E-4</c:v>
                </c:pt>
                <c:pt idx="1132">
                  <c:v>3.2102683946399417E-4</c:v>
                </c:pt>
                <c:pt idx="1133">
                  <c:v>2.3562365353363784E-4</c:v>
                </c:pt>
                <c:pt idx="1134">
                  <c:v>1.9522773938301469E-4</c:v>
                </c:pt>
                <c:pt idx="1135">
                  <c:v>-2.777076831514444E-3</c:v>
                </c:pt>
                <c:pt idx="1136">
                  <c:v>-4.9958415293629077E-4</c:v>
                </c:pt>
                <c:pt idx="1137">
                  <c:v>-6.5847437363408053E-4</c:v>
                </c:pt>
                <c:pt idx="1138">
                  <c:v>-5.7197618762902123E-4</c:v>
                </c:pt>
                <c:pt idx="1139">
                  <c:v>-5.3550630628906718E-4</c:v>
                </c:pt>
                <c:pt idx="1140">
                  <c:v>-8.3140613954516506E-4</c:v>
                </c:pt>
                <c:pt idx="1141">
                  <c:v>-5.1394012439771116E-4</c:v>
                </c:pt>
                <c:pt idx="1142">
                  <c:v>4.4896531604326405E-4</c:v>
                </c:pt>
                <c:pt idx="1143">
                  <c:v>5.416608492140177E-4</c:v>
                </c:pt>
                <c:pt idx="1144">
                  <c:v>5.5115119375799451E-4</c:v>
                </c:pt>
                <c:pt idx="1145">
                  <c:v>4.6344397899907182E-4</c:v>
                </c:pt>
                <c:pt idx="1146">
                  <c:v>8.7743531931874319E-4</c:v>
                </c:pt>
                <c:pt idx="1147">
                  <c:v>6.7976169024803069E-4</c:v>
                </c:pt>
                <c:pt idx="1148">
                  <c:v>5.5471223576092539E-4</c:v>
                </c:pt>
                <c:pt idx="1149">
                  <c:v>7.9052705075866492E-4</c:v>
                </c:pt>
                <c:pt idx="1150">
                  <c:v>4.5225141392124985E-4</c:v>
                </c:pt>
                <c:pt idx="1151">
                  <c:v>1.4444385997912479E-4</c:v>
                </c:pt>
                <c:pt idx="1152">
                  <c:v>2.4915215144619146E-4</c:v>
                </c:pt>
                <c:pt idx="1153">
                  <c:v>3.7879439534904469E-4</c:v>
                </c:pt>
                <c:pt idx="1154">
                  <c:v>4.5004372544388575E-4</c:v>
                </c:pt>
                <c:pt idx="1155">
                  <c:v>3.3974272142277035E-4</c:v>
                </c:pt>
                <c:pt idx="1156">
                  <c:v>6.022136986390793E-4</c:v>
                </c:pt>
                <c:pt idx="1157">
                  <c:v>3.234984069299488E-4</c:v>
                </c:pt>
                <c:pt idx="1158">
                  <c:v>5.8053644797725196E-4</c:v>
                </c:pt>
                <c:pt idx="1159">
                  <c:v>4.7740017033965964E-4</c:v>
                </c:pt>
                <c:pt idx="1160">
                  <c:v>5.3100586849779688E-4</c:v>
                </c:pt>
                <c:pt idx="1161">
                  <c:v>3.8746296721513197E-4</c:v>
                </c:pt>
                <c:pt idx="1162">
                  <c:v>3.4043922128144954E-4</c:v>
                </c:pt>
                <c:pt idx="1163">
                  <c:v>4.4242566700273688E-4</c:v>
                </c:pt>
                <c:pt idx="1164">
                  <c:v>3.7337756056762258E-4</c:v>
                </c:pt>
                <c:pt idx="1165">
                  <c:v>5.1612065139111261E-4</c:v>
                </c:pt>
                <c:pt idx="1166">
                  <c:v>2.9800676675647777E-4</c:v>
                </c:pt>
                <c:pt idx="1167">
                  <c:v>2.5165748592291212E-4</c:v>
                </c:pt>
                <c:pt idx="1168">
                  <c:v>3.9489457809260017E-4</c:v>
                </c:pt>
                <c:pt idx="1169">
                  <c:v>2.12962984490209E-4</c:v>
                </c:pt>
                <c:pt idx="1170">
                  <c:v>4.1868576462766578E-4</c:v>
                </c:pt>
                <c:pt idx="1171">
                  <c:v>3.4993131970492144E-4</c:v>
                </c:pt>
                <c:pt idx="1172">
                  <c:v>3.9670153742622755E-4</c:v>
                </c:pt>
                <c:pt idx="1173">
                  <c:v>3.3984801493195364E-4</c:v>
                </c:pt>
                <c:pt idx="1174">
                  <c:v>5.0865411905063782E-4</c:v>
                </c:pt>
                <c:pt idx="1175">
                  <c:v>2.7160791054474441E-4</c:v>
                </c:pt>
                <c:pt idx="1176">
                  <c:v>4.2840104759993514E-4</c:v>
                </c:pt>
                <c:pt idx="1177">
                  <c:v>5.1735375103677966E-4</c:v>
                </c:pt>
                <c:pt idx="1178">
                  <c:v>4.6700563134098111E-4</c:v>
                </c:pt>
                <c:pt idx="1179">
                  <c:v>4.6936967376772707E-4</c:v>
                </c:pt>
                <c:pt idx="1180">
                  <c:v>5.8607657999240376E-4</c:v>
                </c:pt>
                <c:pt idx="1181">
                  <c:v>3.0165931583840271E-4</c:v>
                </c:pt>
                <c:pt idx="1182">
                  <c:v>5.0045526267465223E-4</c:v>
                </c:pt>
                <c:pt idx="1183">
                  <c:v>3.5769964964260567E-4</c:v>
                </c:pt>
                <c:pt idx="1184">
                  <c:v>4.7100052756719805E-4</c:v>
                </c:pt>
                <c:pt idx="1185">
                  <c:v>4.4992927304870865E-4</c:v>
                </c:pt>
                <c:pt idx="1186">
                  <c:v>4.8289763018260329E-4</c:v>
                </c:pt>
                <c:pt idx="1187">
                  <c:v>5.7974241867022507E-4</c:v>
                </c:pt>
                <c:pt idx="1188">
                  <c:v>3.3960951191576438E-4</c:v>
                </c:pt>
                <c:pt idx="1189">
                  <c:v>3.8182617014202632E-4</c:v>
                </c:pt>
                <c:pt idx="1190">
                  <c:v>5.2566183586161665E-4</c:v>
                </c:pt>
                <c:pt idx="1191">
                  <c:v>4.0121027865205525E-4</c:v>
                </c:pt>
                <c:pt idx="1192">
                  <c:v>6.2011937142786473E-4</c:v>
                </c:pt>
                <c:pt idx="1193">
                  <c:v>4.5961153747274785E-4</c:v>
                </c:pt>
                <c:pt idx="1194">
                  <c:v>5.8776066505946594E-4</c:v>
                </c:pt>
                <c:pt idx="1195">
                  <c:v>2.3766393581167326E-4</c:v>
                </c:pt>
                <c:pt idx="1196">
                  <c:v>3.5285274920292731E-4</c:v>
                </c:pt>
                <c:pt idx="1197">
                  <c:v>3.0782393587281792E-4</c:v>
                </c:pt>
                <c:pt idx="1198">
                  <c:v>2.9808567631523707E-4</c:v>
                </c:pt>
                <c:pt idx="1199">
                  <c:v>5.0001401356775674E-4</c:v>
                </c:pt>
                <c:pt idx="1200">
                  <c:v>5.4478154296550224E-4</c:v>
                </c:pt>
                <c:pt idx="1201">
                  <c:v>5.9209689026702098E-4</c:v>
                </c:pt>
                <c:pt idx="1202">
                  <c:v>2.2410232609968529E-4</c:v>
                </c:pt>
                <c:pt idx="1203">
                  <c:v>4.5306443461155994E-4</c:v>
                </c:pt>
                <c:pt idx="1204">
                  <c:v>4.0206399394310607E-4</c:v>
                </c:pt>
                <c:pt idx="1205">
                  <c:v>3.2174290902194915E-4</c:v>
                </c:pt>
                <c:pt idx="1206">
                  <c:v>2.1519412970231216E-4</c:v>
                </c:pt>
                <c:pt idx="1207">
                  <c:v>3.703956205319175E-4</c:v>
                </c:pt>
                <c:pt idx="1208">
                  <c:v>4.900633822669954E-4</c:v>
                </c:pt>
                <c:pt idx="1209">
                  <c:v>5.5777577001467707E-4</c:v>
                </c:pt>
                <c:pt idx="1210">
                  <c:v>4.6240038270482157E-4</c:v>
                </c:pt>
                <c:pt idx="1211">
                  <c:v>2.4639521896832335E-4</c:v>
                </c:pt>
                <c:pt idx="1212">
                  <c:v>5.48898581512445E-4</c:v>
                </c:pt>
                <c:pt idx="1213">
                  <c:v>3.7102435046277741E-4</c:v>
                </c:pt>
                <c:pt idx="1214">
                  <c:v>1.8941471664229881E-4</c:v>
                </c:pt>
                <c:pt idx="1215">
                  <c:v>1.8426494172450093E-4</c:v>
                </c:pt>
                <c:pt idx="1216">
                  <c:v>3.6666959845691003E-4</c:v>
                </c:pt>
                <c:pt idx="1217">
                  <c:v>4.3515480825816796E-4</c:v>
                </c:pt>
                <c:pt idx="1218">
                  <c:v>2.9479330625843746E-4</c:v>
                </c:pt>
                <c:pt idx="1219">
                  <c:v>4.7590140141106632E-4</c:v>
                </c:pt>
                <c:pt idx="1220">
                  <c:v>4.6436389449864494E-4</c:v>
                </c:pt>
                <c:pt idx="1221">
                  <c:v>3.4208661955068985E-4</c:v>
                </c:pt>
                <c:pt idx="1222">
                  <c:v>4.2772628104527816E-4</c:v>
                </c:pt>
                <c:pt idx="1223">
                  <c:v>5.3180884672190845E-4</c:v>
                </c:pt>
                <c:pt idx="1224">
                  <c:v>3.925131643999736E-4</c:v>
                </c:pt>
                <c:pt idx="1225">
                  <c:v>3.1398335913973113E-4</c:v>
                </c:pt>
                <c:pt idx="1226">
                  <c:v>3.9382486959946462E-4</c:v>
                </c:pt>
                <c:pt idx="1227">
                  <c:v>3.8533110467111459E-4</c:v>
                </c:pt>
                <c:pt idx="1228">
                  <c:v>4.0672474295916377E-4</c:v>
                </c:pt>
                <c:pt idx="1229">
                  <c:v>2.4077779346508708E-4</c:v>
                </c:pt>
                <c:pt idx="1230">
                  <c:v>2.5824581216954927E-4</c:v>
                </c:pt>
                <c:pt idx="1231">
                  <c:v>4.5346149966627467E-4</c:v>
                </c:pt>
                <c:pt idx="1232">
                  <c:v>7.0691156271303704E-4</c:v>
                </c:pt>
                <c:pt idx="1233">
                  <c:v>4.1129483308051346E-4</c:v>
                </c:pt>
                <c:pt idx="1234">
                  <c:v>4.0237207346867896E-4</c:v>
                </c:pt>
                <c:pt idx="1235">
                  <c:v>5.8306022516346106E-4</c:v>
                </c:pt>
                <c:pt idx="1236">
                  <c:v>6.4217665248521023E-4</c:v>
                </c:pt>
                <c:pt idx="1237">
                  <c:v>3.1820654661864463E-4</c:v>
                </c:pt>
                <c:pt idx="1238">
                  <c:v>5.2303313928993018E-4</c:v>
                </c:pt>
                <c:pt idx="1239">
                  <c:v>4.4132002782063765E-4</c:v>
                </c:pt>
                <c:pt idx="1240">
                  <c:v>4.2401018306657926E-4</c:v>
                </c:pt>
                <c:pt idx="1241">
                  <c:v>4.0254792101295878E-4</c:v>
                </c:pt>
                <c:pt idx="1242">
                  <c:v>3.1708093315201282E-4</c:v>
                </c:pt>
                <c:pt idx="1243">
                  <c:v>6.10386881040754E-4</c:v>
                </c:pt>
                <c:pt idx="1244">
                  <c:v>6.3254961593710215E-4</c:v>
                </c:pt>
                <c:pt idx="1245">
                  <c:v>3.7319006196867322E-4</c:v>
                </c:pt>
                <c:pt idx="1246">
                  <c:v>5.9134352050006442E-4</c:v>
                </c:pt>
                <c:pt idx="1247">
                  <c:v>4.4253856270550543E-4</c:v>
                </c:pt>
                <c:pt idx="1248">
                  <c:v>5.5790966263404615E-4</c:v>
                </c:pt>
                <c:pt idx="1249">
                  <c:v>4.6414683007866354E-4</c:v>
                </c:pt>
                <c:pt idx="1250">
                  <c:v>6.209748468194178E-4</c:v>
                </c:pt>
                <c:pt idx="1251">
                  <c:v>4.1790984131976001E-4</c:v>
                </c:pt>
                <c:pt idx="1252">
                  <c:v>5.4356529659318282E-4</c:v>
                </c:pt>
                <c:pt idx="1253">
                  <c:v>3.5691191070701063E-4</c:v>
                </c:pt>
                <c:pt idx="1254">
                  <c:v>5.7504018007733051E-4</c:v>
                </c:pt>
                <c:pt idx="1255">
                  <c:v>5.3695896670270305E-4</c:v>
                </c:pt>
                <c:pt idx="1256">
                  <c:v>4.2071355727891547E-4</c:v>
                </c:pt>
                <c:pt idx="1257">
                  <c:v>4.0172703288675105E-4</c:v>
                </c:pt>
                <c:pt idx="1258">
                  <c:v>5.4341629320566419E-4</c:v>
                </c:pt>
                <c:pt idx="1259">
                  <c:v>3.8646467557257427E-4</c:v>
                </c:pt>
                <c:pt idx="1260">
                  <c:v>3.6324285344123446E-4</c:v>
                </c:pt>
                <c:pt idx="1261">
                  <c:v>4.0776835803672958E-4</c:v>
                </c:pt>
                <c:pt idx="1262">
                  <c:v>3.6068301619206629E-4</c:v>
                </c:pt>
                <c:pt idx="1263">
                  <c:v>4.1610570755001066E-4</c:v>
                </c:pt>
                <c:pt idx="1264">
                  <c:v>4.8878469435127908E-4</c:v>
                </c:pt>
                <c:pt idx="1265">
                  <c:v>5.4767035712274673E-4</c:v>
                </c:pt>
                <c:pt idx="1266">
                  <c:v>4.3589527634169632E-4</c:v>
                </c:pt>
                <c:pt idx="1267">
                  <c:v>5.1320425291733829E-4</c:v>
                </c:pt>
                <c:pt idx="1268">
                  <c:v>5.2683658751121159E-4</c:v>
                </c:pt>
                <c:pt idx="1269">
                  <c:v>4.3263311220193603E-4</c:v>
                </c:pt>
                <c:pt idx="1270">
                  <c:v>3.6062380743805237E-4</c:v>
                </c:pt>
                <c:pt idx="1271">
                  <c:v>3.8901026269753616E-4</c:v>
                </c:pt>
                <c:pt idx="1272">
                  <c:v>4.6236176397803388E-4</c:v>
                </c:pt>
                <c:pt idx="1273">
                  <c:v>3.9768659932012219E-4</c:v>
                </c:pt>
                <c:pt idx="1274">
                  <c:v>4.9340185012510483E-4</c:v>
                </c:pt>
                <c:pt idx="1275">
                  <c:v>2.7528263554800161E-4</c:v>
                </c:pt>
                <c:pt idx="1276">
                  <c:v>2.4634091663906777E-4</c:v>
                </c:pt>
                <c:pt idx="1277">
                  <c:v>6.2506001384695145E-4</c:v>
                </c:pt>
                <c:pt idx="1278">
                  <c:v>-3.6223865601337489E-4</c:v>
                </c:pt>
                <c:pt idx="1279">
                  <c:v>-3.4665192845475032E-4</c:v>
                </c:pt>
                <c:pt idx="1280">
                  <c:v>-2.3674568712998563E-5</c:v>
                </c:pt>
                <c:pt idx="1281">
                  <c:v>1.7112599547757345E-4</c:v>
                </c:pt>
                <c:pt idx="1282">
                  <c:v>5.1151932620466835E-5</c:v>
                </c:pt>
                <c:pt idx="1283">
                  <c:v>-4.0066957905389584E-5</c:v>
                </c:pt>
                <c:pt idx="1284">
                  <c:v>-2.1021936765767353E-4</c:v>
                </c:pt>
                <c:pt idx="1285">
                  <c:v>-1.6522644688957844E-4</c:v>
                </c:pt>
                <c:pt idx="1286">
                  <c:v>-6.79902324970127E-4</c:v>
                </c:pt>
                <c:pt idx="1287">
                  <c:v>8.4122846576410951E-6</c:v>
                </c:pt>
                <c:pt idx="1288">
                  <c:v>1.7616828828930753E-4</c:v>
                </c:pt>
                <c:pt idx="1289">
                  <c:v>-5.6843997644224597E-4</c:v>
                </c:pt>
                <c:pt idx="1290">
                  <c:v>-2.9412167316432924E-5</c:v>
                </c:pt>
                <c:pt idx="1291">
                  <c:v>-6.34988226207824E-5</c:v>
                </c:pt>
                <c:pt idx="1292">
                  <c:v>3.9967407644847808E-5</c:v>
                </c:pt>
                <c:pt idx="1293">
                  <c:v>2.049668299525227E-4</c:v>
                </c:pt>
                <c:pt idx="1294">
                  <c:v>1.2032003391993208E-4</c:v>
                </c:pt>
                <c:pt idx="1295">
                  <c:v>1.0884185367766955E-4</c:v>
                </c:pt>
                <c:pt idx="1296">
                  <c:v>2.0826036533038995E-4</c:v>
                </c:pt>
                <c:pt idx="1297">
                  <c:v>2.9088096250557815E-4</c:v>
                </c:pt>
                <c:pt idx="1298">
                  <c:v>4.0892820525728217E-4</c:v>
                </c:pt>
                <c:pt idx="1299">
                  <c:v>2.3293605826577932E-4</c:v>
                </c:pt>
                <c:pt idx="1300">
                  <c:v>1.2135006548807931E-4</c:v>
                </c:pt>
                <c:pt idx="1301">
                  <c:v>2.3911450403884819E-4</c:v>
                </c:pt>
                <c:pt idx="1302">
                  <c:v>2.2780932667617779E-4</c:v>
                </c:pt>
                <c:pt idx="1303">
                  <c:v>2.7114656735117916E-4</c:v>
                </c:pt>
                <c:pt idx="1304">
                  <c:v>-3.1004703816785326E-5</c:v>
                </c:pt>
                <c:pt idx="1305">
                  <c:v>2.9567137186252386E-4</c:v>
                </c:pt>
                <c:pt idx="1306">
                  <c:v>-1.1446086381136061E-4</c:v>
                </c:pt>
                <c:pt idx="1307">
                  <c:v>1.2803248477653156E-4</c:v>
                </c:pt>
                <c:pt idx="1308">
                  <c:v>9.0750971902956291E-5</c:v>
                </c:pt>
                <c:pt idx="1309">
                  <c:v>9.2297162293142928E-5</c:v>
                </c:pt>
                <c:pt idx="1310">
                  <c:v>3.3304054557314905E-4</c:v>
                </c:pt>
                <c:pt idx="1311">
                  <c:v>4.10869264221567E-4</c:v>
                </c:pt>
                <c:pt idx="1312">
                  <c:v>3.9969497182253756E-4</c:v>
                </c:pt>
                <c:pt idx="1313">
                  <c:v>5.8432501151933314E-4</c:v>
                </c:pt>
                <c:pt idx="1314">
                  <c:v>2.6876316800670251E-4</c:v>
                </c:pt>
                <c:pt idx="1315">
                  <c:v>4.7900486131501182E-4</c:v>
                </c:pt>
                <c:pt idx="1316">
                  <c:v>2.5271552973332441E-4</c:v>
                </c:pt>
                <c:pt idx="1317">
                  <c:v>2.3240392264499044E-4</c:v>
                </c:pt>
                <c:pt idx="1318">
                  <c:v>-1.5015905122139445E-4</c:v>
                </c:pt>
                <c:pt idx="1319">
                  <c:v>-3.1128916664180519E-4</c:v>
                </c:pt>
                <c:pt idx="1320">
                  <c:v>3.7247842653899958E-4</c:v>
                </c:pt>
                <c:pt idx="1321">
                  <c:v>3.6968788204532778E-4</c:v>
                </c:pt>
                <c:pt idx="1322">
                  <c:v>3.448980728316879E-4</c:v>
                </c:pt>
                <c:pt idx="1323">
                  <c:v>3.843312725391672E-4</c:v>
                </c:pt>
                <c:pt idx="1324">
                  <c:v>4.012695763847959E-4</c:v>
                </c:pt>
                <c:pt idx="1325">
                  <c:v>4.2562760740534546E-4</c:v>
                </c:pt>
                <c:pt idx="1326">
                  <c:v>4.2276868237422713E-4</c:v>
                </c:pt>
                <c:pt idx="1327">
                  <c:v>5.0491531859924745E-4</c:v>
                </c:pt>
                <c:pt idx="1328">
                  <c:v>5.8181994830985384E-4</c:v>
                </c:pt>
                <c:pt idx="1329">
                  <c:v>5.3271528626283018E-4</c:v>
                </c:pt>
                <c:pt idx="1330">
                  <c:v>5.9341728692294856E-4</c:v>
                </c:pt>
                <c:pt idx="1331">
                  <c:v>3.041218773611054E-4</c:v>
                </c:pt>
                <c:pt idx="1332">
                  <c:v>4.5870746355548521E-4</c:v>
                </c:pt>
                <c:pt idx="1333">
                  <c:v>4.3188747386780783E-4</c:v>
                </c:pt>
                <c:pt idx="1334">
                  <c:v>3.309513922029573E-4</c:v>
                </c:pt>
                <c:pt idx="1335">
                  <c:v>3.3038346083628012E-4</c:v>
                </c:pt>
                <c:pt idx="1336">
                  <c:v>3.1720409075950269E-4</c:v>
                </c:pt>
                <c:pt idx="1337">
                  <c:v>3.625331321052323E-4</c:v>
                </c:pt>
                <c:pt idx="1338">
                  <c:v>3.9506475117626419E-4</c:v>
                </c:pt>
                <c:pt idx="1339">
                  <c:v>3.1302633600146054E-4</c:v>
                </c:pt>
                <c:pt idx="1340">
                  <c:v>1.7571601197026082E-4</c:v>
                </c:pt>
                <c:pt idx="1341">
                  <c:v>1.0936583708065859E-4</c:v>
                </c:pt>
                <c:pt idx="1342">
                  <c:v>4.7147475497371635E-4</c:v>
                </c:pt>
                <c:pt idx="1343">
                  <c:v>4.2730295646060674E-4</c:v>
                </c:pt>
                <c:pt idx="1344">
                  <c:v>3.0783784811835797E-4</c:v>
                </c:pt>
                <c:pt idx="1345">
                  <c:v>3.8860128608778576E-4</c:v>
                </c:pt>
                <c:pt idx="1346">
                  <c:v>4.0479039895946169E-4</c:v>
                </c:pt>
                <c:pt idx="1347">
                  <c:v>3.7016525689760268E-4</c:v>
                </c:pt>
                <c:pt idx="1348">
                  <c:v>5.4270862515332779E-4</c:v>
                </c:pt>
                <c:pt idx="1349">
                  <c:v>3.2802613367639703E-4</c:v>
                </c:pt>
                <c:pt idx="1350">
                  <c:v>2.1552271185463484E-4</c:v>
                </c:pt>
                <c:pt idx="1351">
                  <c:v>3.4824957027071798E-4</c:v>
                </c:pt>
                <c:pt idx="1352">
                  <c:v>3.2108690130858972E-4</c:v>
                </c:pt>
                <c:pt idx="1353">
                  <c:v>4.0710410908875895E-4</c:v>
                </c:pt>
                <c:pt idx="1354">
                  <c:v>4.0336928489605693E-4</c:v>
                </c:pt>
                <c:pt idx="1355">
                  <c:v>3.9301996441280904E-4</c:v>
                </c:pt>
                <c:pt idx="1356">
                  <c:v>3.625442272674262E-4</c:v>
                </c:pt>
                <c:pt idx="1357">
                  <c:v>2.9315637127075316E-4</c:v>
                </c:pt>
                <c:pt idx="1358">
                  <c:v>5.4786111557704811E-4</c:v>
                </c:pt>
                <c:pt idx="1359">
                  <c:v>2.9366661884869694E-4</c:v>
                </c:pt>
                <c:pt idx="1360">
                  <c:v>4.8151885448339301E-4</c:v>
                </c:pt>
                <c:pt idx="1361">
                  <c:v>8.9163198844045193E-5</c:v>
                </c:pt>
                <c:pt idx="1362">
                  <c:v>4.1318708725847971E-4</c:v>
                </c:pt>
                <c:pt idx="1363">
                  <c:v>4.4383795167538947E-4</c:v>
                </c:pt>
                <c:pt idx="1364">
                  <c:v>4.5460633081252937E-4</c:v>
                </c:pt>
                <c:pt idx="1365">
                  <c:v>4.2024369315829269E-4</c:v>
                </c:pt>
                <c:pt idx="1366">
                  <c:v>-5.9743159486254577E-4</c:v>
                </c:pt>
                <c:pt idx="1367">
                  <c:v>2.1650243519347648E-4</c:v>
                </c:pt>
                <c:pt idx="1368">
                  <c:v>6.9080060857914008E-4</c:v>
                </c:pt>
                <c:pt idx="1369">
                  <c:v>4.698239448592153E-4</c:v>
                </c:pt>
                <c:pt idx="1370">
                  <c:v>3.4436503869054259E-4</c:v>
                </c:pt>
                <c:pt idx="1371">
                  <c:v>3.5624869399862586E-4</c:v>
                </c:pt>
                <c:pt idx="1372">
                  <c:v>3.4429587434328315E-4</c:v>
                </c:pt>
                <c:pt idx="1373">
                  <c:v>3.9736043570966272E-4</c:v>
                </c:pt>
                <c:pt idx="1374">
                  <c:v>3.7353367191283825E-4</c:v>
                </c:pt>
                <c:pt idx="1375">
                  <c:v>6.3556831550717647E-4</c:v>
                </c:pt>
                <c:pt idx="1376">
                  <c:v>5.4419137562990258E-4</c:v>
                </c:pt>
                <c:pt idx="1377">
                  <c:v>3.5636271423785049E-4</c:v>
                </c:pt>
                <c:pt idx="1378">
                  <c:v>3.8075105159531675E-4</c:v>
                </c:pt>
                <c:pt idx="1379">
                  <c:v>4.6349849090085145E-4</c:v>
                </c:pt>
                <c:pt idx="1380">
                  <c:v>4.0980414944690634E-4</c:v>
                </c:pt>
                <c:pt idx="1381">
                  <c:v>4.2141861034443337E-4</c:v>
                </c:pt>
                <c:pt idx="1382">
                  <c:v>4.7457147790530758E-4</c:v>
                </c:pt>
                <c:pt idx="1383">
                  <c:v>3.7547306528671042E-4</c:v>
                </c:pt>
                <c:pt idx="1384">
                  <c:v>1.8946480322740923E-4</c:v>
                </c:pt>
                <c:pt idx="1385">
                  <c:v>4.4724773337033967E-4</c:v>
                </c:pt>
                <c:pt idx="1386">
                  <c:v>3.6546964562150276E-4</c:v>
                </c:pt>
                <c:pt idx="1387">
                  <c:v>3.3838958054677203E-4</c:v>
                </c:pt>
                <c:pt idx="1388">
                  <c:v>2.3683113012808142E-4</c:v>
                </c:pt>
                <c:pt idx="1389">
                  <c:v>3.3789634870746901E-4</c:v>
                </c:pt>
                <c:pt idx="1390">
                  <c:v>3.8413772820147649E-4</c:v>
                </c:pt>
                <c:pt idx="1391">
                  <c:v>5.1049339795125246E-4</c:v>
                </c:pt>
                <c:pt idx="1392">
                  <c:v>5.4630258493583818E-4</c:v>
                </c:pt>
                <c:pt idx="1393">
                  <c:v>5.3482815524746397E-4</c:v>
                </c:pt>
                <c:pt idx="1394">
                  <c:v>3.8178340338973022E-4</c:v>
                </c:pt>
                <c:pt idx="1395">
                  <c:v>3.9748580905422443E-4</c:v>
                </c:pt>
                <c:pt idx="1396">
                  <c:v>4.0440009251494716E-4</c:v>
                </c:pt>
                <c:pt idx="1397">
                  <c:v>3.7405815752925117E-4</c:v>
                </c:pt>
                <c:pt idx="1398">
                  <c:v>3.6657050002953339E-4</c:v>
                </c:pt>
                <c:pt idx="1399">
                  <c:v>4.1980376185403483E-4</c:v>
                </c:pt>
                <c:pt idx="1400">
                  <c:v>4.4178547487784542E-4</c:v>
                </c:pt>
                <c:pt idx="1401">
                  <c:v>4.6689474069602072E-4</c:v>
                </c:pt>
                <c:pt idx="1402">
                  <c:v>5.2580650528021879E-4</c:v>
                </c:pt>
                <c:pt idx="1403">
                  <c:v>2.9540664507416949E-4</c:v>
                </c:pt>
                <c:pt idx="1404">
                  <c:v>4.3840611658193981E-4</c:v>
                </c:pt>
                <c:pt idx="1405">
                  <c:v>3.9613644363712156E-4</c:v>
                </c:pt>
                <c:pt idx="1406">
                  <c:v>4.0471598793130555E-4</c:v>
                </c:pt>
                <c:pt idx="1407">
                  <c:v>3.9588509273315618E-4</c:v>
                </c:pt>
                <c:pt idx="1408">
                  <c:v>3.3973514548589636E-4</c:v>
                </c:pt>
                <c:pt idx="1409">
                  <c:v>5.3336592252908692E-4</c:v>
                </c:pt>
                <c:pt idx="1410">
                  <c:v>3.0479978392522358E-4</c:v>
                </c:pt>
                <c:pt idx="1411">
                  <c:v>2.2383349892629001E-4</c:v>
                </c:pt>
                <c:pt idx="1412">
                  <c:v>3.0515037450899398E-4</c:v>
                </c:pt>
                <c:pt idx="1413">
                  <c:v>3.240561829099858E-4</c:v>
                </c:pt>
                <c:pt idx="1414">
                  <c:v>2.3270843026564902E-4</c:v>
                </c:pt>
                <c:pt idx="1415">
                  <c:v>3.3485482278536695E-4</c:v>
                </c:pt>
                <c:pt idx="1416">
                  <c:v>4.6767840747085157E-4</c:v>
                </c:pt>
                <c:pt idx="1417">
                  <c:v>3.445874540178501E-4</c:v>
                </c:pt>
                <c:pt idx="1418">
                  <c:v>1.1240145290639969E-4</c:v>
                </c:pt>
                <c:pt idx="1419">
                  <c:v>2.9830692891348446E-4</c:v>
                </c:pt>
                <c:pt idx="1420">
                  <c:v>3.8586907269187298E-4</c:v>
                </c:pt>
                <c:pt idx="1421">
                  <c:v>3.5550293991865213E-4</c:v>
                </c:pt>
                <c:pt idx="1422">
                  <c:v>3.3329398312826187E-4</c:v>
                </c:pt>
                <c:pt idx="1423">
                  <c:v>4.7243300158654201E-4</c:v>
                </c:pt>
                <c:pt idx="1424">
                  <c:v>3.3797476426132534E-4</c:v>
                </c:pt>
                <c:pt idx="1425">
                  <c:v>3.7578542906644487E-4</c:v>
                </c:pt>
                <c:pt idx="1426">
                  <c:v>2.6214716146648255E-4</c:v>
                </c:pt>
                <c:pt idx="1427">
                  <c:v>4.5582755279800736E-4</c:v>
                </c:pt>
                <c:pt idx="1428">
                  <c:v>3.3617928620926254E-4</c:v>
                </c:pt>
                <c:pt idx="1429">
                  <c:v>5.0431929086054163E-4</c:v>
                </c:pt>
                <c:pt idx="1430">
                  <c:v>2.6864660075408709E-4</c:v>
                </c:pt>
                <c:pt idx="1431">
                  <c:v>4.6339752163774526E-4</c:v>
                </c:pt>
                <c:pt idx="1432">
                  <c:v>4.3718109954371033E-4</c:v>
                </c:pt>
                <c:pt idx="1433">
                  <c:v>4.9941953734495561E-4</c:v>
                </c:pt>
                <c:pt idx="1434">
                  <c:v>4.4150402858730815E-4</c:v>
                </c:pt>
                <c:pt idx="1435">
                  <c:v>3.3053120548946985E-4</c:v>
                </c:pt>
                <c:pt idx="1436">
                  <c:v>5.2051076312669851E-4</c:v>
                </c:pt>
                <c:pt idx="1437">
                  <c:v>2.9791024121326499E-4</c:v>
                </c:pt>
                <c:pt idx="1438">
                  <c:v>4.7609149305794012E-4</c:v>
                </c:pt>
                <c:pt idx="1439">
                  <c:v>3.5842004909113564E-4</c:v>
                </c:pt>
                <c:pt idx="1440">
                  <c:v>3.5847326246511859E-4</c:v>
                </c:pt>
                <c:pt idx="1441">
                  <c:v>2.3102468440108664E-4</c:v>
                </c:pt>
                <c:pt idx="1442">
                  <c:v>2.1793577213865688E-4</c:v>
                </c:pt>
                <c:pt idx="1443">
                  <c:v>3.7899124419962197E-4</c:v>
                </c:pt>
                <c:pt idx="1444">
                  <c:v>1.7633621544655036E-4</c:v>
                </c:pt>
                <c:pt idx="1445">
                  <c:v>3.1982155481580005E-4</c:v>
                </c:pt>
                <c:pt idx="1446">
                  <c:v>-6.0962712852979076E-5</c:v>
                </c:pt>
                <c:pt idx="1447">
                  <c:v>1.1812453494915135E-4</c:v>
                </c:pt>
                <c:pt idx="1448">
                  <c:v>5.3982321232512655E-5</c:v>
                </c:pt>
                <c:pt idx="1449">
                  <c:v>2.6544065412011862E-4</c:v>
                </c:pt>
                <c:pt idx="1450">
                  <c:v>3.6586596804669277E-4</c:v>
                </c:pt>
                <c:pt idx="1451">
                  <c:v>3.5105261095189544E-4</c:v>
                </c:pt>
                <c:pt idx="1452">
                  <c:v>2.1977692640117049E-4</c:v>
                </c:pt>
                <c:pt idx="1453">
                  <c:v>3.1016327871139686E-4</c:v>
                </c:pt>
                <c:pt idx="1454">
                  <c:v>5.6506565077519275E-4</c:v>
                </c:pt>
                <c:pt idx="1455">
                  <c:v>2.3027355097869073E-4</c:v>
                </c:pt>
                <c:pt idx="1456">
                  <c:v>5.9812606846083383E-4</c:v>
                </c:pt>
                <c:pt idx="1457">
                  <c:v>3.306494632724153E-4</c:v>
                </c:pt>
                <c:pt idx="1458">
                  <c:v>2.9078248182235589E-4</c:v>
                </c:pt>
                <c:pt idx="1459">
                  <c:v>2.8327049642575964E-5</c:v>
                </c:pt>
                <c:pt idx="1460">
                  <c:v>2.2438777318383994E-4</c:v>
                </c:pt>
                <c:pt idx="1461">
                  <c:v>3.7254109312501006E-5</c:v>
                </c:pt>
                <c:pt idx="1462">
                  <c:v>3.9322632457240481E-4</c:v>
                </c:pt>
                <c:pt idx="1463">
                  <c:v>5.6352957004078769E-4</c:v>
                </c:pt>
                <c:pt idx="1464">
                  <c:v>3.9577428745288663E-4</c:v>
                </c:pt>
                <c:pt idx="1465">
                  <c:v>2.2019911690613188E-4</c:v>
                </c:pt>
                <c:pt idx="1466">
                  <c:v>2.9231124041929755E-4</c:v>
                </c:pt>
                <c:pt idx="1467">
                  <c:v>4.5577969410958444E-4</c:v>
                </c:pt>
                <c:pt idx="1468">
                  <c:v>3.8982001780679822E-4</c:v>
                </c:pt>
                <c:pt idx="1469">
                  <c:v>4.0845233584417833E-4</c:v>
                </c:pt>
                <c:pt idx="1470">
                  <c:v>2.544837727001813E-4</c:v>
                </c:pt>
                <c:pt idx="1471">
                  <c:v>3.3887427355908329E-4</c:v>
                </c:pt>
                <c:pt idx="1472">
                  <c:v>2.9238918211589528E-4</c:v>
                </c:pt>
                <c:pt idx="1473">
                  <c:v>2.4141460565417575E-4</c:v>
                </c:pt>
                <c:pt idx="1474">
                  <c:v>2.5560740780803244E-4</c:v>
                </c:pt>
                <c:pt idx="1475">
                  <c:v>3.0386834315046198E-4</c:v>
                </c:pt>
                <c:pt idx="1476">
                  <c:v>1.8366727535586798E-4</c:v>
                </c:pt>
                <c:pt idx="1477">
                  <c:v>4.1885194159475288E-4</c:v>
                </c:pt>
                <c:pt idx="1478">
                  <c:v>2.4163913414171473E-4</c:v>
                </c:pt>
                <c:pt idx="1479">
                  <c:v>-1.2207122595303858E-5</c:v>
                </c:pt>
                <c:pt idx="1480">
                  <c:v>3.4565543204724731E-4</c:v>
                </c:pt>
                <c:pt idx="1481">
                  <c:v>1.6542187607779447E-4</c:v>
                </c:pt>
                <c:pt idx="1482">
                  <c:v>-2.6714766998431044E-5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8-EE4D-8062-629BAB10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994352"/>
        <c:axId val="388996064"/>
      </c:lineChart>
      <c:catAx>
        <c:axId val="38899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96064"/>
        <c:crosses val="autoZero"/>
        <c:auto val="1"/>
        <c:lblAlgn val="ctr"/>
        <c:lblOffset val="100"/>
        <c:noMultiLvlLbl val="0"/>
      </c:catAx>
      <c:valAx>
        <c:axId val="3889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9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278935</xdr:colOff>
      <xdr:row>15</xdr:row>
      <xdr:rowOff>105368</xdr:rowOff>
    </xdr:from>
    <xdr:to>
      <xdr:col>34</xdr:col>
      <xdr:colOff>674358</xdr:colOff>
      <xdr:row>38</xdr:row>
      <xdr:rowOff>179056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AC1A7-EF54-C142-BC29-27076E35A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215389</xdr:colOff>
      <xdr:row>15</xdr:row>
      <xdr:rowOff>135325</xdr:rowOff>
    </xdr:from>
    <xdr:to>
      <xdr:col>23</xdr:col>
      <xdr:colOff>406400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3BF57-304D-EB40-A9F6-94E2A82F0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736600</xdr:colOff>
      <xdr:row>17</xdr:row>
      <xdr:rowOff>29633</xdr:rowOff>
    </xdr:from>
    <xdr:to>
      <xdr:col>14</xdr:col>
      <xdr:colOff>4233</xdr:colOff>
      <xdr:row>39</xdr:row>
      <xdr:rowOff>173566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892BC-9646-EF41-B0D3-5E6D6D580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973665</xdr:colOff>
      <xdr:row>16</xdr:row>
      <xdr:rowOff>152401</xdr:rowOff>
    </xdr:from>
    <xdr:to>
      <xdr:col>10</xdr:col>
      <xdr:colOff>118532</xdr:colOff>
      <xdr:row>38</xdr:row>
      <xdr:rowOff>8468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5EB78-6756-EA47-9E44-2E5DE383D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1442404</xdr:colOff>
      <xdr:row>17</xdr:row>
      <xdr:rowOff>1472</xdr:rowOff>
    </xdr:from>
    <xdr:to>
      <xdr:col>26</xdr:col>
      <xdr:colOff>21390</xdr:colOff>
      <xdr:row>35</xdr:row>
      <xdr:rowOff>117173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AD483-90D1-DB49-B148-10F0F0380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39FD-4624-FD49-86FF-0ECCECCD21AD}">
  <dimension ref="C1:U1494"/>
  <sheetViews>
    <sheetView tabSelected="1" topLeftCell="L7" workbookViewId="0">
      <selection activeCell="M9" sqref="M9"/>
    </sheetView>
  </sheetViews>
  <sheetFormatPr baseColWidth="10" defaultRowHeight="16" x14ac:dyDescent="0.2"/>
  <cols>
    <col min="2" max="2" width="10.83203125" customWidth="1"/>
    <col min="4" max="4" width="20.6640625" customWidth="1"/>
    <col min="5" max="5" width="20.83203125" customWidth="1"/>
    <col min="6" max="7" width="22.83203125" customWidth="1"/>
    <col min="8" max="8" width="22.1640625" customWidth="1"/>
    <col min="10" max="10" width="34.33203125" customWidth="1"/>
    <col min="12" max="12" width="36.6640625" customWidth="1"/>
    <col min="14" max="14" width="38.1640625" style="1" customWidth="1"/>
    <col min="16" max="16" width="17" customWidth="1"/>
    <col min="17" max="17" width="20.6640625" customWidth="1"/>
    <col min="18" max="18" width="12.83203125" bestFit="1" customWidth="1"/>
    <col min="20" max="20" width="11" bestFit="1" customWidth="1"/>
    <col min="21" max="21" width="12.83203125" style="1" bestFit="1" customWidth="1"/>
  </cols>
  <sheetData>
    <row r="1" spans="3:21" x14ac:dyDescent="0.2">
      <c r="D1" t="s">
        <v>0</v>
      </c>
    </row>
    <row r="2" spans="3:21" x14ac:dyDescent="0.2">
      <c r="D2" t="s">
        <v>1</v>
      </c>
    </row>
    <row r="4" spans="3:21" x14ac:dyDescent="0.2">
      <c r="D4" t="s">
        <v>2</v>
      </c>
      <c r="F4" t="s">
        <v>3</v>
      </c>
      <c r="G4" t="s">
        <v>4</v>
      </c>
    </row>
    <row r="5" spans="3:21" x14ac:dyDescent="0.2">
      <c r="D5" s="2" t="s">
        <v>5</v>
      </c>
      <c r="Q5" s="2"/>
    </row>
    <row r="6" spans="3:21" x14ac:dyDescent="0.2">
      <c r="F6" t="s">
        <v>6</v>
      </c>
      <c r="G6" t="s">
        <v>7</v>
      </c>
    </row>
    <row r="7" spans="3:21" x14ac:dyDescent="0.2">
      <c r="D7" t="s">
        <v>8</v>
      </c>
      <c r="F7" t="s">
        <v>9</v>
      </c>
      <c r="G7" t="s">
        <v>10</v>
      </c>
    </row>
    <row r="8" spans="3:21" x14ac:dyDescent="0.2">
      <c r="D8" s="2" t="s">
        <v>11</v>
      </c>
      <c r="Q8" s="2"/>
    </row>
    <row r="9" spans="3:21" x14ac:dyDescent="0.2">
      <c r="D9" s="2" t="s">
        <v>12</v>
      </c>
      <c r="L9" t="s">
        <v>13</v>
      </c>
      <c r="N9" s="1" t="s">
        <v>14</v>
      </c>
      <c r="P9" t="s">
        <v>15</v>
      </c>
      <c r="Q9" s="2"/>
    </row>
    <row r="10" spans="3:21" x14ac:dyDescent="0.2"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16</v>
      </c>
      <c r="J10" s="3" t="s">
        <v>22</v>
      </c>
      <c r="K10" s="3" t="s">
        <v>16</v>
      </c>
      <c r="L10" s="3" t="s">
        <v>23</v>
      </c>
      <c r="M10" s="3" t="s">
        <v>16</v>
      </c>
      <c r="N10" s="4" t="s">
        <v>24</v>
      </c>
      <c r="O10" s="3" t="s">
        <v>16</v>
      </c>
      <c r="P10" s="3" t="s">
        <v>25</v>
      </c>
      <c r="Q10" s="3" t="s">
        <v>26</v>
      </c>
      <c r="R10" s="3" t="s">
        <v>27</v>
      </c>
      <c r="T10" s="3" t="s">
        <v>16</v>
      </c>
      <c r="U10" s="1" t="s">
        <v>27</v>
      </c>
    </row>
    <row r="11" spans="3:21" x14ac:dyDescent="0.2">
      <c r="C11" s="5">
        <v>44575</v>
      </c>
      <c r="D11" s="6">
        <v>0.99990000000000001</v>
      </c>
      <c r="E11" s="6">
        <v>43035.57</v>
      </c>
      <c r="F11" s="6">
        <v>43058.5</v>
      </c>
      <c r="G11" s="6">
        <v>43121.22</v>
      </c>
      <c r="H11" s="6">
        <v>43066.5</v>
      </c>
      <c r="I11" s="5">
        <v>44575</v>
      </c>
      <c r="J11" s="7">
        <f>(H11-E11)/E11</f>
        <v>7.1870780380044435E-4</v>
      </c>
      <c r="K11" s="5">
        <v>44575</v>
      </c>
      <c r="L11" s="8">
        <f t="shared" ref="L11:L74" si="0">(G11-F11)/F11</f>
        <v>1.4566229664294196E-3</v>
      </c>
      <c r="M11" s="5">
        <v>44575</v>
      </c>
      <c r="N11" s="9">
        <f t="shared" ref="N11:N74" si="1">J11+L11</f>
        <v>2.1753307702298639E-3</v>
      </c>
      <c r="O11" s="5">
        <v>44575</v>
      </c>
      <c r="P11">
        <f>(1/G11)*H11</f>
        <v>0.99873101920585727</v>
      </c>
      <c r="Q11" s="6">
        <f>1/D11</f>
        <v>1.000100010001</v>
      </c>
      <c r="R11">
        <f>LN(P11/Q11)</f>
        <v>-1.3697916324046612E-3</v>
      </c>
      <c r="T11" s="5">
        <v>44575</v>
      </c>
      <c r="U11" s="1">
        <v>-1.3697916324046612E-3</v>
      </c>
    </row>
    <row r="12" spans="3:21" x14ac:dyDescent="0.2">
      <c r="C12" s="5">
        <v>44576</v>
      </c>
      <c r="D12" s="6">
        <v>0.99963000000000002</v>
      </c>
      <c r="E12" s="6">
        <v>43172.01</v>
      </c>
      <c r="F12" s="6">
        <v>43070</v>
      </c>
      <c r="G12" s="6">
        <v>43146.080000000002</v>
      </c>
      <c r="H12" s="6">
        <v>43073.5</v>
      </c>
      <c r="I12" s="5">
        <v>44576</v>
      </c>
      <c r="J12" s="7">
        <f t="shared" ref="J12:J75" si="2">(H12-E12)/E12</f>
        <v>-2.2818024919386897E-3</v>
      </c>
      <c r="K12" s="5">
        <v>44576</v>
      </c>
      <c r="L12" s="8">
        <f t="shared" si="0"/>
        <v>1.7664267471558335E-3</v>
      </c>
      <c r="M12" s="5">
        <v>44576</v>
      </c>
      <c r="N12" s="9">
        <f t="shared" si="1"/>
        <v>-5.1537574478285626E-4</v>
      </c>
      <c r="O12" s="5">
        <v>44576</v>
      </c>
      <c r="P12">
        <f t="shared" ref="P12:P75" si="3">(1/G12)*H12</f>
        <v>0.99831780778230605</v>
      </c>
      <c r="Q12" s="6">
        <f t="shared" ref="Q12:Q75" si="4">1/D12</f>
        <v>1.0003701369506717</v>
      </c>
      <c r="R12">
        <f t="shared" ref="R12:R75" si="5">LN(P12/Q12)</f>
        <v>-2.0536771586554762E-3</v>
      </c>
      <c r="T12" s="5">
        <v>44576</v>
      </c>
      <c r="U12" s="1">
        <v>-2.0536771586554762E-3</v>
      </c>
    </row>
    <row r="13" spans="3:21" x14ac:dyDescent="0.2">
      <c r="C13" s="5">
        <v>44577</v>
      </c>
      <c r="D13" s="6">
        <v>0.99961999999999995</v>
      </c>
      <c r="E13" s="6">
        <v>43131.72</v>
      </c>
      <c r="F13" s="6">
        <v>43056.5</v>
      </c>
      <c r="G13" s="6">
        <v>43122</v>
      </c>
      <c r="H13" s="6">
        <v>43074</v>
      </c>
      <c r="I13" s="5">
        <v>44577</v>
      </c>
      <c r="J13" s="7">
        <f t="shared" si="2"/>
        <v>-1.3382262520484035E-3</v>
      </c>
      <c r="K13" s="5">
        <v>44577</v>
      </c>
      <c r="L13" s="8">
        <f t="shared" si="0"/>
        <v>1.5212569530732875E-3</v>
      </c>
      <c r="M13" s="5">
        <v>44577</v>
      </c>
      <c r="N13" s="9">
        <f t="shared" si="1"/>
        <v>1.8303070102488402E-4</v>
      </c>
      <c r="O13" s="5">
        <v>44577</v>
      </c>
      <c r="P13">
        <f t="shared" si="3"/>
        <v>0.99888687908724094</v>
      </c>
      <c r="Q13" s="6">
        <f t="shared" si="4"/>
        <v>1.000380144454893</v>
      </c>
      <c r="R13">
        <f t="shared" si="5"/>
        <v>-1.4938131102554654E-3</v>
      </c>
      <c r="T13" s="5">
        <v>44577</v>
      </c>
      <c r="U13" s="1">
        <v>-1.4938131102554654E-3</v>
      </c>
    </row>
    <row r="14" spans="3:21" x14ac:dyDescent="0.2">
      <c r="C14" s="5">
        <v>44578</v>
      </c>
      <c r="D14" s="6">
        <v>0.99990000000000001</v>
      </c>
      <c r="E14" s="6">
        <v>42221.73</v>
      </c>
      <c r="F14" s="6">
        <v>42198.5</v>
      </c>
      <c r="G14" s="6">
        <v>42287.63</v>
      </c>
      <c r="H14" s="6">
        <v>42212.5</v>
      </c>
      <c r="I14" s="5">
        <v>44578</v>
      </c>
      <c r="J14" s="7">
        <f t="shared" si="2"/>
        <v>-2.1860781166482758E-4</v>
      </c>
      <c r="K14" s="5">
        <v>44578</v>
      </c>
      <c r="L14" s="8">
        <f t="shared" si="0"/>
        <v>2.1121603848477406E-3</v>
      </c>
      <c r="M14" s="5">
        <v>44578</v>
      </c>
      <c r="N14" s="9">
        <f t="shared" si="1"/>
        <v>1.893552573182913E-3</v>
      </c>
      <c r="O14" s="5">
        <v>44578</v>
      </c>
      <c r="P14">
        <f t="shared" si="3"/>
        <v>0.99822335751613434</v>
      </c>
      <c r="Q14" s="6">
        <f t="shared" si="4"/>
        <v>1.000100010001</v>
      </c>
      <c r="R14">
        <f t="shared" si="5"/>
        <v>-1.8782275852504979E-3</v>
      </c>
      <c r="T14" s="5">
        <v>44578</v>
      </c>
      <c r="U14" s="1">
        <v>-1.8782275852504979E-3</v>
      </c>
    </row>
    <row r="15" spans="3:21" x14ac:dyDescent="0.2">
      <c r="C15" s="5">
        <v>44579</v>
      </c>
      <c r="D15" s="6">
        <v>0.99992000000000003</v>
      </c>
      <c r="E15" s="6">
        <v>42411.32</v>
      </c>
      <c r="F15" s="6">
        <v>42365.5</v>
      </c>
      <c r="G15" s="6">
        <v>42404.77</v>
      </c>
      <c r="H15" s="6">
        <v>42366</v>
      </c>
      <c r="I15" s="5">
        <v>44579</v>
      </c>
      <c r="J15" s="7">
        <f t="shared" si="2"/>
        <v>-1.0685826331271865E-3</v>
      </c>
      <c r="K15" s="5">
        <v>44579</v>
      </c>
      <c r="L15" s="8">
        <f t="shared" si="0"/>
        <v>9.2693347181071388E-4</v>
      </c>
      <c r="M15" s="5">
        <v>44579</v>
      </c>
      <c r="N15" s="9">
        <f t="shared" si="1"/>
        <v>-1.4164916131647264E-4</v>
      </c>
      <c r="O15" s="5">
        <v>44579</v>
      </c>
      <c r="P15">
        <f t="shared" si="3"/>
        <v>0.99908571606449004</v>
      </c>
      <c r="Q15" s="6">
        <f t="shared" si="4"/>
        <v>1.000080006400512</v>
      </c>
      <c r="R15">
        <f t="shared" si="5"/>
        <v>-9.9470534816733396E-4</v>
      </c>
      <c r="T15" s="5">
        <v>44579</v>
      </c>
      <c r="U15" s="1">
        <v>-9.9470534816733396E-4</v>
      </c>
    </row>
    <row r="16" spans="3:21" x14ac:dyDescent="0.2">
      <c r="C16" s="5">
        <v>44580</v>
      </c>
      <c r="D16" s="6">
        <v>1.0002</v>
      </c>
      <c r="E16" s="6">
        <v>41767.19</v>
      </c>
      <c r="F16" s="6">
        <v>41676</v>
      </c>
      <c r="G16" s="6">
        <v>41719.379999999997</v>
      </c>
      <c r="H16" s="6">
        <v>41708</v>
      </c>
      <c r="I16" s="5">
        <v>44580</v>
      </c>
      <c r="J16" s="7">
        <f t="shared" si="2"/>
        <v>-1.4171410621591331E-3</v>
      </c>
      <c r="K16" s="5">
        <v>44580</v>
      </c>
      <c r="L16" s="8">
        <f t="shared" si="0"/>
        <v>1.0408868413474754E-3</v>
      </c>
      <c r="M16" s="5">
        <v>44580</v>
      </c>
      <c r="N16" s="9">
        <f t="shared" si="1"/>
        <v>-3.7625422081165772E-4</v>
      </c>
      <c r="O16" s="5">
        <v>44580</v>
      </c>
      <c r="P16">
        <f t="shared" si="3"/>
        <v>0.9997272250929905</v>
      </c>
      <c r="Q16" s="6">
        <f t="shared" si="4"/>
        <v>0.99980003999200162</v>
      </c>
      <c r="R16">
        <f t="shared" si="5"/>
        <v>-7.2832114184981616E-5</v>
      </c>
      <c r="T16" s="5">
        <v>44580</v>
      </c>
      <c r="U16" s="1">
        <v>-7.2832114184981616E-5</v>
      </c>
    </row>
    <row r="17" spans="3:21" x14ac:dyDescent="0.2">
      <c r="C17" s="5">
        <v>44581</v>
      </c>
      <c r="D17" s="6">
        <v>0.99948000000000004</v>
      </c>
      <c r="E17" s="6">
        <v>40682.230000000003</v>
      </c>
      <c r="F17" s="6">
        <v>40670.5</v>
      </c>
      <c r="G17" s="6">
        <v>40735.1</v>
      </c>
      <c r="H17" s="6">
        <v>40713</v>
      </c>
      <c r="I17" s="5">
        <v>44581</v>
      </c>
      <c r="J17" s="7">
        <f t="shared" si="2"/>
        <v>7.5634988544130439E-4</v>
      </c>
      <c r="K17" s="5">
        <v>44581</v>
      </c>
      <c r="L17" s="8">
        <f t="shared" si="0"/>
        <v>1.5883748663035504E-3</v>
      </c>
      <c r="M17" s="5">
        <v>44581</v>
      </c>
      <c r="N17" s="9">
        <f t="shared" si="1"/>
        <v>2.344724751744855E-3</v>
      </c>
      <c r="O17" s="5">
        <v>44581</v>
      </c>
      <c r="P17">
        <f t="shared" si="3"/>
        <v>0.99945747033884791</v>
      </c>
      <c r="Q17" s="6">
        <f t="shared" si="4"/>
        <v>1.000520270540681</v>
      </c>
      <c r="R17">
        <f t="shared" si="5"/>
        <v>-1.0628121305069577E-3</v>
      </c>
      <c r="T17" s="5">
        <v>44581</v>
      </c>
      <c r="U17" s="1">
        <v>-1.0628121305069577E-3</v>
      </c>
    </row>
    <row r="18" spans="3:21" x14ac:dyDescent="0.2">
      <c r="C18" s="5">
        <v>44582</v>
      </c>
      <c r="D18" s="6">
        <v>1.0004</v>
      </c>
      <c r="E18" s="6">
        <v>36550.339999999997</v>
      </c>
      <c r="F18" s="6">
        <v>36450.5</v>
      </c>
      <c r="G18" s="6">
        <v>36551.25</v>
      </c>
      <c r="H18" s="6">
        <v>36429</v>
      </c>
      <c r="I18" s="5">
        <v>44582</v>
      </c>
      <c r="J18" s="7">
        <f t="shared" si="2"/>
        <v>-3.319804959406575E-3</v>
      </c>
      <c r="K18" s="5">
        <v>44582</v>
      </c>
      <c r="L18" s="8">
        <f t="shared" si="0"/>
        <v>2.7640224413931222E-3</v>
      </c>
      <c r="M18" s="5">
        <v>44582</v>
      </c>
      <c r="N18" s="9">
        <f t="shared" si="1"/>
        <v>-5.5578251801345277E-4</v>
      </c>
      <c r="O18" s="5">
        <v>44582</v>
      </c>
      <c r="P18">
        <f t="shared" si="3"/>
        <v>0.99665538114291574</v>
      </c>
      <c r="Q18" s="6">
        <f t="shared" si="4"/>
        <v>0.99960015993602558</v>
      </c>
      <c r="R18">
        <f t="shared" si="5"/>
        <v>-2.9503045762738554E-3</v>
      </c>
      <c r="T18" s="5">
        <v>44582</v>
      </c>
      <c r="U18" s="1">
        <v>-2.9503045762738554E-3</v>
      </c>
    </row>
    <row r="19" spans="3:21" x14ac:dyDescent="0.2">
      <c r="C19" s="5">
        <v>44583</v>
      </c>
      <c r="D19" s="6">
        <v>1.0004</v>
      </c>
      <c r="E19" s="6">
        <v>34997.86</v>
      </c>
      <c r="F19" s="6">
        <v>35067</v>
      </c>
      <c r="G19" s="6">
        <v>35198.71</v>
      </c>
      <c r="H19" s="6">
        <v>35064</v>
      </c>
      <c r="I19" s="5">
        <v>44583</v>
      </c>
      <c r="J19" s="7">
        <f t="shared" si="2"/>
        <v>1.8898298353099137E-3</v>
      </c>
      <c r="K19" s="5">
        <v>44583</v>
      </c>
      <c r="L19" s="8">
        <f t="shared" si="0"/>
        <v>3.7559528901816275E-3</v>
      </c>
      <c r="M19" s="5">
        <v>44583</v>
      </c>
      <c r="N19" s="9">
        <f t="shared" si="1"/>
        <v>5.6457827254915412E-3</v>
      </c>
      <c r="O19" s="5">
        <v>44583</v>
      </c>
      <c r="P19">
        <f t="shared" si="3"/>
        <v>0.99617287110806052</v>
      </c>
      <c r="Q19" s="6">
        <f t="shared" si="4"/>
        <v>0.99960015993602558</v>
      </c>
      <c r="R19">
        <f t="shared" si="5"/>
        <v>-3.4345510673993141E-3</v>
      </c>
      <c r="T19" s="5">
        <v>44583</v>
      </c>
      <c r="U19" s="1">
        <v>-3.4345510673993141E-3</v>
      </c>
    </row>
    <row r="20" spans="3:21" x14ac:dyDescent="0.2">
      <c r="C20" s="5">
        <v>44584</v>
      </c>
      <c r="D20" s="6">
        <v>1</v>
      </c>
      <c r="E20" s="6">
        <v>36300.25</v>
      </c>
      <c r="F20" s="6">
        <v>36270</v>
      </c>
      <c r="G20" s="6">
        <v>36347.99</v>
      </c>
      <c r="H20" s="6">
        <v>36269.5</v>
      </c>
      <c r="I20" s="5">
        <v>44584</v>
      </c>
      <c r="J20" s="7">
        <f t="shared" si="2"/>
        <v>-8.4710160398344361E-4</v>
      </c>
      <c r="K20" s="5">
        <v>44584</v>
      </c>
      <c r="L20" s="8">
        <f t="shared" si="0"/>
        <v>2.1502619244554168E-3</v>
      </c>
      <c r="M20" s="5">
        <v>44584</v>
      </c>
      <c r="N20" s="9">
        <f t="shared" si="1"/>
        <v>1.3031603204719732E-3</v>
      </c>
      <c r="O20" s="5">
        <v>44584</v>
      </c>
      <c r="P20">
        <f t="shared" si="3"/>
        <v>0.99784059586238472</v>
      </c>
      <c r="Q20" s="6">
        <f t="shared" si="4"/>
        <v>1</v>
      </c>
      <c r="R20">
        <f t="shared" si="5"/>
        <v>-2.1617390126281314E-3</v>
      </c>
      <c r="T20" s="5">
        <v>44584</v>
      </c>
      <c r="U20" s="1">
        <v>-2.1617390126281314E-3</v>
      </c>
    </row>
    <row r="21" spans="3:21" x14ac:dyDescent="0.2">
      <c r="C21" s="5">
        <v>44585</v>
      </c>
      <c r="D21" s="6">
        <v>1.00013</v>
      </c>
      <c r="E21" s="6">
        <v>36688.93</v>
      </c>
      <c r="F21" s="6">
        <v>36670</v>
      </c>
      <c r="G21" s="6">
        <v>36723.94</v>
      </c>
      <c r="H21" s="6">
        <v>36631.5</v>
      </c>
      <c r="I21" s="5">
        <v>44585</v>
      </c>
      <c r="J21" s="7">
        <f t="shared" si="2"/>
        <v>-1.5653222920374154E-3</v>
      </c>
      <c r="K21" s="5">
        <v>44585</v>
      </c>
      <c r="L21" s="8">
        <f t="shared" si="0"/>
        <v>1.4709571857104535E-3</v>
      </c>
      <c r="M21" s="5">
        <v>44585</v>
      </c>
      <c r="N21" s="9">
        <f t="shared" si="1"/>
        <v>-9.4365106326961892E-5</v>
      </c>
      <c r="O21" s="5">
        <v>44585</v>
      </c>
      <c r="P21">
        <f t="shared" si="3"/>
        <v>0.99748284089343342</v>
      </c>
      <c r="Q21" s="6">
        <f t="shared" si="4"/>
        <v>0.9998700168978033</v>
      </c>
      <c r="R21">
        <f t="shared" si="5"/>
        <v>-2.3903409271905525E-3</v>
      </c>
      <c r="T21" s="5">
        <v>44585</v>
      </c>
      <c r="U21" s="1">
        <v>-2.3903409271905525E-3</v>
      </c>
    </row>
    <row r="22" spans="3:21" x14ac:dyDescent="0.2">
      <c r="C22" s="5">
        <v>44586</v>
      </c>
      <c r="D22" s="6">
        <v>1.00058</v>
      </c>
      <c r="E22" s="6">
        <v>37008.92</v>
      </c>
      <c r="F22" s="6">
        <v>36956.5</v>
      </c>
      <c r="G22" s="6">
        <v>37006.03</v>
      </c>
      <c r="H22" s="6">
        <v>36947</v>
      </c>
      <c r="I22" s="5">
        <v>44586</v>
      </c>
      <c r="J22" s="7">
        <f t="shared" si="2"/>
        <v>-1.6731101583077339E-3</v>
      </c>
      <c r="K22" s="5">
        <v>44586</v>
      </c>
      <c r="L22" s="8">
        <f t="shared" si="0"/>
        <v>1.340224317778979E-3</v>
      </c>
      <c r="M22" s="5">
        <v>44586</v>
      </c>
      <c r="N22" s="9">
        <f t="shared" si="1"/>
        <v>-3.3288584052875488E-4</v>
      </c>
      <c r="O22" s="5">
        <v>44586</v>
      </c>
      <c r="P22">
        <f t="shared" si="3"/>
        <v>0.99840485456018935</v>
      </c>
      <c r="Q22" s="6">
        <f t="shared" si="4"/>
        <v>0.99942033620500104</v>
      </c>
      <c r="R22">
        <f t="shared" si="5"/>
        <v>-1.0165871738525747E-3</v>
      </c>
      <c r="T22" s="5">
        <v>44586</v>
      </c>
      <c r="U22" s="1">
        <v>-1.0165871738525747E-3</v>
      </c>
    </row>
    <row r="23" spans="3:21" x14ac:dyDescent="0.2">
      <c r="C23" s="5">
        <v>44587</v>
      </c>
      <c r="D23" s="6">
        <v>1.0005999999999999</v>
      </c>
      <c r="E23" s="6">
        <v>36859.94</v>
      </c>
      <c r="F23" s="6">
        <v>36808</v>
      </c>
      <c r="G23" s="6">
        <v>36879.360000000001</v>
      </c>
      <c r="H23" s="6">
        <v>36806.5</v>
      </c>
      <c r="I23" s="5">
        <v>44587</v>
      </c>
      <c r="J23" s="7">
        <f t="shared" si="2"/>
        <v>-1.4498124522178367E-3</v>
      </c>
      <c r="K23" s="5">
        <v>44587</v>
      </c>
      <c r="L23" s="8">
        <f t="shared" si="0"/>
        <v>1.9387089763095138E-3</v>
      </c>
      <c r="M23" s="5">
        <v>44587</v>
      </c>
      <c r="N23" s="9">
        <f t="shared" si="1"/>
        <v>4.8889652409167712E-4</v>
      </c>
      <c r="O23" s="5">
        <v>44587</v>
      </c>
      <c r="P23">
        <f t="shared" si="3"/>
        <v>0.9980243691864501</v>
      </c>
      <c r="Q23" s="6">
        <f t="shared" si="4"/>
        <v>0.99940035978412955</v>
      </c>
      <c r="R23">
        <f t="shared" si="5"/>
        <v>-1.3777648743255107E-3</v>
      </c>
      <c r="T23" s="5">
        <v>44587</v>
      </c>
      <c r="U23" s="1">
        <v>-1.3777648743255107E-3</v>
      </c>
    </row>
    <row r="24" spans="3:21" x14ac:dyDescent="0.2">
      <c r="C24" s="5">
        <v>44588</v>
      </c>
      <c r="D24" s="6">
        <v>1.0003</v>
      </c>
      <c r="E24" s="6">
        <v>37125.480000000003</v>
      </c>
      <c r="F24" s="6">
        <v>37167</v>
      </c>
      <c r="G24" s="6">
        <v>37197.99</v>
      </c>
      <c r="H24" s="6">
        <v>37185.5</v>
      </c>
      <c r="I24" s="5">
        <v>44588</v>
      </c>
      <c r="J24" s="7">
        <f t="shared" si="2"/>
        <v>1.616679434178273E-3</v>
      </c>
      <c r="K24" s="5">
        <v>44588</v>
      </c>
      <c r="L24" s="8">
        <f t="shared" si="0"/>
        <v>8.3380418112836551E-4</v>
      </c>
      <c r="M24" s="5">
        <v>44588</v>
      </c>
      <c r="N24" s="9">
        <f t="shared" si="1"/>
        <v>2.4504836153066384E-3</v>
      </c>
      <c r="O24" s="5">
        <v>44588</v>
      </c>
      <c r="P24">
        <f t="shared" si="3"/>
        <v>0.99966422916937181</v>
      </c>
      <c r="Q24" s="6">
        <f t="shared" si="4"/>
        <v>0.99970008997300808</v>
      </c>
      <c r="R24">
        <f t="shared" si="5"/>
        <v>-3.5872205277205395E-5</v>
      </c>
      <c r="T24" s="5">
        <v>44588</v>
      </c>
      <c r="U24" s="1">
        <v>-3.5872205277205395E-5</v>
      </c>
    </row>
    <row r="25" spans="3:21" x14ac:dyDescent="0.2">
      <c r="C25" s="5">
        <v>44589</v>
      </c>
      <c r="D25" s="6">
        <v>1.0003899999999999</v>
      </c>
      <c r="E25" s="6">
        <v>37699.22</v>
      </c>
      <c r="F25" s="6">
        <v>37717</v>
      </c>
      <c r="G25" s="6">
        <v>37793.5</v>
      </c>
      <c r="H25" s="6">
        <v>37724.5</v>
      </c>
      <c r="I25" s="5">
        <v>44589</v>
      </c>
      <c r="J25" s="7">
        <f t="shared" si="2"/>
        <v>6.7057090305844085E-4</v>
      </c>
      <c r="K25" s="5">
        <v>44589</v>
      </c>
      <c r="L25" s="8">
        <f t="shared" si="0"/>
        <v>2.028263117427155E-3</v>
      </c>
      <c r="M25" s="5">
        <v>44589</v>
      </c>
      <c r="N25" s="9">
        <f t="shared" si="1"/>
        <v>2.6988340204855956E-3</v>
      </c>
      <c r="O25" s="5">
        <v>44589</v>
      </c>
      <c r="P25">
        <f t="shared" si="3"/>
        <v>0.99817428922962936</v>
      </c>
      <c r="Q25" s="6">
        <f t="shared" si="4"/>
        <v>0.99961015204070425</v>
      </c>
      <c r="R25">
        <f t="shared" si="5"/>
        <v>-1.4374554417921211E-3</v>
      </c>
      <c r="T25" s="5">
        <v>44589</v>
      </c>
      <c r="U25" s="1">
        <v>-1.4374554417921211E-3</v>
      </c>
    </row>
    <row r="26" spans="3:21" x14ac:dyDescent="0.2">
      <c r="C26" s="5">
        <v>44590</v>
      </c>
      <c r="D26" s="6">
        <v>1.0000800000000001</v>
      </c>
      <c r="E26" s="6">
        <v>38168.89</v>
      </c>
      <c r="F26" s="6">
        <v>38179.5</v>
      </c>
      <c r="G26" s="6">
        <v>38286.85</v>
      </c>
      <c r="H26" s="6">
        <v>38171.5</v>
      </c>
      <c r="I26" s="5">
        <v>44590</v>
      </c>
      <c r="J26" s="7">
        <f t="shared" si="2"/>
        <v>6.8380296099797031E-5</v>
      </c>
      <c r="K26" s="5">
        <v>44590</v>
      </c>
      <c r="L26" s="8">
        <f t="shared" si="0"/>
        <v>2.8117183305176479E-3</v>
      </c>
      <c r="M26" s="5">
        <v>44590</v>
      </c>
      <c r="N26" s="9">
        <f t="shared" si="1"/>
        <v>2.8800986266174448E-3</v>
      </c>
      <c r="O26" s="5">
        <v>44590</v>
      </c>
      <c r="P26">
        <f t="shared" si="3"/>
        <v>0.99698721623742892</v>
      </c>
      <c r="Q26" s="6">
        <f t="shared" si="4"/>
        <v>0.99992000639948797</v>
      </c>
      <c r="R26">
        <f>LN(P26/Q26)</f>
        <v>-2.9373345315923407E-3</v>
      </c>
      <c r="T26" s="5">
        <v>44590</v>
      </c>
      <c r="U26" s="1">
        <v>-2.9373345315923407E-3</v>
      </c>
    </row>
    <row r="27" spans="3:21" x14ac:dyDescent="0.2">
      <c r="C27" s="5">
        <v>44591</v>
      </c>
      <c r="D27" s="6">
        <v>1.00038</v>
      </c>
      <c r="E27" s="6">
        <v>37950.39</v>
      </c>
      <c r="F27" s="6">
        <v>37913.5</v>
      </c>
      <c r="G27" s="6">
        <v>37944.230000000003</v>
      </c>
      <c r="H27" s="6">
        <v>37931.5</v>
      </c>
      <c r="I27" s="5">
        <v>44591</v>
      </c>
      <c r="J27" s="7">
        <f t="shared" si="2"/>
        <v>-4.9775509553391726E-4</v>
      </c>
      <c r="K27" s="5">
        <v>44591</v>
      </c>
      <c r="L27" s="8">
        <f t="shared" si="0"/>
        <v>8.1052923101278436E-4</v>
      </c>
      <c r="M27" s="5">
        <v>44591</v>
      </c>
      <c r="N27" s="9">
        <f t="shared" si="1"/>
        <v>3.127741354788671E-4</v>
      </c>
      <c r="O27" s="5">
        <v>44591</v>
      </c>
      <c r="P27">
        <f t="shared" si="3"/>
        <v>0.99966450762078973</v>
      </c>
      <c r="Q27" s="6">
        <f t="shared" si="4"/>
        <v>0.99962014434514879</v>
      </c>
      <c r="R27">
        <f t="shared" si="5"/>
        <v>4.4379148916798214E-5</v>
      </c>
      <c r="T27" s="5">
        <v>44591</v>
      </c>
      <c r="U27" s="1">
        <v>4.4379148916798214E-5</v>
      </c>
    </row>
    <row r="28" spans="3:21" x14ac:dyDescent="0.2">
      <c r="C28" s="5">
        <v>44592</v>
      </c>
      <c r="D28" s="6">
        <v>1.00041</v>
      </c>
      <c r="E28" s="6">
        <v>38527.58</v>
      </c>
      <c r="F28" s="6">
        <v>38467.5</v>
      </c>
      <c r="G28" s="6">
        <v>38482.51</v>
      </c>
      <c r="H28" s="6">
        <v>38475.5</v>
      </c>
      <c r="I28" s="5">
        <v>44592</v>
      </c>
      <c r="J28" s="7">
        <f t="shared" si="2"/>
        <v>-1.3517589217906171E-3</v>
      </c>
      <c r="K28" s="5">
        <v>44592</v>
      </c>
      <c r="L28" s="8">
        <f t="shared" si="0"/>
        <v>3.9019951907459638E-4</v>
      </c>
      <c r="M28" s="5">
        <v>44592</v>
      </c>
      <c r="N28" s="9">
        <f t="shared" si="1"/>
        <v>-9.6155940271602076E-4</v>
      </c>
      <c r="O28" s="5">
        <v>44592</v>
      </c>
      <c r="P28">
        <f t="shared" si="3"/>
        <v>0.99981783932492962</v>
      </c>
      <c r="Q28" s="6">
        <f t="shared" si="4"/>
        <v>0.99959016803110723</v>
      </c>
      <c r="R28">
        <f t="shared" si="5"/>
        <v>2.2773870462542835E-4</v>
      </c>
      <c r="T28" s="5">
        <v>44592</v>
      </c>
      <c r="U28" s="1">
        <v>2.2773870462542835E-4</v>
      </c>
    </row>
    <row r="29" spans="3:21" x14ac:dyDescent="0.2">
      <c r="C29" s="5">
        <v>44593</v>
      </c>
      <c r="D29" s="6">
        <v>1.00037</v>
      </c>
      <c r="E29" s="6">
        <v>38705.14</v>
      </c>
      <c r="F29" s="6">
        <v>38720</v>
      </c>
      <c r="G29" s="6">
        <v>38760.839999999997</v>
      </c>
      <c r="H29" s="6">
        <v>38699</v>
      </c>
      <c r="I29" s="5">
        <v>44593</v>
      </c>
      <c r="J29" s="7">
        <f t="shared" si="2"/>
        <v>-1.5863526136320442E-4</v>
      </c>
      <c r="K29" s="5">
        <v>44593</v>
      </c>
      <c r="L29" s="8">
        <f t="shared" si="0"/>
        <v>1.0547520661156123E-3</v>
      </c>
      <c r="M29" s="5">
        <v>44593</v>
      </c>
      <c r="N29" s="9">
        <f t="shared" si="1"/>
        <v>8.9611680475240791E-4</v>
      </c>
      <c r="O29" s="5">
        <v>44593</v>
      </c>
      <c r="P29">
        <f t="shared" si="3"/>
        <v>0.99840457533944071</v>
      </c>
      <c r="Q29" s="6">
        <f t="shared" si="4"/>
        <v>0.99963013684936575</v>
      </c>
      <c r="R29">
        <f t="shared" si="5"/>
        <v>-1.2267671388791488E-3</v>
      </c>
      <c r="T29" s="5">
        <v>44593</v>
      </c>
      <c r="U29" s="1">
        <v>-1.2267671388791488E-3</v>
      </c>
    </row>
    <row r="30" spans="3:21" x14ac:dyDescent="0.2">
      <c r="C30" s="5">
        <v>44594</v>
      </c>
      <c r="D30" s="6">
        <v>1.0002500000000001</v>
      </c>
      <c r="E30" s="6">
        <v>36899.519999999997</v>
      </c>
      <c r="F30" s="6">
        <v>36907</v>
      </c>
      <c r="G30" s="6">
        <v>36986.82</v>
      </c>
      <c r="H30" s="6">
        <v>36918</v>
      </c>
      <c r="I30" s="5">
        <v>44594</v>
      </c>
      <c r="J30" s="7">
        <f t="shared" si="2"/>
        <v>5.008195228556687E-4</v>
      </c>
      <c r="K30" s="5">
        <v>44594</v>
      </c>
      <c r="L30" s="8">
        <f t="shared" si="0"/>
        <v>2.1627333568157723E-3</v>
      </c>
      <c r="M30" s="5">
        <v>44594</v>
      </c>
      <c r="N30" s="9">
        <f t="shared" si="1"/>
        <v>2.6635528796714412E-3</v>
      </c>
      <c r="O30" s="5">
        <v>44594</v>
      </c>
      <c r="P30">
        <f t="shared" si="3"/>
        <v>0.99813933720173842</v>
      </c>
      <c r="Q30" s="6">
        <f t="shared" si="4"/>
        <v>0.99975006248437881</v>
      </c>
      <c r="R30">
        <f t="shared" si="5"/>
        <v>-1.6124272263252834E-3</v>
      </c>
      <c r="T30" s="5">
        <v>44594</v>
      </c>
      <c r="U30" s="1">
        <v>-1.6124272263252834E-3</v>
      </c>
    </row>
    <row r="31" spans="3:21" x14ac:dyDescent="0.2">
      <c r="C31" s="5">
        <v>44595</v>
      </c>
      <c r="D31" s="6">
        <v>1.00031</v>
      </c>
      <c r="E31" s="6">
        <v>37437.54</v>
      </c>
      <c r="F31" s="6">
        <v>37299.5</v>
      </c>
      <c r="G31" s="6">
        <v>37350.06</v>
      </c>
      <c r="H31" s="6">
        <v>37280</v>
      </c>
      <c r="I31" s="5">
        <v>44595</v>
      </c>
      <c r="J31" s="7">
        <f t="shared" si="2"/>
        <v>-4.2080756374484243E-3</v>
      </c>
      <c r="K31" s="5">
        <v>44595</v>
      </c>
      <c r="L31" s="8">
        <f t="shared" si="0"/>
        <v>1.355514148983168E-3</v>
      </c>
      <c r="M31" s="5">
        <v>44595</v>
      </c>
      <c r="N31" s="9">
        <f t="shared" si="1"/>
        <v>-2.8525614884652561E-3</v>
      </c>
      <c r="O31" s="5">
        <v>44595</v>
      </c>
      <c r="P31">
        <f t="shared" si="3"/>
        <v>0.99812423326763067</v>
      </c>
      <c r="Q31" s="6">
        <f t="shared" si="4"/>
        <v>0.99969009607021819</v>
      </c>
      <c r="R31">
        <f t="shared" si="5"/>
        <v>-1.5675762259202584E-3</v>
      </c>
      <c r="T31" s="5">
        <v>44595</v>
      </c>
      <c r="U31" s="1">
        <v>-1.5675762259202584E-3</v>
      </c>
    </row>
    <row r="32" spans="3:21" x14ac:dyDescent="0.2">
      <c r="C32" s="5">
        <v>44596</v>
      </c>
      <c r="D32" s="6">
        <v>1.00003</v>
      </c>
      <c r="E32" s="6">
        <v>41482.639999999999</v>
      </c>
      <c r="F32" s="6">
        <v>41540.5</v>
      </c>
      <c r="G32" s="6">
        <v>41623.46</v>
      </c>
      <c r="H32" s="6">
        <v>41573</v>
      </c>
      <c r="I32" s="5">
        <v>44596</v>
      </c>
      <c r="J32" s="7">
        <f t="shared" si="2"/>
        <v>2.1782605928648848E-3</v>
      </c>
      <c r="K32" s="5">
        <v>44596</v>
      </c>
      <c r="L32" s="8">
        <f t="shared" si="0"/>
        <v>1.9970871799809614E-3</v>
      </c>
      <c r="M32" s="5">
        <v>44596</v>
      </c>
      <c r="N32" s="9">
        <f t="shared" si="1"/>
        <v>4.1753477728458457E-3</v>
      </c>
      <c r="O32" s="5">
        <v>44596</v>
      </c>
      <c r="P32">
        <f t="shared" si="3"/>
        <v>0.99878770289639551</v>
      </c>
      <c r="Q32" s="6">
        <f t="shared" si="4"/>
        <v>0.99997000089997301</v>
      </c>
      <c r="R32">
        <f t="shared" si="5"/>
        <v>-1.1830329801596261E-3</v>
      </c>
      <c r="T32" s="5">
        <v>44596</v>
      </c>
      <c r="U32" s="1">
        <v>-1.1830329801596261E-3</v>
      </c>
    </row>
    <row r="33" spans="3:21" x14ac:dyDescent="0.2">
      <c r="C33" s="5">
        <v>44597</v>
      </c>
      <c r="D33" s="6">
        <v>1.00021</v>
      </c>
      <c r="E33" s="6">
        <v>41400</v>
      </c>
      <c r="F33" s="6">
        <v>41400.5</v>
      </c>
      <c r="G33" s="6">
        <v>41419.49</v>
      </c>
      <c r="H33" s="6">
        <v>41414</v>
      </c>
      <c r="I33" s="5">
        <v>44597</v>
      </c>
      <c r="J33" s="7">
        <f t="shared" si="2"/>
        <v>3.3816425120772949E-4</v>
      </c>
      <c r="K33" s="5">
        <v>44597</v>
      </c>
      <c r="L33" s="8">
        <f t="shared" si="0"/>
        <v>4.5869011243820636E-4</v>
      </c>
      <c r="M33" s="5">
        <v>44597</v>
      </c>
      <c r="N33" s="9">
        <f t="shared" si="1"/>
        <v>7.968543636459359E-4</v>
      </c>
      <c r="O33" s="5">
        <v>44597</v>
      </c>
      <c r="P33">
        <f t="shared" si="3"/>
        <v>0.99986745370355845</v>
      </c>
      <c r="Q33" s="6">
        <f t="shared" si="4"/>
        <v>0.9997900440907409</v>
      </c>
      <c r="R33">
        <f t="shared" si="5"/>
        <v>7.7422871608425658E-5</v>
      </c>
      <c r="T33" s="5">
        <v>44597</v>
      </c>
      <c r="U33" s="1">
        <v>7.7422871608425658E-5</v>
      </c>
    </row>
    <row r="34" spans="3:21" x14ac:dyDescent="0.2">
      <c r="C34" s="5">
        <v>44598</v>
      </c>
      <c r="D34" s="6">
        <v>1.0000599999999999</v>
      </c>
      <c r="E34" s="6">
        <v>42493.63</v>
      </c>
      <c r="F34" s="6">
        <v>42378</v>
      </c>
      <c r="G34" s="6">
        <v>42409.56</v>
      </c>
      <c r="H34" s="6">
        <v>42382.5</v>
      </c>
      <c r="I34" s="5">
        <v>44598</v>
      </c>
      <c r="J34" s="7">
        <f t="shared" si="2"/>
        <v>-2.6152155040649007E-3</v>
      </c>
      <c r="K34" s="5">
        <v>44598</v>
      </c>
      <c r="L34" s="8">
        <f t="shared" si="0"/>
        <v>7.4472603709466406E-4</v>
      </c>
      <c r="M34" s="5">
        <v>44598</v>
      </c>
      <c r="N34" s="9">
        <f t="shared" si="1"/>
        <v>-1.8704894669702367E-3</v>
      </c>
      <c r="O34" s="5">
        <v>44598</v>
      </c>
      <c r="P34">
        <f t="shared" si="3"/>
        <v>0.99936193631813208</v>
      </c>
      <c r="Q34" s="6">
        <f t="shared" si="4"/>
        <v>0.99994000359978408</v>
      </c>
      <c r="R34">
        <f t="shared" si="5"/>
        <v>-5.7826913105908379E-4</v>
      </c>
      <c r="T34" s="5">
        <v>44598</v>
      </c>
      <c r="U34" s="1">
        <v>-5.7826913105908379E-4</v>
      </c>
    </row>
    <row r="35" spans="3:21" x14ac:dyDescent="0.2">
      <c r="C35" s="5">
        <v>44599</v>
      </c>
      <c r="D35" s="6">
        <v>1.0004</v>
      </c>
      <c r="E35" s="6">
        <v>43780.800000000003</v>
      </c>
      <c r="F35" s="6">
        <v>43855.5</v>
      </c>
      <c r="G35" s="6">
        <v>43887.92</v>
      </c>
      <c r="H35" s="6">
        <v>43837.5</v>
      </c>
      <c r="I35" s="5">
        <v>44599</v>
      </c>
      <c r="J35" s="7">
        <f t="shared" si="2"/>
        <v>1.2950882578663953E-3</v>
      </c>
      <c r="K35" s="5">
        <v>44599</v>
      </c>
      <c r="L35" s="8">
        <f t="shared" si="0"/>
        <v>7.3924593266519033E-4</v>
      </c>
      <c r="M35" s="5">
        <v>44599</v>
      </c>
      <c r="N35" s="9">
        <f t="shared" si="1"/>
        <v>2.0343341905315858E-3</v>
      </c>
      <c r="O35" s="5">
        <v>44599</v>
      </c>
      <c r="P35">
        <f t="shared" si="3"/>
        <v>0.99885116451178368</v>
      </c>
      <c r="Q35" s="6">
        <f t="shared" si="4"/>
        <v>0.99960015993602558</v>
      </c>
      <c r="R35">
        <f t="shared" si="5"/>
        <v>-7.495758842345913E-4</v>
      </c>
      <c r="T35" s="5">
        <v>44599</v>
      </c>
      <c r="U35" s="1">
        <v>-7.495758842345913E-4</v>
      </c>
    </row>
    <row r="36" spans="3:21" x14ac:dyDescent="0.2">
      <c r="C36" s="5">
        <v>44600</v>
      </c>
      <c r="D36" s="6">
        <v>1.00027</v>
      </c>
      <c r="E36" s="6">
        <v>44098.28</v>
      </c>
      <c r="F36" s="6">
        <v>44056</v>
      </c>
      <c r="G36" s="6">
        <v>44116.66</v>
      </c>
      <c r="H36" s="6">
        <v>44039.5</v>
      </c>
      <c r="I36" s="5">
        <v>44600</v>
      </c>
      <c r="J36" s="7">
        <f t="shared" si="2"/>
        <v>-1.3329318059570315E-3</v>
      </c>
      <c r="K36" s="5">
        <v>44600</v>
      </c>
      <c r="L36" s="8">
        <f t="shared" si="0"/>
        <v>1.37688396586171E-3</v>
      </c>
      <c r="M36" s="5">
        <v>44600</v>
      </c>
      <c r="N36" s="9">
        <f t="shared" si="1"/>
        <v>4.3952159904678571E-5</v>
      </c>
      <c r="O36" s="5">
        <v>44600</v>
      </c>
      <c r="P36">
        <f t="shared" si="3"/>
        <v>0.99825100086905938</v>
      </c>
      <c r="Q36" s="6">
        <f t="shared" si="4"/>
        <v>0.99973007288032234</v>
      </c>
      <c r="R36">
        <f t="shared" si="5"/>
        <v>-1.4805668590985902E-3</v>
      </c>
      <c r="T36" s="5">
        <v>44600</v>
      </c>
      <c r="U36" s="1">
        <v>-1.4805668590985902E-3</v>
      </c>
    </row>
    <row r="37" spans="3:21" x14ac:dyDescent="0.2">
      <c r="C37" s="5">
        <v>44601</v>
      </c>
      <c r="D37" s="6">
        <v>1.0000199999999999</v>
      </c>
      <c r="E37" s="6">
        <v>44257.91</v>
      </c>
      <c r="F37" s="6">
        <v>44395.5</v>
      </c>
      <c r="G37" s="6">
        <v>44434.63</v>
      </c>
      <c r="H37" s="6">
        <v>44401.5</v>
      </c>
      <c r="I37" s="5">
        <v>44601</v>
      </c>
      <c r="J37" s="7">
        <f t="shared" si="2"/>
        <v>3.2443917934668965E-3</v>
      </c>
      <c r="K37" s="5">
        <v>44601</v>
      </c>
      <c r="L37" s="8">
        <f t="shared" si="0"/>
        <v>8.8139563694512684E-4</v>
      </c>
      <c r="M37" s="5">
        <v>44601</v>
      </c>
      <c r="N37" s="9">
        <f t="shared" si="1"/>
        <v>4.1257874304120234E-3</v>
      </c>
      <c r="O37" s="5">
        <v>44601</v>
      </c>
      <c r="P37">
        <f t="shared" si="3"/>
        <v>0.99925441035516682</v>
      </c>
      <c r="Q37" s="6">
        <f t="shared" si="4"/>
        <v>0.99998000039999213</v>
      </c>
      <c r="R37">
        <f t="shared" si="5"/>
        <v>-7.2586793502589682E-4</v>
      </c>
      <c r="T37" s="5">
        <v>44601</v>
      </c>
      <c r="U37" s="1">
        <v>-7.2586793502589682E-4</v>
      </c>
    </row>
    <row r="38" spans="3:21" x14ac:dyDescent="0.2">
      <c r="C38" s="5">
        <v>44602</v>
      </c>
      <c r="D38" s="6">
        <v>1.00041</v>
      </c>
      <c r="E38" s="6">
        <v>43560.62</v>
      </c>
      <c r="F38" s="6">
        <v>43494</v>
      </c>
      <c r="G38" s="6">
        <v>43519.31</v>
      </c>
      <c r="H38" s="6">
        <v>43509</v>
      </c>
      <c r="I38" s="5">
        <v>44602</v>
      </c>
      <c r="J38" s="7">
        <f t="shared" si="2"/>
        <v>-1.1850152729690857E-3</v>
      </c>
      <c r="K38" s="5">
        <v>44602</v>
      </c>
      <c r="L38" s="8">
        <f t="shared" si="0"/>
        <v>5.8191934519698512E-4</v>
      </c>
      <c r="M38" s="5">
        <v>44602</v>
      </c>
      <c r="N38" s="9">
        <f t="shared" si="1"/>
        <v>-6.0309592777210057E-4</v>
      </c>
      <c r="O38" s="5">
        <v>44602</v>
      </c>
      <c r="P38">
        <f t="shared" si="3"/>
        <v>0.99976309367037308</v>
      </c>
      <c r="Q38" s="6">
        <f t="shared" si="4"/>
        <v>0.99959016803110723</v>
      </c>
      <c r="R38">
        <f t="shared" si="5"/>
        <v>1.7298157660236663E-4</v>
      </c>
      <c r="T38" s="5">
        <v>44602</v>
      </c>
      <c r="U38" s="1">
        <v>1.7298157660236663E-4</v>
      </c>
    </row>
    <row r="39" spans="3:21" x14ac:dyDescent="0.2">
      <c r="C39" s="5">
        <v>44603</v>
      </c>
      <c r="D39" s="6">
        <v>0.99992000000000003</v>
      </c>
      <c r="E39" s="6">
        <v>42477.56</v>
      </c>
      <c r="F39" s="6">
        <v>42384.5</v>
      </c>
      <c r="G39" s="6">
        <v>42410.68</v>
      </c>
      <c r="H39" s="6">
        <v>42388.5</v>
      </c>
      <c r="I39" s="5">
        <v>44603</v>
      </c>
      <c r="J39" s="7">
        <f t="shared" si="2"/>
        <v>-2.0966364358027552E-3</v>
      </c>
      <c r="K39" s="5">
        <v>44603</v>
      </c>
      <c r="L39" s="8">
        <f t="shared" si="0"/>
        <v>6.1767863251897012E-4</v>
      </c>
      <c r="M39" s="5">
        <v>44603</v>
      </c>
      <c r="N39" s="9">
        <f t="shared" si="1"/>
        <v>-1.4789578032837851E-3</v>
      </c>
      <c r="O39" s="5">
        <v>44603</v>
      </c>
      <c r="P39">
        <f t="shared" si="3"/>
        <v>0.99947701852457926</v>
      </c>
      <c r="Q39" s="6">
        <f t="shared" si="4"/>
        <v>1.000080006400512</v>
      </c>
      <c r="R39">
        <f t="shared" si="5"/>
        <v>-6.0312147810200306E-4</v>
      </c>
      <c r="T39" s="5">
        <v>44603</v>
      </c>
      <c r="U39" s="1">
        <v>-6.0312147810200306E-4</v>
      </c>
    </row>
    <row r="40" spans="3:21" x14ac:dyDescent="0.2">
      <c r="C40" s="5">
        <v>44604</v>
      </c>
      <c r="D40" s="6">
        <v>1.0004</v>
      </c>
      <c r="E40" s="6">
        <v>42240.97</v>
      </c>
      <c r="F40" s="6">
        <v>42205</v>
      </c>
      <c r="G40" s="6">
        <v>42258.99</v>
      </c>
      <c r="H40" s="6">
        <v>42197</v>
      </c>
      <c r="I40" s="5">
        <v>44604</v>
      </c>
      <c r="J40" s="7">
        <f t="shared" si="2"/>
        <v>-1.0409325354034523E-3</v>
      </c>
      <c r="K40" s="5">
        <v>44604</v>
      </c>
      <c r="L40" s="8">
        <f t="shared" si="0"/>
        <v>1.2792323184456335E-3</v>
      </c>
      <c r="M40" s="5">
        <v>44604</v>
      </c>
      <c r="N40" s="9">
        <f t="shared" si="1"/>
        <v>2.382997830421812E-4</v>
      </c>
      <c r="O40" s="5">
        <v>44604</v>
      </c>
      <c r="P40">
        <f t="shared" si="3"/>
        <v>0.9985330931950811</v>
      </c>
      <c r="Q40" s="6">
        <f t="shared" si="4"/>
        <v>0.99960015993602558</v>
      </c>
      <c r="R40">
        <f t="shared" si="5"/>
        <v>-1.0680637447090724E-3</v>
      </c>
      <c r="T40" s="5">
        <v>44604</v>
      </c>
      <c r="U40" s="1">
        <v>-1.0680637447090724E-3</v>
      </c>
    </row>
    <row r="41" spans="3:21" x14ac:dyDescent="0.2">
      <c r="C41" s="5">
        <v>44605</v>
      </c>
      <c r="D41" s="6">
        <v>1.0002599999999999</v>
      </c>
      <c r="E41" s="6">
        <v>42118.23</v>
      </c>
      <c r="F41" s="6">
        <v>42051</v>
      </c>
      <c r="G41" s="6">
        <v>42109.68</v>
      </c>
      <c r="H41" s="6">
        <v>42047.5</v>
      </c>
      <c r="I41" s="5">
        <v>44605</v>
      </c>
      <c r="J41" s="7">
        <f t="shared" si="2"/>
        <v>-1.6793203323122361E-3</v>
      </c>
      <c r="K41" s="5">
        <v>44605</v>
      </c>
      <c r="L41" s="8">
        <f t="shared" si="0"/>
        <v>1.3954483841050222E-3</v>
      </c>
      <c r="M41" s="5">
        <v>44605</v>
      </c>
      <c r="N41" s="9">
        <f t="shared" si="1"/>
        <v>-2.8387194820721391E-4</v>
      </c>
      <c r="O41" s="5">
        <v>44605</v>
      </c>
      <c r="P41">
        <f t="shared" si="3"/>
        <v>0.99852337989744877</v>
      </c>
      <c r="Q41" s="6">
        <f t="shared" si="4"/>
        <v>0.99974006758242862</v>
      </c>
      <c r="R41">
        <f t="shared" si="5"/>
        <v>-1.217745174558181E-3</v>
      </c>
      <c r="T41" s="5">
        <v>44605</v>
      </c>
      <c r="U41" s="1">
        <v>-1.217745174558181E-3</v>
      </c>
    </row>
    <row r="42" spans="3:21" x14ac:dyDescent="0.2">
      <c r="C42" s="5">
        <v>44606</v>
      </c>
      <c r="D42" s="6">
        <v>0.99987999999999999</v>
      </c>
      <c r="E42" s="6">
        <v>42598.34</v>
      </c>
      <c r="F42" s="6">
        <v>42535.5</v>
      </c>
      <c r="G42" s="6">
        <v>42561.86</v>
      </c>
      <c r="H42" s="6">
        <v>42556.5</v>
      </c>
      <c r="I42" s="5">
        <v>44606</v>
      </c>
      <c r="J42" s="7">
        <f t="shared" si="2"/>
        <v>-9.8219789785227579E-4</v>
      </c>
      <c r="K42" s="5">
        <v>44606</v>
      </c>
      <c r="L42" s="8">
        <f t="shared" si="0"/>
        <v>6.1971764761200839E-4</v>
      </c>
      <c r="M42" s="5">
        <v>44606</v>
      </c>
      <c r="N42" s="9">
        <f t="shared" si="1"/>
        <v>-3.624802502402674E-4</v>
      </c>
      <c r="O42" s="5">
        <v>44606</v>
      </c>
      <c r="P42">
        <f t="shared" si="3"/>
        <v>0.99987406565408554</v>
      </c>
      <c r="Q42" s="6">
        <f t="shared" si="4"/>
        <v>1.0001200144017282</v>
      </c>
      <c r="R42">
        <f t="shared" si="5"/>
        <v>-2.4594947688602793E-4</v>
      </c>
      <c r="T42" s="5">
        <v>44606</v>
      </c>
      <c r="U42" s="1">
        <v>-2.4594947688602793E-4</v>
      </c>
    </row>
    <row r="43" spans="3:21" x14ac:dyDescent="0.2">
      <c r="C43" s="5">
        <v>44607</v>
      </c>
      <c r="D43" s="6">
        <v>0.99978999999999996</v>
      </c>
      <c r="E43" s="6">
        <v>44545.56</v>
      </c>
      <c r="F43" s="6">
        <v>44560.5</v>
      </c>
      <c r="G43" s="6">
        <v>44536.33</v>
      </c>
      <c r="H43" s="6">
        <v>44495.5</v>
      </c>
      <c r="I43" s="5">
        <v>44607</v>
      </c>
      <c r="J43" s="7">
        <f t="shared" si="2"/>
        <v>-1.1237932579587658E-3</v>
      </c>
      <c r="K43" s="5">
        <v>44607</v>
      </c>
      <c r="L43" s="8">
        <f t="shared" si="0"/>
        <v>-5.4240863545064022E-4</v>
      </c>
      <c r="M43" s="5">
        <v>44607</v>
      </c>
      <c r="N43" s="9">
        <f t="shared" si="1"/>
        <v>-1.6662018934094059E-3</v>
      </c>
      <c r="O43" s="5">
        <v>44607</v>
      </c>
      <c r="P43">
        <f t="shared" si="3"/>
        <v>0.99908322037312003</v>
      </c>
      <c r="Q43" s="6">
        <f t="shared" si="4"/>
        <v>1.000210044109263</v>
      </c>
      <c r="R43">
        <f t="shared" si="5"/>
        <v>-1.1272221794328514E-3</v>
      </c>
      <c r="T43" s="5">
        <v>44607</v>
      </c>
      <c r="U43" s="1">
        <v>-1.1272221794328514E-3</v>
      </c>
    </row>
    <row r="44" spans="3:21" x14ac:dyDescent="0.2">
      <c r="C44" s="5">
        <v>44608</v>
      </c>
      <c r="D44" s="6">
        <v>0.99994000000000005</v>
      </c>
      <c r="E44" s="6">
        <v>43915.63</v>
      </c>
      <c r="F44" s="6">
        <v>43887.5</v>
      </c>
      <c r="G44" s="6">
        <v>43884.639999999999</v>
      </c>
      <c r="H44" s="6">
        <v>43857.5</v>
      </c>
      <c r="I44" s="5">
        <v>44608</v>
      </c>
      <c r="J44" s="7">
        <f t="shared" si="2"/>
        <v>-1.3236745095082864E-3</v>
      </c>
      <c r="K44" s="5">
        <v>44608</v>
      </c>
      <c r="L44" s="8">
        <f t="shared" si="0"/>
        <v>-6.5166619196823283E-5</v>
      </c>
      <c r="M44" s="5">
        <v>44608</v>
      </c>
      <c r="N44" s="9">
        <f t="shared" si="1"/>
        <v>-1.3888411287051098E-3</v>
      </c>
      <c r="O44" s="5">
        <v>44608</v>
      </c>
      <c r="P44">
        <f t="shared" si="3"/>
        <v>0.99938156038194692</v>
      </c>
      <c r="Q44" s="6">
        <f t="shared" si="4"/>
        <v>1.0000600036002159</v>
      </c>
      <c r="R44">
        <f t="shared" si="5"/>
        <v>-6.78632730786463E-4</v>
      </c>
      <c r="T44" s="5">
        <v>44608</v>
      </c>
      <c r="U44" s="1">
        <v>-6.78632730786463E-4</v>
      </c>
    </row>
    <row r="45" spans="3:21" x14ac:dyDescent="0.2">
      <c r="C45" s="5">
        <v>44609</v>
      </c>
      <c r="D45" s="6">
        <v>1</v>
      </c>
      <c r="E45" s="6">
        <v>40576.230000000003</v>
      </c>
      <c r="F45" s="6">
        <v>40525</v>
      </c>
      <c r="G45" s="6">
        <v>40549.79</v>
      </c>
      <c r="H45" s="6">
        <v>40523.5</v>
      </c>
      <c r="I45" s="5">
        <v>44609</v>
      </c>
      <c r="J45" s="7">
        <f t="shared" si="2"/>
        <v>-1.2995293057044284E-3</v>
      </c>
      <c r="K45" s="5">
        <v>44609</v>
      </c>
      <c r="L45" s="8">
        <f t="shared" si="0"/>
        <v>6.117211597779364E-4</v>
      </c>
      <c r="M45" s="5">
        <v>44609</v>
      </c>
      <c r="N45" s="9">
        <f t="shared" si="1"/>
        <v>-6.8780814592649196E-4</v>
      </c>
      <c r="O45" s="5">
        <v>44609</v>
      </c>
      <c r="P45">
        <f t="shared" si="3"/>
        <v>0.99935166125397934</v>
      </c>
      <c r="Q45" s="6">
        <f t="shared" si="4"/>
        <v>1</v>
      </c>
      <c r="R45">
        <f t="shared" si="5"/>
        <v>-6.4854900847123023E-4</v>
      </c>
      <c r="T45" s="5">
        <v>44609</v>
      </c>
      <c r="U45" s="1">
        <v>-6.4854900847123023E-4</v>
      </c>
    </row>
    <row r="46" spans="3:21" x14ac:dyDescent="0.2">
      <c r="C46" s="5">
        <v>44610</v>
      </c>
      <c r="D46" s="6">
        <v>1.0001199999999999</v>
      </c>
      <c r="E46" s="6">
        <v>39998.949999999997</v>
      </c>
      <c r="F46" s="6">
        <v>40001.5</v>
      </c>
      <c r="G46" s="6">
        <v>40023.93</v>
      </c>
      <c r="H46" s="6">
        <v>39994.5</v>
      </c>
      <c r="I46" s="5">
        <v>44610</v>
      </c>
      <c r="J46" s="7">
        <f t="shared" si="2"/>
        <v>-1.1125292038908747E-4</v>
      </c>
      <c r="K46" s="5">
        <v>44610</v>
      </c>
      <c r="L46" s="8">
        <f t="shared" si="0"/>
        <v>5.6072897266353243E-4</v>
      </c>
      <c r="M46" s="5">
        <v>44610</v>
      </c>
      <c r="N46" s="9">
        <f t="shared" si="1"/>
        <v>4.4947605227444495E-4</v>
      </c>
      <c r="O46" s="5">
        <v>44610</v>
      </c>
      <c r="P46">
        <f t="shared" si="3"/>
        <v>0.99926468989926776</v>
      </c>
      <c r="Q46" s="6">
        <f t="shared" si="4"/>
        <v>0.99988001439827234</v>
      </c>
      <c r="R46">
        <f t="shared" si="5"/>
        <v>-6.1558777322436975E-4</v>
      </c>
      <c r="T46" s="5">
        <v>44610</v>
      </c>
      <c r="U46" s="1">
        <v>-6.1558777322436975E-4</v>
      </c>
    </row>
    <row r="47" spans="3:21" x14ac:dyDescent="0.2">
      <c r="C47" s="5">
        <v>44611</v>
      </c>
      <c r="D47" s="6">
        <v>1.0003299999999999</v>
      </c>
      <c r="E47" s="6">
        <v>40134.51</v>
      </c>
      <c r="F47" s="6">
        <v>40100.5</v>
      </c>
      <c r="G47" s="6">
        <v>40123.629999999997</v>
      </c>
      <c r="H47" s="6">
        <v>40093</v>
      </c>
      <c r="I47" s="5">
        <v>44611</v>
      </c>
      <c r="J47" s="7">
        <f t="shared" si="2"/>
        <v>-1.0342720018259109E-3</v>
      </c>
      <c r="K47" s="5">
        <v>44611</v>
      </c>
      <c r="L47" s="8">
        <f t="shared" si="0"/>
        <v>5.7680078802003413E-4</v>
      </c>
      <c r="M47" s="5">
        <v>44611</v>
      </c>
      <c r="N47" s="9">
        <f t="shared" si="1"/>
        <v>-4.5747121380587674E-4</v>
      </c>
      <c r="O47" s="5">
        <v>44611</v>
      </c>
      <c r="P47">
        <f t="shared" si="3"/>
        <v>0.99923660944934456</v>
      </c>
      <c r="Q47" s="6">
        <f t="shared" si="4"/>
        <v>0.99967010886407492</v>
      </c>
      <c r="R47">
        <f t="shared" si="5"/>
        <v>-4.3373651962333795E-4</v>
      </c>
      <c r="T47" s="5">
        <v>44611</v>
      </c>
      <c r="U47" s="1">
        <v>-4.3373651962333795E-4</v>
      </c>
    </row>
    <row r="48" spans="3:21" x14ac:dyDescent="0.2">
      <c r="C48" s="5">
        <v>44612</v>
      </c>
      <c r="D48" s="6">
        <v>0.99963999999999997</v>
      </c>
      <c r="E48" s="6">
        <v>38362.58</v>
      </c>
      <c r="F48" s="6">
        <v>38377.5</v>
      </c>
      <c r="G48" s="6">
        <v>38384.47</v>
      </c>
      <c r="H48" s="6">
        <v>38321</v>
      </c>
      <c r="I48" s="5">
        <v>44612</v>
      </c>
      <c r="J48" s="7">
        <f t="shared" si="2"/>
        <v>-1.0838687074748816E-3</v>
      </c>
      <c r="K48" s="5">
        <v>44612</v>
      </c>
      <c r="L48" s="8">
        <f t="shared" si="0"/>
        <v>1.8161683277965381E-4</v>
      </c>
      <c r="M48" s="5">
        <v>44612</v>
      </c>
      <c r="N48" s="9">
        <f t="shared" si="1"/>
        <v>-9.0225187469522778E-4</v>
      </c>
      <c r="O48" s="5">
        <v>44612</v>
      </c>
      <c r="P48">
        <f t="shared" si="3"/>
        <v>0.99834646668301008</v>
      </c>
      <c r="Q48" s="6">
        <f t="shared" si="4"/>
        <v>1.0003601296466729</v>
      </c>
      <c r="R48">
        <f t="shared" si="5"/>
        <v>-2.0149667276478998E-3</v>
      </c>
      <c r="T48" s="5">
        <v>44612</v>
      </c>
      <c r="U48" s="1">
        <v>-2.0149667276478998E-3</v>
      </c>
    </row>
    <row r="49" spans="3:21" x14ac:dyDescent="0.2">
      <c r="C49" s="5">
        <v>44613</v>
      </c>
      <c r="D49" s="6">
        <v>1.00027</v>
      </c>
      <c r="E49" s="6">
        <v>37107.06</v>
      </c>
      <c r="F49" s="6">
        <v>37020</v>
      </c>
      <c r="G49" s="6">
        <v>37056.120000000003</v>
      </c>
      <c r="H49" s="6">
        <v>37016.5</v>
      </c>
      <c r="I49" s="5">
        <v>44613</v>
      </c>
      <c r="J49" s="7">
        <f t="shared" si="2"/>
        <v>-2.4405059306772804E-3</v>
      </c>
      <c r="K49" s="5">
        <v>44613</v>
      </c>
      <c r="L49" s="8">
        <f t="shared" si="0"/>
        <v>9.7568881685582436E-4</v>
      </c>
      <c r="M49" s="5">
        <v>44613</v>
      </c>
      <c r="N49" s="9">
        <f t="shared" si="1"/>
        <v>-1.4648171138214559E-3</v>
      </c>
      <c r="O49" s="5">
        <v>44613</v>
      </c>
      <c r="P49">
        <f t="shared" si="3"/>
        <v>0.99893081088899749</v>
      </c>
      <c r="Q49" s="6">
        <f t="shared" si="4"/>
        <v>0.99973007288032234</v>
      </c>
      <c r="R49">
        <f t="shared" si="5"/>
        <v>-7.9979754486733451E-4</v>
      </c>
      <c r="T49" s="5">
        <v>44613</v>
      </c>
      <c r="U49" s="1">
        <v>-7.9979754486733451E-4</v>
      </c>
    </row>
    <row r="50" spans="3:21" x14ac:dyDescent="0.2">
      <c r="C50" s="5">
        <v>44614</v>
      </c>
      <c r="D50" s="6">
        <v>1.0002</v>
      </c>
      <c r="E50" s="6">
        <v>38204.21</v>
      </c>
      <c r="F50" s="6">
        <v>38225.5</v>
      </c>
      <c r="G50" s="6">
        <v>38262.86</v>
      </c>
      <c r="H50" s="6">
        <v>38238</v>
      </c>
      <c r="I50" s="5">
        <v>44614</v>
      </c>
      <c r="J50" s="7">
        <f t="shared" si="2"/>
        <v>8.8445749827050142E-4</v>
      </c>
      <c r="K50" s="5">
        <v>44614</v>
      </c>
      <c r="L50" s="8">
        <f t="shared" si="0"/>
        <v>9.7735804633034451E-4</v>
      </c>
      <c r="M50" s="5">
        <v>44614</v>
      </c>
      <c r="N50" s="9">
        <f t="shared" si="1"/>
        <v>1.8618155446008459E-3</v>
      </c>
      <c r="O50" s="5">
        <v>44614</v>
      </c>
      <c r="P50">
        <f t="shared" si="3"/>
        <v>0.99935028380000868</v>
      </c>
      <c r="Q50" s="6">
        <f t="shared" si="4"/>
        <v>0.99980003999200162</v>
      </c>
      <c r="R50">
        <f t="shared" si="5"/>
        <v>-4.4994735436167761E-4</v>
      </c>
      <c r="T50" s="5">
        <v>44614</v>
      </c>
      <c r="U50" s="1">
        <v>-4.4994735436167761E-4</v>
      </c>
    </row>
    <row r="51" spans="3:21" x14ac:dyDescent="0.2">
      <c r="C51" s="5">
        <v>44615</v>
      </c>
      <c r="D51" s="6">
        <v>0.99960000000000004</v>
      </c>
      <c r="E51" s="6">
        <v>37190.17</v>
      </c>
      <c r="F51" s="6">
        <v>37253.5</v>
      </c>
      <c r="G51" s="6">
        <v>37260.129999999997</v>
      </c>
      <c r="H51" s="6">
        <v>37265</v>
      </c>
      <c r="I51" s="5">
        <v>44615</v>
      </c>
      <c r="J51" s="7">
        <f t="shared" si="2"/>
        <v>2.0120908293778102E-3</v>
      </c>
      <c r="K51" s="5">
        <v>44615</v>
      </c>
      <c r="L51" s="8">
        <f t="shared" si="0"/>
        <v>1.7796985518132204E-4</v>
      </c>
      <c r="M51" s="5">
        <v>44615</v>
      </c>
      <c r="N51" s="9">
        <f t="shared" si="1"/>
        <v>2.1900606845591322E-3</v>
      </c>
      <c r="O51" s="5">
        <v>44615</v>
      </c>
      <c r="P51">
        <f t="shared" si="3"/>
        <v>1.0001307027109139</v>
      </c>
      <c r="Q51" s="6">
        <f t="shared" si="4"/>
        <v>1.0004001600640255</v>
      </c>
      <c r="R51">
        <f t="shared" si="5"/>
        <v>-2.693858512809301E-4</v>
      </c>
      <c r="T51" s="5">
        <v>44615</v>
      </c>
      <c r="U51" s="1">
        <v>-2.693858512809301E-4</v>
      </c>
    </row>
    <row r="52" spans="3:21" x14ac:dyDescent="0.2">
      <c r="C52" s="5">
        <v>44616</v>
      </c>
      <c r="D52" s="6">
        <v>0.99995000000000001</v>
      </c>
      <c r="E52" s="6">
        <v>38339.74</v>
      </c>
      <c r="F52" s="6">
        <v>38341</v>
      </c>
      <c r="G52" s="6">
        <v>38272.53</v>
      </c>
      <c r="H52" s="6">
        <v>38339</v>
      </c>
      <c r="I52" s="5">
        <v>44616</v>
      </c>
      <c r="J52" s="7">
        <f t="shared" si="2"/>
        <v>-1.9301122021118629E-5</v>
      </c>
      <c r="K52" s="5">
        <v>44616</v>
      </c>
      <c r="L52" s="8">
        <f t="shared" si="0"/>
        <v>-1.78581674969357E-3</v>
      </c>
      <c r="M52" s="5">
        <v>44616</v>
      </c>
      <c r="N52" s="9">
        <f t="shared" si="1"/>
        <v>-1.8051178717146887E-3</v>
      </c>
      <c r="O52" s="5">
        <v>44616</v>
      </c>
      <c r="P52">
        <f t="shared" si="3"/>
        <v>1.0017367547951495</v>
      </c>
      <c r="Q52" s="6">
        <f t="shared" si="4"/>
        <v>1.0000500025001251</v>
      </c>
      <c r="R52">
        <f t="shared" si="5"/>
        <v>1.6852471304282784E-3</v>
      </c>
      <c r="T52" s="5">
        <v>44616</v>
      </c>
      <c r="U52" s="1">
        <v>1.6852471304282784E-3</v>
      </c>
    </row>
    <row r="53" spans="3:21" x14ac:dyDescent="0.2">
      <c r="C53" s="5">
        <v>44617</v>
      </c>
      <c r="D53" s="6">
        <v>1</v>
      </c>
      <c r="E53" s="6">
        <v>39253.870000000003</v>
      </c>
      <c r="F53" s="6">
        <v>39204</v>
      </c>
      <c r="G53" s="6">
        <v>39234.85</v>
      </c>
      <c r="H53" s="6">
        <v>39221</v>
      </c>
      <c r="I53" s="5">
        <v>44617</v>
      </c>
      <c r="J53" s="7">
        <f t="shared" si="2"/>
        <v>-8.37369665717103E-4</v>
      </c>
      <c r="K53" s="5">
        <v>44617</v>
      </c>
      <c r="L53" s="8">
        <f t="shared" si="0"/>
        <v>7.8690949903067401E-4</v>
      </c>
      <c r="M53" s="5">
        <v>44617</v>
      </c>
      <c r="N53" s="9">
        <f t="shared" si="1"/>
        <v>-5.0460166686428984E-5</v>
      </c>
      <c r="O53" s="5">
        <v>44617</v>
      </c>
      <c r="P53">
        <f t="shared" si="3"/>
        <v>0.99964699750349495</v>
      </c>
      <c r="Q53" s="6">
        <f t="shared" si="4"/>
        <v>1</v>
      </c>
      <c r="R53">
        <f t="shared" si="5"/>
        <v>-3.5306481655283966E-4</v>
      </c>
      <c r="T53" s="5">
        <v>44617</v>
      </c>
      <c r="U53" s="1">
        <v>-3.5306481655283966E-4</v>
      </c>
    </row>
    <row r="54" spans="3:21" x14ac:dyDescent="0.2">
      <c r="C54" s="5">
        <v>44618</v>
      </c>
      <c r="D54" s="6">
        <v>1.00021</v>
      </c>
      <c r="E54" s="6">
        <v>39120.43</v>
      </c>
      <c r="F54" s="6">
        <v>39112</v>
      </c>
      <c r="G54" s="6">
        <v>39151.89</v>
      </c>
      <c r="H54" s="6">
        <v>39089</v>
      </c>
      <c r="I54" s="5">
        <v>44618</v>
      </c>
      <c r="J54" s="7">
        <f t="shared" si="2"/>
        <v>-8.0341652686333686E-4</v>
      </c>
      <c r="K54" s="5">
        <v>44618</v>
      </c>
      <c r="L54" s="8">
        <f t="shared" si="0"/>
        <v>1.019891593372863E-3</v>
      </c>
      <c r="M54" s="5">
        <v>44618</v>
      </c>
      <c r="N54" s="9">
        <f t="shared" si="1"/>
        <v>2.1647506650952612E-4</v>
      </c>
      <c r="O54" s="5">
        <v>44618</v>
      </c>
      <c r="P54">
        <f t="shared" si="3"/>
        <v>0.99839369184986981</v>
      </c>
      <c r="Q54" s="6">
        <f t="shared" si="4"/>
        <v>0.9997900440907409</v>
      </c>
      <c r="R54">
        <f t="shared" si="5"/>
        <v>-1.397621693192669E-3</v>
      </c>
      <c r="T54" s="5">
        <v>44618</v>
      </c>
      <c r="U54" s="1">
        <v>-1.397621693192669E-3</v>
      </c>
    </row>
    <row r="55" spans="3:21" x14ac:dyDescent="0.2">
      <c r="C55" s="5">
        <v>44619</v>
      </c>
      <c r="D55" s="6">
        <v>1.0004</v>
      </c>
      <c r="E55" s="6">
        <v>37650.76</v>
      </c>
      <c r="F55" s="6">
        <v>37700</v>
      </c>
      <c r="G55" s="6">
        <v>37741.32</v>
      </c>
      <c r="H55" s="6">
        <v>37669</v>
      </c>
      <c r="I55" s="5">
        <v>44619</v>
      </c>
      <c r="J55" s="7">
        <f t="shared" si="2"/>
        <v>4.8445237227609647E-4</v>
      </c>
      <c r="K55" s="5">
        <v>44619</v>
      </c>
      <c r="L55" s="8">
        <f t="shared" si="0"/>
        <v>1.0960212201591435E-3</v>
      </c>
      <c r="M55" s="5">
        <v>44619</v>
      </c>
      <c r="N55" s="9">
        <f t="shared" si="1"/>
        <v>1.58047359243524E-3</v>
      </c>
      <c r="O55" s="5">
        <v>44619</v>
      </c>
      <c r="P55">
        <f t="shared" si="3"/>
        <v>0.99808379781099332</v>
      </c>
      <c r="Q55" s="6">
        <f t="shared" si="4"/>
        <v>0.99960015993602558</v>
      </c>
      <c r="R55">
        <f t="shared" si="5"/>
        <v>-1.518120431793492E-3</v>
      </c>
      <c r="T55" s="5">
        <v>44619</v>
      </c>
      <c r="U55" s="1">
        <v>-1.518120431793492E-3</v>
      </c>
    </row>
    <row r="56" spans="3:21" x14ac:dyDescent="0.2">
      <c r="C56" s="5">
        <v>44620</v>
      </c>
      <c r="D56" s="6">
        <v>1.00024</v>
      </c>
      <c r="E56" s="6">
        <v>43196.11</v>
      </c>
      <c r="F56" s="6">
        <v>43180</v>
      </c>
      <c r="G56" s="6">
        <v>43171.59</v>
      </c>
      <c r="H56" s="6">
        <v>43179.5</v>
      </c>
      <c r="I56" s="5">
        <v>44620</v>
      </c>
      <c r="J56" s="7">
        <f t="shared" si="2"/>
        <v>-3.8452536582577878E-4</v>
      </c>
      <c r="K56" s="5">
        <v>44620</v>
      </c>
      <c r="L56" s="8">
        <f t="shared" si="0"/>
        <v>-1.9476609541462466E-4</v>
      </c>
      <c r="M56" s="5">
        <v>44620</v>
      </c>
      <c r="N56" s="9">
        <f t="shared" si="1"/>
        <v>-5.7929146124040341E-4</v>
      </c>
      <c r="O56" s="5">
        <v>44620</v>
      </c>
      <c r="P56">
        <f t="shared" si="3"/>
        <v>1.0001832223459921</v>
      </c>
      <c r="Q56" s="6">
        <f t="shared" si="4"/>
        <v>0.99976005758617925</v>
      </c>
      <c r="R56">
        <f t="shared" si="5"/>
        <v>4.2317676743539728E-4</v>
      </c>
      <c r="T56" s="5">
        <v>44620</v>
      </c>
      <c r="U56" s="1">
        <v>4.2317676743539728E-4</v>
      </c>
    </row>
    <row r="57" spans="3:21" x14ac:dyDescent="0.2">
      <c r="C57" s="5">
        <v>44621</v>
      </c>
      <c r="D57" s="6">
        <v>0.99990000000000001</v>
      </c>
      <c r="E57" s="6">
        <v>44381.58</v>
      </c>
      <c r="F57" s="6">
        <v>44421.5</v>
      </c>
      <c r="G57" s="6">
        <v>44469.58</v>
      </c>
      <c r="H57" s="6">
        <v>44432.5</v>
      </c>
      <c r="I57" s="5">
        <v>44621</v>
      </c>
      <c r="J57" s="7">
        <f t="shared" si="2"/>
        <v>1.1473228307779546E-3</v>
      </c>
      <c r="K57" s="5">
        <v>44621</v>
      </c>
      <c r="L57" s="8">
        <f t="shared" si="0"/>
        <v>1.0823587677138715E-3</v>
      </c>
      <c r="M57" s="5">
        <v>44621</v>
      </c>
      <c r="N57" s="9">
        <f t="shared" si="1"/>
        <v>2.2296815984918263E-3</v>
      </c>
      <c r="O57" s="5">
        <v>44621</v>
      </c>
      <c r="P57">
        <f t="shared" si="3"/>
        <v>0.99916617157166754</v>
      </c>
      <c r="Q57" s="6">
        <f t="shared" si="4"/>
        <v>1.000100010001</v>
      </c>
      <c r="R57">
        <f t="shared" si="5"/>
        <v>-9.3418125695592276E-4</v>
      </c>
      <c r="T57" s="5">
        <v>44621</v>
      </c>
      <c r="U57" s="1">
        <v>-9.3418125695592276E-4</v>
      </c>
    </row>
    <row r="58" spans="3:21" x14ac:dyDescent="0.2">
      <c r="C58" s="5">
        <v>44622</v>
      </c>
      <c r="D58" s="6">
        <v>1.0000800000000001</v>
      </c>
      <c r="E58" s="6">
        <v>43891.48</v>
      </c>
      <c r="F58" s="6">
        <v>43930.5</v>
      </c>
      <c r="G58" s="6">
        <v>43898.87</v>
      </c>
      <c r="H58" s="6">
        <v>43918.5</v>
      </c>
      <c r="I58" s="5">
        <v>44622</v>
      </c>
      <c r="J58" s="7">
        <f t="shared" si="2"/>
        <v>6.1560922529832203E-4</v>
      </c>
      <c r="K58" s="5">
        <v>44622</v>
      </c>
      <c r="L58" s="8">
        <f t="shared" si="0"/>
        <v>-7.2000091052907157E-4</v>
      </c>
      <c r="M58" s="5">
        <v>44622</v>
      </c>
      <c r="N58" s="9">
        <f t="shared" si="1"/>
        <v>-1.0439168523074954E-4</v>
      </c>
      <c r="O58" s="5">
        <v>44622</v>
      </c>
      <c r="P58">
        <f t="shared" si="3"/>
        <v>1.0004471641297372</v>
      </c>
      <c r="Q58" s="6">
        <f t="shared" si="4"/>
        <v>0.99992000639948797</v>
      </c>
      <c r="R58">
        <f t="shared" si="5"/>
        <v>5.2706098182292991E-4</v>
      </c>
      <c r="T58" s="5">
        <v>44622</v>
      </c>
      <c r="U58" s="1">
        <v>5.2706098182292991E-4</v>
      </c>
    </row>
    <row r="59" spans="3:21" x14ac:dyDescent="0.2">
      <c r="C59" s="5">
        <v>44623</v>
      </c>
      <c r="D59" s="6">
        <v>0.99960000000000004</v>
      </c>
      <c r="E59" s="6">
        <v>42472.26</v>
      </c>
      <c r="F59" s="6">
        <v>42464.5</v>
      </c>
      <c r="G59" s="6">
        <v>42471.69</v>
      </c>
      <c r="H59" s="6">
        <v>42445</v>
      </c>
      <c r="I59" s="5">
        <v>44623</v>
      </c>
      <c r="J59" s="7">
        <f t="shared" si="2"/>
        <v>-6.4183069137366451E-4</v>
      </c>
      <c r="K59" s="5">
        <v>44623</v>
      </c>
      <c r="L59" s="8">
        <f t="shared" si="0"/>
        <v>1.693179008348698E-4</v>
      </c>
      <c r="M59" s="5">
        <v>44623</v>
      </c>
      <c r="N59" s="9">
        <f t="shared" si="1"/>
        <v>-4.7251279053879471E-4</v>
      </c>
      <c r="O59" s="5">
        <v>44623</v>
      </c>
      <c r="P59">
        <f t="shared" si="3"/>
        <v>0.99937158139928028</v>
      </c>
      <c r="Q59" s="6">
        <f t="shared" si="4"/>
        <v>1.0004001600640255</v>
      </c>
      <c r="R59">
        <f t="shared" si="5"/>
        <v>-1.028696159790178E-3</v>
      </c>
      <c r="T59" s="5">
        <v>44623</v>
      </c>
      <c r="U59" s="1">
        <v>-1.028696159790178E-3</v>
      </c>
    </row>
    <row r="60" spans="3:21" x14ac:dyDescent="0.2">
      <c r="C60" s="5">
        <v>44624</v>
      </c>
      <c r="D60" s="6">
        <v>1.0000100000000001</v>
      </c>
      <c r="E60" s="6">
        <v>39167</v>
      </c>
      <c r="F60" s="6">
        <v>39100</v>
      </c>
      <c r="G60" s="6">
        <v>39183.4</v>
      </c>
      <c r="H60" s="6">
        <v>39123</v>
      </c>
      <c r="I60" s="5">
        <v>44624</v>
      </c>
      <c r="J60" s="7">
        <f t="shared" si="2"/>
        <v>-1.1233946945132382E-3</v>
      </c>
      <c r="K60" s="5">
        <v>44624</v>
      </c>
      <c r="L60" s="8">
        <f t="shared" si="0"/>
        <v>2.1329923273657662E-3</v>
      </c>
      <c r="M60" s="5">
        <v>44624</v>
      </c>
      <c r="N60" s="9">
        <f t="shared" si="1"/>
        <v>1.0095976328525281E-3</v>
      </c>
      <c r="O60" s="5">
        <v>44624</v>
      </c>
      <c r="P60">
        <f t="shared" si="3"/>
        <v>0.9984585309084969</v>
      </c>
      <c r="Q60" s="6">
        <f t="shared" si="4"/>
        <v>0.99999000009999894</v>
      </c>
      <c r="R60">
        <f t="shared" si="5"/>
        <v>-1.5326584273047774E-3</v>
      </c>
      <c r="T60" s="5">
        <v>44624</v>
      </c>
      <c r="U60" s="1">
        <v>-1.5326584273047774E-3</v>
      </c>
    </row>
    <row r="61" spans="3:21" x14ac:dyDescent="0.2">
      <c r="C61" s="5">
        <v>44625</v>
      </c>
      <c r="D61" s="6">
        <v>1</v>
      </c>
      <c r="E61" s="6">
        <v>39425.65</v>
      </c>
      <c r="F61" s="6">
        <v>39382</v>
      </c>
      <c r="G61" s="6">
        <v>39432.82</v>
      </c>
      <c r="H61" s="6">
        <v>39382.5</v>
      </c>
      <c r="I61" s="5">
        <v>44625</v>
      </c>
      <c r="J61" s="7">
        <f t="shared" si="2"/>
        <v>-1.0944651514940517E-3</v>
      </c>
      <c r="K61" s="5">
        <v>44625</v>
      </c>
      <c r="L61" s="8">
        <f t="shared" si="0"/>
        <v>1.2904372555989972E-3</v>
      </c>
      <c r="M61" s="5">
        <v>44625</v>
      </c>
      <c r="N61" s="9">
        <f t="shared" si="1"/>
        <v>1.9597210410494557E-4</v>
      </c>
      <c r="O61" s="5">
        <v>44625</v>
      </c>
      <c r="P61">
        <f t="shared" si="3"/>
        <v>0.99872390561973501</v>
      </c>
      <c r="Q61" s="6">
        <f t="shared" si="4"/>
        <v>1</v>
      </c>
      <c r="R61">
        <f t="shared" si="5"/>
        <v>-1.2769092820334807E-3</v>
      </c>
      <c r="T61" s="5">
        <v>44625</v>
      </c>
      <c r="U61" s="1">
        <v>-1.2769092820334807E-3</v>
      </c>
    </row>
    <row r="62" spans="3:21" x14ac:dyDescent="0.2">
      <c r="C62" s="5">
        <v>44626</v>
      </c>
      <c r="D62" s="6">
        <v>1.0006900000000001</v>
      </c>
      <c r="E62" s="6">
        <v>38336.17</v>
      </c>
      <c r="F62" s="6">
        <v>38395.5</v>
      </c>
      <c r="G62" s="6">
        <v>38422.71</v>
      </c>
      <c r="H62" s="6">
        <v>38411.5</v>
      </c>
      <c r="I62" s="5">
        <v>44626</v>
      </c>
      <c r="J62" s="7">
        <f t="shared" si="2"/>
        <v>1.9649850258907386E-3</v>
      </c>
      <c r="K62" s="5">
        <v>44626</v>
      </c>
      <c r="L62" s="8">
        <f t="shared" si="0"/>
        <v>7.0867679806225017E-4</v>
      </c>
      <c r="M62" s="5">
        <v>44626</v>
      </c>
      <c r="N62" s="9">
        <f t="shared" si="1"/>
        <v>2.6736618239529887E-3</v>
      </c>
      <c r="O62" s="5">
        <v>44626</v>
      </c>
      <c r="P62">
        <f t="shared" si="3"/>
        <v>0.99970824546212389</v>
      </c>
      <c r="Q62" s="6">
        <f t="shared" si="4"/>
        <v>0.99931047577171739</v>
      </c>
      <c r="R62">
        <f t="shared" si="5"/>
        <v>3.9796495293518725E-4</v>
      </c>
      <c r="T62" s="5">
        <v>44626</v>
      </c>
      <c r="U62" s="1">
        <v>3.9796495293518725E-4</v>
      </c>
    </row>
    <row r="63" spans="3:21" x14ac:dyDescent="0.2">
      <c r="C63" s="5">
        <v>44627</v>
      </c>
      <c r="D63" s="6">
        <v>1.0001800000000001</v>
      </c>
      <c r="E63" s="6">
        <v>37973</v>
      </c>
      <c r="F63" s="6">
        <v>37985.5</v>
      </c>
      <c r="G63" s="6">
        <v>38029.1</v>
      </c>
      <c r="H63" s="6">
        <v>37999</v>
      </c>
      <c r="I63" s="5">
        <v>44627</v>
      </c>
      <c r="J63" s="7">
        <f t="shared" si="2"/>
        <v>6.8469702156795614E-4</v>
      </c>
      <c r="K63" s="5">
        <v>44627</v>
      </c>
      <c r="L63" s="8">
        <f t="shared" si="0"/>
        <v>1.1478063998104156E-3</v>
      </c>
      <c r="M63" s="5">
        <v>44627</v>
      </c>
      <c r="N63" s="9">
        <f t="shared" si="1"/>
        <v>1.8325034213783717E-3</v>
      </c>
      <c r="O63" s="5">
        <v>44627</v>
      </c>
      <c r="P63">
        <f t="shared" si="3"/>
        <v>0.99920850085855306</v>
      </c>
      <c r="Q63" s="6">
        <f t="shared" si="4"/>
        <v>0.99982003239416894</v>
      </c>
      <c r="R63">
        <f t="shared" si="5"/>
        <v>-6.1182874033050645E-4</v>
      </c>
      <c r="T63" s="5">
        <v>44627</v>
      </c>
      <c r="U63" s="1">
        <v>-6.1182874033050645E-4</v>
      </c>
    </row>
    <row r="64" spans="3:21" x14ac:dyDescent="0.2">
      <c r="C64" s="5">
        <v>44628</v>
      </c>
      <c r="D64" s="6">
        <v>0.99975999999999998</v>
      </c>
      <c r="E64" s="6">
        <v>38777.68</v>
      </c>
      <c r="F64" s="6">
        <v>38739.5</v>
      </c>
      <c r="G64" s="6">
        <v>38732.58</v>
      </c>
      <c r="H64" s="6">
        <v>38718</v>
      </c>
      <c r="I64" s="5">
        <v>44628</v>
      </c>
      <c r="J64" s="7">
        <f t="shared" si="2"/>
        <v>-1.5390296686134985E-3</v>
      </c>
      <c r="K64" s="5">
        <v>44628</v>
      </c>
      <c r="L64" s="8">
        <f t="shared" si="0"/>
        <v>-1.7862904787099094E-4</v>
      </c>
      <c r="M64" s="5">
        <v>44628</v>
      </c>
      <c r="N64" s="9">
        <f t="shared" si="1"/>
        <v>-1.7176587164844893E-3</v>
      </c>
      <c r="O64" s="5">
        <v>44628</v>
      </c>
      <c r="P64">
        <f t="shared" si="3"/>
        <v>0.99962357271320423</v>
      </c>
      <c r="Q64" s="6">
        <f t="shared" si="4"/>
        <v>1.0002400576138273</v>
      </c>
      <c r="R64">
        <f t="shared" si="5"/>
        <v>-6.1652695794030396E-4</v>
      </c>
      <c r="T64" s="5">
        <v>44628</v>
      </c>
      <c r="U64" s="1">
        <v>-6.1652695794030396E-4</v>
      </c>
    </row>
    <row r="65" spans="3:21" x14ac:dyDescent="0.2">
      <c r="C65" s="5">
        <v>44629</v>
      </c>
      <c r="D65" s="6">
        <v>0.99970000000000003</v>
      </c>
      <c r="E65" s="6">
        <v>42018.53</v>
      </c>
      <c r="F65" s="6">
        <v>41935</v>
      </c>
      <c r="G65" s="6">
        <v>41960.73</v>
      </c>
      <c r="H65" s="6">
        <v>41939.5</v>
      </c>
      <c r="I65" s="5">
        <v>44629</v>
      </c>
      <c r="J65" s="7">
        <f t="shared" si="2"/>
        <v>-1.8808368593570227E-3</v>
      </c>
      <c r="K65" s="5">
        <v>44629</v>
      </c>
      <c r="L65" s="8">
        <f t="shared" si="0"/>
        <v>6.1356861809951601E-4</v>
      </c>
      <c r="M65" s="5">
        <v>44629</v>
      </c>
      <c r="N65" s="9">
        <f t="shared" si="1"/>
        <v>-1.2672682412575068E-3</v>
      </c>
      <c r="O65" s="5">
        <v>44629</v>
      </c>
      <c r="P65">
        <f t="shared" si="3"/>
        <v>0.99949405074697217</v>
      </c>
      <c r="Q65" s="6">
        <f t="shared" si="4"/>
        <v>1.000300090027008</v>
      </c>
      <c r="R65">
        <f t="shared" si="5"/>
        <v>-8.061222975412122E-4</v>
      </c>
      <c r="T65" s="5">
        <v>44629</v>
      </c>
      <c r="U65" s="1">
        <v>-8.061222975412122E-4</v>
      </c>
    </row>
    <row r="66" spans="3:21" x14ac:dyDescent="0.2">
      <c r="C66" s="5">
        <v>44630</v>
      </c>
      <c r="D66" s="6">
        <v>0.99963000000000002</v>
      </c>
      <c r="E66" s="6">
        <v>39471.83</v>
      </c>
      <c r="F66" s="6">
        <v>39423.5</v>
      </c>
      <c r="G66" s="6">
        <v>39468.660000000003</v>
      </c>
      <c r="H66" s="6">
        <v>39401.5</v>
      </c>
      <c r="I66" s="5">
        <v>44630</v>
      </c>
      <c r="J66" s="7">
        <f t="shared" si="2"/>
        <v>-1.7817770293397023E-3</v>
      </c>
      <c r="K66" s="5">
        <v>44630</v>
      </c>
      <c r="L66" s="8">
        <f t="shared" si="0"/>
        <v>1.1455096579452229E-3</v>
      </c>
      <c r="M66" s="5">
        <v>44630</v>
      </c>
      <c r="N66" s="9">
        <f t="shared" si="1"/>
        <v>-6.3626737139447945E-4</v>
      </c>
      <c r="O66" s="5">
        <v>44630</v>
      </c>
      <c r="P66">
        <f t="shared" si="3"/>
        <v>0.99829839675327203</v>
      </c>
      <c r="Q66" s="6">
        <f t="shared" si="4"/>
        <v>1.0003701369506717</v>
      </c>
      <c r="R66">
        <f t="shared" si="5"/>
        <v>-2.0731210848247356E-3</v>
      </c>
      <c r="T66" s="5">
        <v>44630</v>
      </c>
      <c r="U66" s="1">
        <v>-2.0731210848247356E-3</v>
      </c>
    </row>
    <row r="67" spans="3:21" x14ac:dyDescent="0.2">
      <c r="C67" s="5">
        <v>44631</v>
      </c>
      <c r="D67" s="6">
        <v>0.99970000000000003</v>
      </c>
      <c r="E67" s="6">
        <v>38736.99</v>
      </c>
      <c r="F67" s="6">
        <v>38708</v>
      </c>
      <c r="G67" s="6">
        <v>38783.300000000003</v>
      </c>
      <c r="H67" s="6">
        <v>38712</v>
      </c>
      <c r="I67" s="5">
        <v>44631</v>
      </c>
      <c r="J67" s="7">
        <f t="shared" si="2"/>
        <v>-6.4511981958324501E-4</v>
      </c>
      <c r="K67" s="5">
        <v>44631</v>
      </c>
      <c r="L67" s="8">
        <f t="shared" si="0"/>
        <v>1.9453342978196474E-3</v>
      </c>
      <c r="M67" s="5">
        <v>44631</v>
      </c>
      <c r="N67" s="9">
        <f t="shared" si="1"/>
        <v>1.3002144782364024E-3</v>
      </c>
      <c r="O67" s="5">
        <v>44631</v>
      </c>
      <c r="P67">
        <f t="shared" si="3"/>
        <v>0.99816157985524689</v>
      </c>
      <c r="Q67" s="6">
        <f t="shared" si="4"/>
        <v>1.000300090027008</v>
      </c>
      <c r="R67">
        <f t="shared" si="5"/>
        <v>-2.1401571220864548E-3</v>
      </c>
      <c r="T67" s="5">
        <v>44631</v>
      </c>
      <c r="U67" s="1">
        <v>-2.1401571220864548E-3</v>
      </c>
    </row>
    <row r="68" spans="3:21" x14ac:dyDescent="0.2">
      <c r="C68" s="5">
        <v>44632</v>
      </c>
      <c r="D68" s="6">
        <v>0.99846000000000001</v>
      </c>
      <c r="E68" s="6">
        <v>38847.07</v>
      </c>
      <c r="F68" s="6">
        <v>38784</v>
      </c>
      <c r="G68" s="6">
        <v>38902.99</v>
      </c>
      <c r="H68" s="6">
        <v>38773.5</v>
      </c>
      <c r="I68" s="5">
        <v>44632</v>
      </c>
      <c r="J68" s="7">
        <f t="shared" si="2"/>
        <v>-1.8938365235782186E-3</v>
      </c>
      <c r="K68" s="5">
        <v>44632</v>
      </c>
      <c r="L68" s="8">
        <f t="shared" si="0"/>
        <v>3.0680177392738749E-3</v>
      </c>
      <c r="M68" s="5">
        <v>44632</v>
      </c>
      <c r="N68" s="9">
        <f t="shared" si="1"/>
        <v>1.1741812156956563E-3</v>
      </c>
      <c r="O68" s="5">
        <v>44632</v>
      </c>
      <c r="P68">
        <f t="shared" si="3"/>
        <v>0.99667146406998541</v>
      </c>
      <c r="Q68" s="6">
        <f t="shared" si="4"/>
        <v>1.0015423752578971</v>
      </c>
      <c r="R68">
        <f t="shared" si="5"/>
        <v>-4.8752748477825392E-3</v>
      </c>
      <c r="T68" s="5">
        <v>44632</v>
      </c>
      <c r="U68" s="1">
        <v>-4.8752748477825392E-3</v>
      </c>
    </row>
    <row r="69" spans="3:21" x14ac:dyDescent="0.2">
      <c r="C69" s="5">
        <v>44633</v>
      </c>
      <c r="D69" s="6">
        <v>1.0003899999999999</v>
      </c>
      <c r="E69" s="6">
        <v>37841.879999999997</v>
      </c>
      <c r="F69" s="6">
        <v>37754.5</v>
      </c>
      <c r="G69" s="6">
        <v>37929.879999999997</v>
      </c>
      <c r="H69" s="6">
        <v>37772.5</v>
      </c>
      <c r="I69" s="5">
        <v>44633</v>
      </c>
      <c r="J69" s="7">
        <f t="shared" si="2"/>
        <v>-1.833418424243124E-3</v>
      </c>
      <c r="K69" s="5">
        <v>44633</v>
      </c>
      <c r="L69" s="8">
        <f t="shared" si="0"/>
        <v>4.6452740732892076E-3</v>
      </c>
      <c r="M69" s="5">
        <v>44633</v>
      </c>
      <c r="N69" s="9">
        <f t="shared" si="1"/>
        <v>2.8118556490460836E-3</v>
      </c>
      <c r="O69" s="5">
        <v>44633</v>
      </c>
      <c r="P69">
        <f t="shared" si="3"/>
        <v>0.99585076462145417</v>
      </c>
      <c r="Q69" s="6">
        <f t="shared" si="4"/>
        <v>0.99961015204070425</v>
      </c>
      <c r="R69">
        <f t="shared" si="5"/>
        <v>-3.7679433715299276E-3</v>
      </c>
      <c r="T69" s="5">
        <v>44633</v>
      </c>
      <c r="U69" s="1">
        <v>-3.7679433715299276E-3</v>
      </c>
    </row>
    <row r="70" spans="3:21" x14ac:dyDescent="0.2">
      <c r="C70" s="5">
        <v>44634</v>
      </c>
      <c r="D70" s="6">
        <v>0.99970000000000003</v>
      </c>
      <c r="E70" s="6">
        <v>39617.97</v>
      </c>
      <c r="F70" s="6">
        <v>39654.5</v>
      </c>
      <c r="G70" s="6">
        <v>39723.54</v>
      </c>
      <c r="H70" s="6">
        <v>39699.5</v>
      </c>
      <c r="I70" s="5">
        <v>44634</v>
      </c>
      <c r="J70" s="7">
        <f t="shared" si="2"/>
        <v>2.0579045317061636E-3</v>
      </c>
      <c r="K70" s="5">
        <v>44634</v>
      </c>
      <c r="L70" s="8">
        <f t="shared" si="0"/>
        <v>1.7410382176045814E-3</v>
      </c>
      <c r="M70" s="5">
        <v>44634</v>
      </c>
      <c r="N70" s="9">
        <f t="shared" si="1"/>
        <v>3.798942749310745E-3</v>
      </c>
      <c r="O70" s="5">
        <v>44634</v>
      </c>
      <c r="P70">
        <f t="shared" si="3"/>
        <v>0.99939481727962809</v>
      </c>
      <c r="Q70" s="6">
        <f t="shared" si="4"/>
        <v>1.000300090027008</v>
      </c>
      <c r="R70">
        <f t="shared" si="5"/>
        <v>-9.0541092635184435E-4</v>
      </c>
      <c r="T70" s="5">
        <v>44634</v>
      </c>
      <c r="U70" s="1">
        <v>-9.0541092635184435E-4</v>
      </c>
    </row>
    <row r="71" spans="3:21" x14ac:dyDescent="0.2">
      <c r="C71" s="5">
        <v>44635</v>
      </c>
      <c r="D71" s="6">
        <v>1.0003899999999999</v>
      </c>
      <c r="E71" s="6">
        <v>39393.19</v>
      </c>
      <c r="F71" s="6">
        <v>39282</v>
      </c>
      <c r="G71" s="6">
        <v>39334.58</v>
      </c>
      <c r="H71" s="6">
        <v>39289.5</v>
      </c>
      <c r="I71" s="5">
        <v>44635</v>
      </c>
      <c r="J71" s="7">
        <f t="shared" si="2"/>
        <v>-2.6321808414094499E-3</v>
      </c>
      <c r="K71" s="5">
        <v>44635</v>
      </c>
      <c r="L71" s="8">
        <f t="shared" si="0"/>
        <v>1.3385265516012868E-3</v>
      </c>
      <c r="M71" s="5">
        <v>44635</v>
      </c>
      <c r="N71" s="9">
        <f t="shared" si="1"/>
        <v>-1.2936542898081631E-3</v>
      </c>
      <c r="O71" s="5">
        <v>44635</v>
      </c>
      <c r="P71">
        <f t="shared" si="3"/>
        <v>0.99885393462952954</v>
      </c>
      <c r="Q71" s="6">
        <f t="shared" si="4"/>
        <v>0.99961015204070425</v>
      </c>
      <c r="R71">
        <f t="shared" si="5"/>
        <v>-7.5679863582433322E-4</v>
      </c>
      <c r="T71" s="5">
        <v>44635</v>
      </c>
      <c r="U71" s="1">
        <v>-7.5679863582433322E-4</v>
      </c>
    </row>
    <row r="72" spans="3:21" x14ac:dyDescent="0.2">
      <c r="C72" s="5">
        <v>44636</v>
      </c>
      <c r="D72" s="6">
        <v>0.99973999999999996</v>
      </c>
      <c r="E72" s="6">
        <v>41162.03</v>
      </c>
      <c r="F72" s="6">
        <v>41123</v>
      </c>
      <c r="G72" s="6">
        <v>41135.99</v>
      </c>
      <c r="H72" s="6">
        <v>41118</v>
      </c>
      <c r="I72" s="5">
        <v>44636</v>
      </c>
      <c r="J72" s="7">
        <f t="shared" si="2"/>
        <v>-1.0696751350698407E-3</v>
      </c>
      <c r="K72" s="5">
        <v>44636</v>
      </c>
      <c r="L72" s="8">
        <f t="shared" si="0"/>
        <v>3.1588162342236615E-4</v>
      </c>
      <c r="M72" s="5">
        <v>44636</v>
      </c>
      <c r="N72" s="9">
        <f t="shared" si="1"/>
        <v>-7.537935116474746E-4</v>
      </c>
      <c r="O72" s="5">
        <v>44636</v>
      </c>
      <c r="P72">
        <f t="shared" si="3"/>
        <v>0.99956267006093702</v>
      </c>
      <c r="Q72" s="6">
        <f t="shared" si="4"/>
        <v>1.0002600676175806</v>
      </c>
      <c r="R72">
        <f t="shared" si="5"/>
        <v>-6.9745940155057327E-4</v>
      </c>
      <c r="T72" s="5">
        <v>44636</v>
      </c>
      <c r="U72" s="1">
        <v>-6.9745940155057327E-4</v>
      </c>
    </row>
    <row r="73" spans="3:21" x14ac:dyDescent="0.2">
      <c r="C73" s="5">
        <v>44637</v>
      </c>
      <c r="D73" s="6">
        <v>0.99970000000000003</v>
      </c>
      <c r="E73" s="6">
        <v>40861.480000000003</v>
      </c>
      <c r="F73" s="6">
        <v>40908.5</v>
      </c>
      <c r="G73" s="6">
        <v>40985.11</v>
      </c>
      <c r="H73" s="6">
        <v>40915</v>
      </c>
      <c r="I73" s="5">
        <v>44637</v>
      </c>
      <c r="J73" s="7">
        <f t="shared" si="2"/>
        <v>1.3097910305744382E-3</v>
      </c>
      <c r="K73" s="5">
        <v>44637</v>
      </c>
      <c r="L73" s="8">
        <f t="shared" si="0"/>
        <v>1.8727159392302475E-3</v>
      </c>
      <c r="M73" s="5">
        <v>44637</v>
      </c>
      <c r="N73" s="9">
        <f t="shared" si="1"/>
        <v>3.1825069698046857E-3</v>
      </c>
      <c r="O73" s="5">
        <v>44637</v>
      </c>
      <c r="P73">
        <f t="shared" si="3"/>
        <v>0.99828937875242985</v>
      </c>
      <c r="Q73" s="6">
        <f t="shared" si="4"/>
        <v>1.000300090027008</v>
      </c>
      <c r="R73">
        <f t="shared" si="5"/>
        <v>-2.0121310397963345E-3</v>
      </c>
      <c r="T73" s="5">
        <v>44637</v>
      </c>
      <c r="U73" s="1">
        <v>-2.0121310397963345E-3</v>
      </c>
    </row>
    <row r="74" spans="3:21" x14ac:dyDescent="0.2">
      <c r="C74" s="5">
        <v>44638</v>
      </c>
      <c r="D74" s="6">
        <v>0.99970000000000003</v>
      </c>
      <c r="E74" s="6">
        <v>41828.89</v>
      </c>
      <c r="F74" s="6">
        <v>41766</v>
      </c>
      <c r="G74" s="6">
        <v>41842.57</v>
      </c>
      <c r="H74" s="6">
        <v>41771</v>
      </c>
      <c r="I74" s="5">
        <v>44638</v>
      </c>
      <c r="J74" s="7">
        <f t="shared" si="2"/>
        <v>-1.3839716999422987E-3</v>
      </c>
      <c r="K74" s="5">
        <v>44638</v>
      </c>
      <c r="L74" s="8">
        <f t="shared" si="0"/>
        <v>1.8333093904132479E-3</v>
      </c>
      <c r="M74" s="5">
        <v>44638</v>
      </c>
      <c r="N74" s="9">
        <f t="shared" si="1"/>
        <v>4.4933769047094925E-4</v>
      </c>
      <c r="O74" s="5">
        <v>44638</v>
      </c>
      <c r="P74">
        <f t="shared" si="3"/>
        <v>0.99828954101050671</v>
      </c>
      <c r="Q74" s="6">
        <f t="shared" si="4"/>
        <v>1.000300090027008</v>
      </c>
      <c r="R74">
        <f t="shared" si="5"/>
        <v>-2.0119685036949211E-3</v>
      </c>
      <c r="T74" s="5">
        <v>44638</v>
      </c>
      <c r="U74" s="1">
        <v>-2.0119685036949211E-3</v>
      </c>
    </row>
    <row r="75" spans="3:21" x14ac:dyDescent="0.2">
      <c r="C75" s="5">
        <v>44639</v>
      </c>
      <c r="D75" s="6">
        <v>1.0003299999999999</v>
      </c>
      <c r="E75" s="6">
        <v>42154.68</v>
      </c>
      <c r="F75" s="6">
        <v>42215</v>
      </c>
      <c r="G75" s="6">
        <v>42244.47</v>
      </c>
      <c r="H75" s="6">
        <v>42230</v>
      </c>
      <c r="I75" s="5">
        <v>44639</v>
      </c>
      <c r="J75" s="7">
        <f t="shared" si="2"/>
        <v>1.786752977368105E-3</v>
      </c>
      <c r="K75" s="5">
        <v>44639</v>
      </c>
      <c r="L75" s="8">
        <f t="shared" ref="L75:L138" si="6">(G75-F75)/F75</f>
        <v>6.9809309487151873E-4</v>
      </c>
      <c r="M75" s="5">
        <v>44639</v>
      </c>
      <c r="N75" s="9">
        <f t="shared" ref="N75:N138" si="7">J75+L75</f>
        <v>2.4848460722396238E-3</v>
      </c>
      <c r="O75" s="5">
        <v>44639</v>
      </c>
      <c r="P75">
        <f t="shared" si="3"/>
        <v>0.99965746995997351</v>
      </c>
      <c r="Q75" s="6">
        <f t="shared" si="4"/>
        <v>0.99967010886407492</v>
      </c>
      <c r="R75">
        <f t="shared" si="5"/>
        <v>-1.2643154864101099E-5</v>
      </c>
      <c r="T75" s="5">
        <v>44639</v>
      </c>
      <c r="U75" s="1">
        <v>-1.2643154864101099E-5</v>
      </c>
    </row>
    <row r="76" spans="3:21" x14ac:dyDescent="0.2">
      <c r="C76" s="5">
        <v>44640</v>
      </c>
      <c r="D76" s="6">
        <v>0.99970000000000003</v>
      </c>
      <c r="E76" s="6">
        <v>41243.69</v>
      </c>
      <c r="F76" s="6">
        <v>41267.5</v>
      </c>
      <c r="G76" s="6">
        <v>41321.5</v>
      </c>
      <c r="H76" s="6">
        <v>41287</v>
      </c>
      <c r="I76" s="5">
        <v>44640</v>
      </c>
      <c r="J76" s="7">
        <f t="shared" ref="J76:J139" si="8">(H76-E76)/E76</f>
        <v>1.05010002742232E-3</v>
      </c>
      <c r="K76" s="5">
        <v>44640</v>
      </c>
      <c r="L76" s="8">
        <f t="shared" si="6"/>
        <v>1.3085357727024899E-3</v>
      </c>
      <c r="M76" s="5">
        <v>44640</v>
      </c>
      <c r="N76" s="9">
        <f t="shared" si="7"/>
        <v>2.3586358001248097E-3</v>
      </c>
      <c r="O76" s="5">
        <v>44640</v>
      </c>
      <c r="P76">
        <f t="shared" ref="P76:P139" si="9">(1/G76)*H76</f>
        <v>0.99916508355214595</v>
      </c>
      <c r="Q76" s="6">
        <f t="shared" ref="Q76:Q139" si="10">1/D76</f>
        <v>1.000300090027008</v>
      </c>
      <c r="R76">
        <f t="shared" ref="R76:R139" si="11">LN(P76/Q76)</f>
        <v>-1.1353101937177715E-3</v>
      </c>
      <c r="T76" s="5">
        <v>44640</v>
      </c>
      <c r="U76" s="1">
        <v>-1.1353101937177715E-3</v>
      </c>
    </row>
    <row r="77" spans="3:21" x14ac:dyDescent="0.2">
      <c r="C77" s="5">
        <v>44641</v>
      </c>
      <c r="D77" s="6">
        <v>0.99997000000000003</v>
      </c>
      <c r="E77" s="6">
        <v>41111.96</v>
      </c>
      <c r="F77" s="6">
        <v>40994</v>
      </c>
      <c r="G77" s="6">
        <v>41031.64</v>
      </c>
      <c r="H77" s="6">
        <v>41066</v>
      </c>
      <c r="I77" s="5">
        <v>44641</v>
      </c>
      <c r="J77" s="7">
        <f t="shared" si="8"/>
        <v>-1.1179228623495237E-3</v>
      </c>
      <c r="K77" s="5">
        <v>44641</v>
      </c>
      <c r="L77" s="8">
        <f t="shared" si="6"/>
        <v>9.1818314875346196E-4</v>
      </c>
      <c r="M77" s="5">
        <v>44641</v>
      </c>
      <c r="N77" s="9">
        <f t="shared" si="7"/>
        <v>-1.9973971359606179E-4</v>
      </c>
      <c r="O77" s="5">
        <v>44641</v>
      </c>
      <c r="P77">
        <f t="shared" si="9"/>
        <v>1.000837402550812</v>
      </c>
      <c r="Q77" s="6">
        <f t="shared" si="10"/>
        <v>1.0000300009000269</v>
      </c>
      <c r="R77">
        <f t="shared" si="11"/>
        <v>8.0705167490511957E-4</v>
      </c>
      <c r="T77" s="5">
        <v>44641</v>
      </c>
      <c r="U77" s="1">
        <v>8.0705167490511957E-4</v>
      </c>
    </row>
    <row r="78" spans="3:21" x14ac:dyDescent="0.2">
      <c r="C78" s="5">
        <v>44642</v>
      </c>
      <c r="D78" s="6">
        <v>1.0002</v>
      </c>
      <c r="E78" s="6">
        <v>42320.61</v>
      </c>
      <c r="F78" s="6">
        <v>42357</v>
      </c>
      <c r="G78" s="6">
        <v>42407.08</v>
      </c>
      <c r="H78" s="6">
        <v>42385</v>
      </c>
      <c r="I78" s="5">
        <v>44642</v>
      </c>
      <c r="J78" s="7">
        <f t="shared" si="8"/>
        <v>1.5214809049302318E-3</v>
      </c>
      <c r="K78" s="5">
        <v>44642</v>
      </c>
      <c r="L78" s="8">
        <f t="shared" si="6"/>
        <v>1.182331137710455E-3</v>
      </c>
      <c r="M78" s="5">
        <v>44642</v>
      </c>
      <c r="N78" s="9">
        <f t="shared" si="7"/>
        <v>2.7038120426406869E-3</v>
      </c>
      <c r="O78" s="5">
        <v>44642</v>
      </c>
      <c r="P78">
        <f t="shared" si="9"/>
        <v>0.9994793322247133</v>
      </c>
      <c r="Q78" s="6">
        <f t="shared" si="10"/>
        <v>0.99980003999200162</v>
      </c>
      <c r="R78">
        <f t="shared" si="11"/>
        <v>-3.2082336715513206E-4</v>
      </c>
      <c r="T78" s="5">
        <v>44642</v>
      </c>
      <c r="U78" s="1">
        <v>-3.2082336715513206E-4</v>
      </c>
    </row>
    <row r="79" spans="3:21" x14ac:dyDescent="0.2">
      <c r="C79" s="5">
        <v>44643</v>
      </c>
      <c r="D79" s="6">
        <v>0.99977000000000005</v>
      </c>
      <c r="E79" s="6">
        <v>43000</v>
      </c>
      <c r="F79" s="6">
        <v>42885</v>
      </c>
      <c r="G79" s="6">
        <v>42898.720000000001</v>
      </c>
      <c r="H79" s="6">
        <v>42937.5</v>
      </c>
      <c r="I79" s="5">
        <v>44643</v>
      </c>
      <c r="J79" s="7">
        <f t="shared" si="8"/>
        <v>-1.4534883720930232E-3</v>
      </c>
      <c r="K79" s="5">
        <v>44643</v>
      </c>
      <c r="L79" s="8">
        <f t="shared" si="6"/>
        <v>3.1992538183516763E-4</v>
      </c>
      <c r="M79" s="5">
        <v>44643</v>
      </c>
      <c r="N79" s="9">
        <f t="shared" si="7"/>
        <v>-1.1335629902578556E-3</v>
      </c>
      <c r="O79" s="5">
        <v>44643</v>
      </c>
      <c r="P79">
        <f t="shared" si="9"/>
        <v>1.0009039896761487</v>
      </c>
      <c r="Q79" s="6">
        <f t="shared" si="10"/>
        <v>1.0002300529121697</v>
      </c>
      <c r="R79">
        <f t="shared" si="11"/>
        <v>6.7355486950418158E-4</v>
      </c>
      <c r="T79" s="5">
        <v>44643</v>
      </c>
      <c r="U79" s="1">
        <v>6.7355486950418158E-4</v>
      </c>
    </row>
    <row r="80" spans="3:21" x14ac:dyDescent="0.2">
      <c r="C80" s="5">
        <v>44644</v>
      </c>
      <c r="D80" s="6">
        <v>0.99948000000000004</v>
      </c>
      <c r="E80" s="6">
        <v>44020.92</v>
      </c>
      <c r="F80" s="6">
        <v>43992</v>
      </c>
      <c r="G80" s="6">
        <v>44032.74</v>
      </c>
      <c r="H80" s="6">
        <v>44039</v>
      </c>
      <c r="I80" s="5">
        <v>44644</v>
      </c>
      <c r="J80" s="7">
        <f t="shared" si="8"/>
        <v>4.1071381515883236E-4</v>
      </c>
      <c r="K80" s="5">
        <v>44644</v>
      </c>
      <c r="L80" s="8">
        <f t="shared" si="6"/>
        <v>9.2607746863061378E-4</v>
      </c>
      <c r="M80" s="5">
        <v>44644</v>
      </c>
      <c r="N80" s="9">
        <f t="shared" si="7"/>
        <v>1.3367912837894461E-3</v>
      </c>
      <c r="O80" s="5">
        <v>44644</v>
      </c>
      <c r="P80">
        <f t="shared" si="9"/>
        <v>1.0001421669421435</v>
      </c>
      <c r="Q80" s="6">
        <f t="shared" si="10"/>
        <v>1.000520270540681</v>
      </c>
      <c r="R80">
        <f t="shared" si="11"/>
        <v>-3.7797840950605901E-4</v>
      </c>
      <c r="T80" s="5">
        <v>44644</v>
      </c>
      <c r="U80" s="1">
        <v>-3.7797840950605901E-4</v>
      </c>
    </row>
    <row r="81" spans="3:21" x14ac:dyDescent="0.2">
      <c r="C81" s="5">
        <v>44645</v>
      </c>
      <c r="D81" s="6">
        <v>1.0008900000000001</v>
      </c>
      <c r="E81" s="6">
        <v>44260.03</v>
      </c>
      <c r="F81" s="6">
        <v>44309.5</v>
      </c>
      <c r="G81" s="6">
        <v>44342.64</v>
      </c>
      <c r="H81" s="6">
        <v>44305</v>
      </c>
      <c r="I81" s="5">
        <v>44645</v>
      </c>
      <c r="J81" s="7">
        <f t="shared" si="8"/>
        <v>1.0160408838403672E-3</v>
      </c>
      <c r="K81" s="5">
        <v>44645</v>
      </c>
      <c r="L81" s="8">
        <f t="shared" si="6"/>
        <v>7.4792087475596472E-4</v>
      </c>
      <c r="M81" s="5">
        <v>44645</v>
      </c>
      <c r="N81" s="9">
        <f t="shared" si="7"/>
        <v>1.7639617585963319E-3</v>
      </c>
      <c r="O81" s="5">
        <v>44645</v>
      </c>
      <c r="P81">
        <f t="shared" si="9"/>
        <v>0.99915115563710244</v>
      </c>
      <c r="Q81" s="6">
        <f t="shared" si="10"/>
        <v>0.99911079139565784</v>
      </c>
      <c r="R81">
        <f t="shared" si="11"/>
        <v>4.0399349554857923E-5</v>
      </c>
      <c r="T81" s="5">
        <v>44645</v>
      </c>
      <c r="U81" s="1">
        <v>4.0399349554857923E-5</v>
      </c>
    </row>
    <row r="82" spans="3:21" x14ac:dyDescent="0.2">
      <c r="C82" s="5">
        <v>44646</v>
      </c>
      <c r="D82" s="6">
        <v>0.99970000000000003</v>
      </c>
      <c r="E82" s="6">
        <v>44487.85</v>
      </c>
      <c r="F82" s="6">
        <v>44529.5</v>
      </c>
      <c r="G82" s="6">
        <v>44592.58</v>
      </c>
      <c r="H82" s="6">
        <v>44566.5</v>
      </c>
      <c r="I82" s="5">
        <v>44646</v>
      </c>
      <c r="J82" s="7">
        <f t="shared" si="8"/>
        <v>1.7678984261995457E-3</v>
      </c>
      <c r="K82" s="5">
        <v>44646</v>
      </c>
      <c r="L82" s="8">
        <f t="shared" si="6"/>
        <v>1.4165890027959386E-3</v>
      </c>
      <c r="M82" s="5">
        <v>44646</v>
      </c>
      <c r="N82" s="9">
        <f t="shared" si="7"/>
        <v>3.1844874289954843E-3</v>
      </c>
      <c r="O82" s="5">
        <v>44646</v>
      </c>
      <c r="P82">
        <f t="shared" si="9"/>
        <v>0.99941514933650388</v>
      </c>
      <c r="Q82" s="6">
        <f t="shared" si="10"/>
        <v>1.000300090027008</v>
      </c>
      <c r="R82">
        <f t="shared" si="11"/>
        <v>-8.8506676435946255E-4</v>
      </c>
      <c r="T82" s="5">
        <v>44646</v>
      </c>
      <c r="U82" s="1">
        <v>-8.8506676435946255E-4</v>
      </c>
    </row>
    <row r="83" spans="3:21" x14ac:dyDescent="0.2">
      <c r="C83" s="5">
        <v>44647</v>
      </c>
      <c r="D83" s="6">
        <v>1.0001</v>
      </c>
      <c r="E83" s="6">
        <v>46820.41</v>
      </c>
      <c r="F83" s="6">
        <v>46820</v>
      </c>
      <c r="G83" s="6">
        <v>46851.6</v>
      </c>
      <c r="H83" s="6">
        <v>46859</v>
      </c>
      <c r="I83" s="5">
        <v>44647</v>
      </c>
      <c r="J83" s="7">
        <f t="shared" si="8"/>
        <v>8.242132010376779E-4</v>
      </c>
      <c r="K83" s="5">
        <v>44647</v>
      </c>
      <c r="L83" s="8">
        <f t="shared" si="6"/>
        <v>6.7492524562149823E-4</v>
      </c>
      <c r="M83" s="5">
        <v>44647</v>
      </c>
      <c r="N83" s="9">
        <f t="shared" si="7"/>
        <v>1.4991384466591761E-3</v>
      </c>
      <c r="O83" s="5">
        <v>44647</v>
      </c>
      <c r="P83">
        <f t="shared" si="9"/>
        <v>1.0001579455130669</v>
      </c>
      <c r="Q83" s="6">
        <f t="shared" si="10"/>
        <v>0.99990000999900008</v>
      </c>
      <c r="R83">
        <f t="shared" si="11"/>
        <v>2.5792804132105643E-4</v>
      </c>
      <c r="T83" s="5">
        <v>44647</v>
      </c>
      <c r="U83" s="1">
        <v>2.5792804132105643E-4</v>
      </c>
    </row>
    <row r="84" spans="3:21" x14ac:dyDescent="0.2">
      <c r="C84" s="5">
        <v>44648</v>
      </c>
      <c r="D84" s="6">
        <v>1.0001</v>
      </c>
      <c r="E84" s="6">
        <v>47233.58</v>
      </c>
      <c r="F84" s="6">
        <v>47139</v>
      </c>
      <c r="G84" s="6">
        <v>47142.18</v>
      </c>
      <c r="H84" s="6">
        <v>47111.5</v>
      </c>
      <c r="I84" s="5">
        <v>44648</v>
      </c>
      <c r="J84" s="7">
        <f t="shared" si="8"/>
        <v>-2.584601887047345E-3</v>
      </c>
      <c r="K84" s="5">
        <v>44648</v>
      </c>
      <c r="L84" s="8">
        <f t="shared" si="6"/>
        <v>6.7460064914408262E-5</v>
      </c>
      <c r="M84" s="5">
        <v>44648</v>
      </c>
      <c r="N84" s="9">
        <f t="shared" si="7"/>
        <v>-2.5171418221329369E-3</v>
      </c>
      <c r="O84" s="5">
        <v>44648</v>
      </c>
      <c r="P84">
        <f t="shared" si="9"/>
        <v>0.99934920277339734</v>
      </c>
      <c r="Q84" s="6">
        <f t="shared" si="10"/>
        <v>0.99990000999900008</v>
      </c>
      <c r="R84">
        <f t="shared" si="11"/>
        <v>-5.5101408670816946E-4</v>
      </c>
      <c r="T84" s="5">
        <v>44648</v>
      </c>
      <c r="U84" s="1">
        <v>-5.5101408670816946E-4</v>
      </c>
    </row>
    <row r="85" spans="3:21" x14ac:dyDescent="0.2">
      <c r="C85" s="5">
        <v>44649</v>
      </c>
      <c r="D85" s="6">
        <v>1.0003200000000001</v>
      </c>
      <c r="E85" s="6">
        <v>47410.59</v>
      </c>
      <c r="F85" s="6">
        <v>47450.5</v>
      </c>
      <c r="G85" s="6">
        <v>47483.040000000001</v>
      </c>
      <c r="H85" s="6">
        <v>47436.5</v>
      </c>
      <c r="I85" s="5">
        <v>44649</v>
      </c>
      <c r="J85" s="7">
        <f t="shared" si="8"/>
        <v>5.4650237425865177E-4</v>
      </c>
      <c r="K85" s="5">
        <v>44649</v>
      </c>
      <c r="L85" s="8">
        <f t="shared" si="6"/>
        <v>6.8576727326373531E-4</v>
      </c>
      <c r="M85" s="5">
        <v>44649</v>
      </c>
      <c r="N85" s="9">
        <f t="shared" si="7"/>
        <v>1.2322696475223871E-3</v>
      </c>
      <c r="O85" s="5">
        <v>44649</v>
      </c>
      <c r="P85">
        <f t="shared" si="9"/>
        <v>0.99901986056495107</v>
      </c>
      <c r="Q85" s="6">
        <f t="shared" si="10"/>
        <v>0.99968010236724236</v>
      </c>
      <c r="R85">
        <f t="shared" si="11"/>
        <v>-6.6067127488031062E-4</v>
      </c>
      <c r="T85" s="5">
        <v>44649</v>
      </c>
      <c r="U85" s="1">
        <v>-6.6067127488031062E-4</v>
      </c>
    </row>
    <row r="86" spans="3:21" x14ac:dyDescent="0.2">
      <c r="C86" s="5">
        <v>44650</v>
      </c>
      <c r="D86" s="6">
        <v>0.99970000000000003</v>
      </c>
      <c r="E86" s="6">
        <v>47018.85</v>
      </c>
      <c r="F86" s="6">
        <v>47048</v>
      </c>
      <c r="G86" s="6">
        <v>47088.4</v>
      </c>
      <c r="H86" s="6">
        <v>47023.5</v>
      </c>
      <c r="I86" s="5">
        <v>44650</v>
      </c>
      <c r="J86" s="7">
        <f t="shared" si="8"/>
        <v>9.889650640118708E-5</v>
      </c>
      <c r="K86" s="5">
        <v>44650</v>
      </c>
      <c r="L86" s="8">
        <f t="shared" si="6"/>
        <v>8.586975004251287E-4</v>
      </c>
      <c r="M86" s="5">
        <v>44650</v>
      </c>
      <c r="N86" s="9">
        <f t="shared" si="7"/>
        <v>9.5759400682631575E-4</v>
      </c>
      <c r="O86" s="5">
        <v>44650</v>
      </c>
      <c r="P86">
        <f t="shared" si="9"/>
        <v>0.9986217412356333</v>
      </c>
      <c r="Q86" s="6">
        <f t="shared" si="10"/>
        <v>1.000300090027008</v>
      </c>
      <c r="R86">
        <f t="shared" si="11"/>
        <v>-1.6792544455947103E-3</v>
      </c>
      <c r="T86" s="5">
        <v>44650</v>
      </c>
      <c r="U86" s="1">
        <v>-1.6792544455947103E-3</v>
      </c>
    </row>
    <row r="87" spans="3:21" x14ac:dyDescent="0.2">
      <c r="C87" s="5">
        <v>44651</v>
      </c>
      <c r="D87" s="6">
        <v>1.00017</v>
      </c>
      <c r="E87" s="6">
        <v>45488.42</v>
      </c>
      <c r="F87" s="6">
        <v>45509.5</v>
      </c>
      <c r="G87" s="6">
        <v>45571.68</v>
      </c>
      <c r="H87" s="6">
        <v>45540</v>
      </c>
      <c r="I87" s="5">
        <v>44651</v>
      </c>
      <c r="J87" s="7">
        <f t="shared" si="8"/>
        <v>1.1339149612143431E-3</v>
      </c>
      <c r="K87" s="5">
        <v>44651</v>
      </c>
      <c r="L87" s="8">
        <f t="shared" si="6"/>
        <v>1.3663081334666452E-3</v>
      </c>
      <c r="M87" s="5">
        <v>44651</v>
      </c>
      <c r="N87" s="9">
        <f t="shared" si="7"/>
        <v>2.5002230946809881E-3</v>
      </c>
      <c r="O87" s="5">
        <v>44651</v>
      </c>
      <c r="P87">
        <f t="shared" si="9"/>
        <v>0.99930483142161974</v>
      </c>
      <c r="Q87" s="6">
        <f t="shared" si="10"/>
        <v>0.99983002889508787</v>
      </c>
      <c r="R87">
        <f t="shared" si="11"/>
        <v>-5.2542476845972514E-4</v>
      </c>
      <c r="T87" s="5">
        <v>44651</v>
      </c>
      <c r="U87" s="1">
        <v>-5.2542476845972514E-4</v>
      </c>
    </row>
    <row r="88" spans="3:21" x14ac:dyDescent="0.2">
      <c r="C88" s="5">
        <v>44652</v>
      </c>
      <c r="D88" s="6">
        <v>1.00003</v>
      </c>
      <c r="E88" s="6">
        <v>46252.41</v>
      </c>
      <c r="F88" s="6">
        <v>46283</v>
      </c>
      <c r="G88" s="6">
        <v>46363.360000000001</v>
      </c>
      <c r="H88" s="6">
        <v>46292</v>
      </c>
      <c r="I88" s="5">
        <v>44652</v>
      </c>
      <c r="J88" s="7">
        <f t="shared" si="8"/>
        <v>8.5595539778352101E-4</v>
      </c>
      <c r="K88" s="5">
        <v>44652</v>
      </c>
      <c r="L88" s="8">
        <f t="shared" si="6"/>
        <v>1.7362746580818138E-3</v>
      </c>
      <c r="M88" s="5">
        <v>44652</v>
      </c>
      <c r="N88" s="9">
        <f t="shared" si="7"/>
        <v>2.592230055865335E-3</v>
      </c>
      <c r="O88" s="5">
        <v>44652</v>
      </c>
      <c r="P88">
        <f t="shared" si="9"/>
        <v>0.99846085357057823</v>
      </c>
      <c r="Q88" s="6">
        <f t="shared" si="10"/>
        <v>0.99997000089997301</v>
      </c>
      <c r="R88">
        <f t="shared" si="11"/>
        <v>-1.5103325820812396E-3</v>
      </c>
      <c r="T88" s="5">
        <v>44652</v>
      </c>
      <c r="U88" s="1">
        <v>-1.5103325820812396E-3</v>
      </c>
    </row>
    <row r="89" spans="3:21" x14ac:dyDescent="0.2">
      <c r="C89" s="5">
        <v>44653</v>
      </c>
      <c r="D89" s="6">
        <v>1.00003</v>
      </c>
      <c r="E89" s="6">
        <v>45865.84</v>
      </c>
      <c r="F89" s="6">
        <v>45801</v>
      </c>
      <c r="G89" s="6">
        <v>45868.69</v>
      </c>
      <c r="H89" s="6">
        <v>45825</v>
      </c>
      <c r="I89" s="5">
        <v>44653</v>
      </c>
      <c r="J89" s="7">
        <f t="shared" si="8"/>
        <v>-8.9042302506607334E-4</v>
      </c>
      <c r="K89" s="5">
        <v>44653</v>
      </c>
      <c r="L89" s="8">
        <f t="shared" si="6"/>
        <v>1.4779153293596717E-3</v>
      </c>
      <c r="M89" s="5">
        <v>44653</v>
      </c>
      <c r="N89" s="9">
        <f t="shared" si="7"/>
        <v>5.8749230429359835E-4</v>
      </c>
      <c r="O89" s="5">
        <v>44653</v>
      </c>
      <c r="P89">
        <f t="shared" si="9"/>
        <v>0.99904749841340568</v>
      </c>
      <c r="Q89" s="6">
        <f t="shared" si="10"/>
        <v>0.99997000089997301</v>
      </c>
      <c r="R89">
        <f t="shared" si="11"/>
        <v>-9.2295595448276934E-4</v>
      </c>
      <c r="T89" s="5">
        <v>44653</v>
      </c>
      <c r="U89" s="1">
        <v>-9.2295595448276934E-4</v>
      </c>
    </row>
    <row r="90" spans="3:21" x14ac:dyDescent="0.2">
      <c r="C90" s="5">
        <v>44654</v>
      </c>
      <c r="D90" s="6">
        <v>1.0003</v>
      </c>
      <c r="E90" s="6">
        <v>46465.2</v>
      </c>
      <c r="F90" s="6">
        <v>46401.5</v>
      </c>
      <c r="G90" s="6">
        <v>46455.7</v>
      </c>
      <c r="H90" s="6">
        <v>46425</v>
      </c>
      <c r="I90" s="5">
        <v>44654</v>
      </c>
      <c r="J90" s="7">
        <f t="shared" si="8"/>
        <v>-8.6516360631175792E-4</v>
      </c>
      <c r="K90" s="5">
        <v>44654</v>
      </c>
      <c r="L90" s="8">
        <f t="shared" si="6"/>
        <v>1.1680656875315903E-3</v>
      </c>
      <c r="M90" s="5">
        <v>44654</v>
      </c>
      <c r="N90" s="9">
        <f t="shared" si="7"/>
        <v>3.0290208121983237E-4</v>
      </c>
      <c r="O90" s="5">
        <v>44654</v>
      </c>
      <c r="P90">
        <f t="shared" si="9"/>
        <v>0.9993391553673715</v>
      </c>
      <c r="Q90" s="6">
        <f t="shared" si="10"/>
        <v>0.99970008997300808</v>
      </c>
      <c r="R90">
        <f t="shared" si="11"/>
        <v>-3.6110807769280815E-4</v>
      </c>
      <c r="T90" s="5">
        <v>44654</v>
      </c>
      <c r="U90" s="1">
        <v>-3.6110807769280815E-4</v>
      </c>
    </row>
    <row r="91" spans="3:21" x14ac:dyDescent="0.2">
      <c r="C91" s="5">
        <v>44655</v>
      </c>
      <c r="D91" s="6">
        <v>0.99961999999999995</v>
      </c>
      <c r="E91" s="6">
        <v>46579.37</v>
      </c>
      <c r="F91" s="6">
        <v>46583</v>
      </c>
      <c r="G91" s="6">
        <v>46610.32</v>
      </c>
      <c r="H91" s="6">
        <v>46601</v>
      </c>
      <c r="I91" s="5">
        <v>44655</v>
      </c>
      <c r="J91" s="7">
        <f t="shared" si="8"/>
        <v>4.6436866793169118E-4</v>
      </c>
      <c r="K91" s="5">
        <v>44655</v>
      </c>
      <c r="L91" s="8">
        <f t="shared" si="6"/>
        <v>5.8648004636884074E-4</v>
      </c>
      <c r="M91" s="5">
        <v>44655</v>
      </c>
      <c r="N91" s="9">
        <f t="shared" si="7"/>
        <v>1.050848714300532E-3</v>
      </c>
      <c r="O91" s="5">
        <v>44655</v>
      </c>
      <c r="P91">
        <f t="shared" si="9"/>
        <v>0.99980004428203884</v>
      </c>
      <c r="Q91" s="6">
        <f t="shared" si="10"/>
        <v>1.000380144454893</v>
      </c>
      <c r="R91">
        <f t="shared" si="11"/>
        <v>-5.8004793006703227E-4</v>
      </c>
      <c r="T91" s="5">
        <v>44655</v>
      </c>
      <c r="U91" s="1">
        <v>-5.8004793006703227E-4</v>
      </c>
    </row>
    <row r="92" spans="3:21" x14ac:dyDescent="0.2">
      <c r="C92" s="5">
        <v>44656</v>
      </c>
      <c r="D92" s="6">
        <v>0.99973999999999996</v>
      </c>
      <c r="E92" s="6">
        <v>45519.71</v>
      </c>
      <c r="F92" s="6">
        <v>45485</v>
      </c>
      <c r="G92" s="6">
        <v>45541.64</v>
      </c>
      <c r="H92" s="6">
        <v>45519</v>
      </c>
      <c r="I92" s="5">
        <v>44656</v>
      </c>
      <c r="J92" s="7">
        <f t="shared" si="8"/>
        <v>-1.5597638912882507E-5</v>
      </c>
      <c r="K92" s="5">
        <v>44656</v>
      </c>
      <c r="L92" s="8">
        <f t="shared" si="6"/>
        <v>1.2452456853907755E-3</v>
      </c>
      <c r="M92" s="5">
        <v>44656</v>
      </c>
      <c r="N92" s="9">
        <f t="shared" si="7"/>
        <v>1.229648046477893E-3</v>
      </c>
      <c r="O92" s="5">
        <v>44656</v>
      </c>
      <c r="P92">
        <f t="shared" si="9"/>
        <v>0.99950287253599124</v>
      </c>
      <c r="Q92" s="6">
        <f t="shared" si="10"/>
        <v>1.0002600676175806</v>
      </c>
      <c r="R92">
        <f t="shared" si="11"/>
        <v>-7.5728487869427814E-4</v>
      </c>
      <c r="T92" s="5">
        <v>44656</v>
      </c>
      <c r="U92" s="1">
        <v>-7.5728487869427814E-4</v>
      </c>
    </row>
    <row r="93" spans="3:21" x14ac:dyDescent="0.2">
      <c r="C93" s="5">
        <v>44657</v>
      </c>
      <c r="D93" s="6">
        <v>0.99983999999999995</v>
      </c>
      <c r="E93" s="6">
        <v>43162.9</v>
      </c>
      <c r="F93" s="6">
        <v>43157.5</v>
      </c>
      <c r="G93" s="6">
        <v>43220.59</v>
      </c>
      <c r="H93" s="6">
        <v>43155.5</v>
      </c>
      <c r="I93" s="5">
        <v>44657</v>
      </c>
      <c r="J93" s="7">
        <f t="shared" si="8"/>
        <v>-1.7144353136609112E-4</v>
      </c>
      <c r="K93" s="5">
        <v>44657</v>
      </c>
      <c r="L93" s="8">
        <f t="shared" si="6"/>
        <v>1.4618548340380353E-3</v>
      </c>
      <c r="M93" s="5">
        <v>44657</v>
      </c>
      <c r="N93" s="9">
        <f t="shared" si="7"/>
        <v>1.2904113026719441E-3</v>
      </c>
      <c r="O93" s="5">
        <v>44657</v>
      </c>
      <c r="P93">
        <f t="shared" si="9"/>
        <v>0.99849400482501527</v>
      </c>
      <c r="Q93" s="6">
        <f t="shared" si="10"/>
        <v>1.0001600256040968</v>
      </c>
      <c r="R93">
        <f t="shared" si="11"/>
        <v>-1.6671431269145701E-3</v>
      </c>
      <c r="T93" s="5">
        <v>44657</v>
      </c>
      <c r="U93" s="1">
        <v>-1.6671431269145701E-3</v>
      </c>
    </row>
    <row r="94" spans="3:21" x14ac:dyDescent="0.2">
      <c r="C94" s="5">
        <v>44658</v>
      </c>
      <c r="D94" s="6">
        <v>0.99972000000000005</v>
      </c>
      <c r="E94" s="6">
        <v>43481.91</v>
      </c>
      <c r="F94" s="6">
        <v>43423</v>
      </c>
      <c r="G94" s="6">
        <v>43460.11</v>
      </c>
      <c r="H94" s="6">
        <v>43441.5</v>
      </c>
      <c r="I94" s="5">
        <v>44658</v>
      </c>
      <c r="J94" s="7">
        <f t="shared" si="8"/>
        <v>-9.2935199948676335E-4</v>
      </c>
      <c r="K94" s="5">
        <v>44658</v>
      </c>
      <c r="L94" s="8">
        <f t="shared" si="6"/>
        <v>8.5461621721208999E-4</v>
      </c>
      <c r="M94" s="5">
        <v>44658</v>
      </c>
      <c r="N94" s="9">
        <f t="shared" si="7"/>
        <v>-7.4735782274673352E-5</v>
      </c>
      <c r="O94" s="5">
        <v>44658</v>
      </c>
      <c r="P94">
        <f t="shared" si="9"/>
        <v>0.99957179123568707</v>
      </c>
      <c r="Q94" s="6">
        <f t="shared" si="10"/>
        <v>1.0002800784219581</v>
      </c>
      <c r="R94">
        <f t="shared" si="11"/>
        <v>-7.0833967918553973E-4</v>
      </c>
      <c r="T94" s="5">
        <v>44658</v>
      </c>
      <c r="U94" s="1">
        <v>-7.0833967918553973E-4</v>
      </c>
    </row>
    <row r="95" spans="3:21" x14ac:dyDescent="0.2">
      <c r="C95" s="5">
        <v>44659</v>
      </c>
      <c r="D95" s="6">
        <v>0.99960000000000004</v>
      </c>
      <c r="E95" s="6">
        <v>42184.78</v>
      </c>
      <c r="F95" s="6">
        <v>42245</v>
      </c>
      <c r="G95" s="6">
        <v>42339.29</v>
      </c>
      <c r="H95" s="6">
        <v>42289</v>
      </c>
      <c r="I95" s="5">
        <v>44659</v>
      </c>
      <c r="J95" s="7">
        <f t="shared" si="8"/>
        <v>2.4705592870225036E-3</v>
      </c>
      <c r="K95" s="5">
        <v>44659</v>
      </c>
      <c r="L95" s="8">
        <f t="shared" si="6"/>
        <v>2.2319801159900788E-3</v>
      </c>
      <c r="M95" s="5">
        <v>44659</v>
      </c>
      <c r="N95" s="9">
        <f t="shared" si="7"/>
        <v>4.702539403012582E-3</v>
      </c>
      <c r="O95" s="5">
        <v>44659</v>
      </c>
      <c r="P95">
        <f t="shared" si="9"/>
        <v>0.99881221437581968</v>
      </c>
      <c r="Q95" s="6">
        <f t="shared" si="10"/>
        <v>1.0004001600640255</v>
      </c>
      <c r="R95">
        <f t="shared" si="11"/>
        <v>-1.5885716219522703E-3</v>
      </c>
      <c r="T95" s="5">
        <v>44659</v>
      </c>
      <c r="U95" s="1">
        <v>-1.5885716219522703E-3</v>
      </c>
    </row>
    <row r="96" spans="3:21" x14ac:dyDescent="0.2">
      <c r="C96" s="5">
        <v>44660</v>
      </c>
      <c r="D96" s="6">
        <v>0.99970000000000003</v>
      </c>
      <c r="E96" s="6">
        <v>42725.45</v>
      </c>
      <c r="F96" s="6">
        <v>42750</v>
      </c>
      <c r="G96" s="6">
        <v>42826.21</v>
      </c>
      <c r="H96" s="6">
        <v>42756</v>
      </c>
      <c r="I96" s="5">
        <v>44660</v>
      </c>
      <c r="J96" s="7">
        <f t="shared" si="8"/>
        <v>7.150305028970535E-4</v>
      </c>
      <c r="K96" s="5">
        <v>44660</v>
      </c>
      <c r="L96" s="8">
        <f t="shared" si="6"/>
        <v>1.7826900584795118E-3</v>
      </c>
      <c r="M96" s="5">
        <v>44660</v>
      </c>
      <c r="N96" s="9">
        <f t="shared" si="7"/>
        <v>2.4977205613765652E-3</v>
      </c>
      <c r="O96" s="5">
        <v>44660</v>
      </c>
      <c r="P96">
        <f t="shared" si="9"/>
        <v>0.99836058339040501</v>
      </c>
      <c r="Q96" s="6">
        <f t="shared" si="10"/>
        <v>1.000300090027008</v>
      </c>
      <c r="R96">
        <f t="shared" si="11"/>
        <v>-1.9408069325612316E-3</v>
      </c>
      <c r="T96" s="5">
        <v>44660</v>
      </c>
      <c r="U96" s="1">
        <v>-1.9408069325612316E-3</v>
      </c>
    </row>
    <row r="97" spans="3:21" x14ac:dyDescent="0.2">
      <c r="C97" s="5">
        <v>44661</v>
      </c>
      <c r="D97" s="6">
        <v>0.99987000000000004</v>
      </c>
      <c r="E97" s="6">
        <v>42046.38</v>
      </c>
      <c r="F97" s="6">
        <v>42147</v>
      </c>
      <c r="G97" s="6">
        <v>42199.45</v>
      </c>
      <c r="H97" s="6">
        <v>42145</v>
      </c>
      <c r="I97" s="5">
        <v>44661</v>
      </c>
      <c r="J97" s="7">
        <f t="shared" si="8"/>
        <v>2.3455051302871408E-3</v>
      </c>
      <c r="K97" s="5">
        <v>44661</v>
      </c>
      <c r="L97" s="8">
        <f t="shared" si="6"/>
        <v>1.2444539350368257E-3</v>
      </c>
      <c r="M97" s="5">
        <v>44661</v>
      </c>
      <c r="N97" s="9">
        <f t="shared" si="7"/>
        <v>3.5899590653239665E-3</v>
      </c>
      <c r="O97" s="5">
        <v>44661</v>
      </c>
      <c r="P97">
        <f t="shared" si="9"/>
        <v>0.99870969882308902</v>
      </c>
      <c r="Q97" s="6">
        <f t="shared" si="10"/>
        <v>1.0001300169021972</v>
      </c>
      <c r="R97">
        <f t="shared" si="11"/>
        <v>-1.4211427829647675E-3</v>
      </c>
      <c r="T97" s="5">
        <v>44661</v>
      </c>
      <c r="U97" s="1">
        <v>-1.4211427829647675E-3</v>
      </c>
    </row>
    <row r="98" spans="3:21" x14ac:dyDescent="0.2">
      <c r="C98" s="5">
        <v>44662</v>
      </c>
      <c r="D98" s="6">
        <v>0.99936000000000003</v>
      </c>
      <c r="E98" s="6">
        <v>39537.519999999997</v>
      </c>
      <c r="F98" s="6">
        <v>39511</v>
      </c>
      <c r="G98" s="6">
        <v>39533.480000000003</v>
      </c>
      <c r="H98" s="6">
        <v>39501</v>
      </c>
      <c r="I98" s="5">
        <v>44662</v>
      </c>
      <c r="J98" s="7">
        <f t="shared" si="8"/>
        <v>-9.2367958334252636E-4</v>
      </c>
      <c r="K98" s="5">
        <v>44662</v>
      </c>
      <c r="L98" s="8">
        <f t="shared" si="6"/>
        <v>5.6895548075227664E-4</v>
      </c>
      <c r="M98" s="5">
        <v>44662</v>
      </c>
      <c r="N98" s="9">
        <f t="shared" si="7"/>
        <v>-3.5472410259024972E-4</v>
      </c>
      <c r="O98" s="5">
        <v>44662</v>
      </c>
      <c r="P98">
        <f t="shared" si="9"/>
        <v>0.99917841788782569</v>
      </c>
      <c r="Q98" s="6">
        <f t="shared" si="10"/>
        <v>1.0006404098623118</v>
      </c>
      <c r="R98">
        <f t="shared" si="11"/>
        <v>-1.4621246831502453E-3</v>
      </c>
      <c r="T98" s="5">
        <v>44662</v>
      </c>
      <c r="U98" s="1">
        <v>-1.4621246831502453E-3</v>
      </c>
    </row>
    <row r="99" spans="3:21" x14ac:dyDescent="0.2">
      <c r="C99" s="5">
        <v>44663</v>
      </c>
      <c r="D99" s="6">
        <v>1.00004</v>
      </c>
      <c r="E99" s="6">
        <v>40100.230000000003</v>
      </c>
      <c r="F99" s="6">
        <v>40071</v>
      </c>
      <c r="G99" s="6">
        <v>40112.11</v>
      </c>
      <c r="H99" s="6">
        <v>40066.5</v>
      </c>
      <c r="I99" s="5">
        <v>44663</v>
      </c>
      <c r="J99" s="7">
        <f t="shared" si="8"/>
        <v>-8.4114230766265427E-4</v>
      </c>
      <c r="K99" s="5">
        <v>44663</v>
      </c>
      <c r="L99" s="8">
        <f t="shared" si="6"/>
        <v>1.0259289760674948E-3</v>
      </c>
      <c r="M99" s="5">
        <v>44663</v>
      </c>
      <c r="N99" s="9">
        <f t="shared" si="7"/>
        <v>1.8478666840484053E-4</v>
      </c>
      <c r="O99" s="5">
        <v>44663</v>
      </c>
      <c r="P99">
        <f t="shared" si="9"/>
        <v>0.9988629369035934</v>
      </c>
      <c r="Q99" s="6">
        <f t="shared" si="10"/>
        <v>0.99996000159993592</v>
      </c>
      <c r="R99">
        <f t="shared" si="11"/>
        <v>-1.0977108430871435E-3</v>
      </c>
      <c r="T99" s="5">
        <v>44663</v>
      </c>
      <c r="U99" s="1">
        <v>-1.0977108430871435E-3</v>
      </c>
    </row>
    <row r="100" spans="3:21" x14ac:dyDescent="0.2">
      <c r="C100" s="5">
        <v>44664</v>
      </c>
      <c r="D100" s="6">
        <v>0.99999000000000005</v>
      </c>
      <c r="E100" s="6">
        <v>41118.080000000002</v>
      </c>
      <c r="F100" s="6">
        <v>41135</v>
      </c>
      <c r="G100" s="6">
        <v>41186.550000000003</v>
      </c>
      <c r="H100" s="6">
        <v>41153.5</v>
      </c>
      <c r="I100" s="5">
        <v>44664</v>
      </c>
      <c r="J100" s="7">
        <f t="shared" si="8"/>
        <v>8.6142154497482017E-4</v>
      </c>
      <c r="K100" s="5">
        <v>44664</v>
      </c>
      <c r="L100" s="8">
        <f t="shared" si="6"/>
        <v>1.2531907135043857E-3</v>
      </c>
      <c r="M100" s="5">
        <v>44664</v>
      </c>
      <c r="N100" s="9">
        <f t="shared" si="7"/>
        <v>2.114612258479206E-3</v>
      </c>
      <c r="O100" s="5">
        <v>44664</v>
      </c>
      <c r="P100">
        <f t="shared" si="9"/>
        <v>0.99919755357027951</v>
      </c>
      <c r="Q100" s="6">
        <f t="shared" si="10"/>
        <v>1.000010000100001</v>
      </c>
      <c r="R100">
        <f t="shared" si="11"/>
        <v>-8.1276861219794843E-4</v>
      </c>
      <c r="T100" s="5">
        <v>44664</v>
      </c>
      <c r="U100" s="1">
        <v>-8.1276861219794843E-4</v>
      </c>
    </row>
    <row r="101" spans="3:21" x14ac:dyDescent="0.2">
      <c r="C101" s="5">
        <v>44665</v>
      </c>
      <c r="D101" s="6">
        <v>0.99985000000000002</v>
      </c>
      <c r="E101" s="6">
        <v>39926.230000000003</v>
      </c>
      <c r="F101" s="6">
        <v>39924.5</v>
      </c>
      <c r="G101" s="6">
        <v>39986.28</v>
      </c>
      <c r="H101" s="6">
        <v>39929</v>
      </c>
      <c r="I101" s="5">
        <v>44665</v>
      </c>
      <c r="J101" s="7">
        <f t="shared" si="8"/>
        <v>6.9377950284732574E-5</v>
      </c>
      <c r="K101" s="5">
        <v>44665</v>
      </c>
      <c r="L101" s="8">
        <f t="shared" si="6"/>
        <v>1.5474207566782011E-3</v>
      </c>
      <c r="M101" s="5">
        <v>44665</v>
      </c>
      <c r="N101" s="9">
        <f t="shared" si="7"/>
        <v>1.6167987069629337E-3</v>
      </c>
      <c r="O101" s="5">
        <v>44665</v>
      </c>
      <c r="P101">
        <f t="shared" si="9"/>
        <v>0.99856750865546884</v>
      </c>
      <c r="Q101" s="6">
        <f t="shared" si="10"/>
        <v>1.0001500225033755</v>
      </c>
      <c r="R101">
        <f t="shared" si="11"/>
        <v>-1.5835295922753232E-3</v>
      </c>
      <c r="T101" s="5">
        <v>44665</v>
      </c>
      <c r="U101" s="1">
        <v>-1.5835295922753232E-3</v>
      </c>
    </row>
    <row r="102" spans="3:21" x14ac:dyDescent="0.2">
      <c r="C102" s="5">
        <v>44666</v>
      </c>
      <c r="D102" s="6">
        <v>1.0002</v>
      </c>
      <c r="E102" s="6">
        <v>40587.760000000002</v>
      </c>
      <c r="F102" s="6">
        <v>40540</v>
      </c>
      <c r="G102" s="6">
        <v>40659</v>
      </c>
      <c r="H102" s="6">
        <v>40532.5</v>
      </c>
      <c r="I102" s="5">
        <v>44666</v>
      </c>
      <c r="J102" s="7">
        <f t="shared" si="8"/>
        <v>-1.3614942041640641E-3</v>
      </c>
      <c r="K102" s="5">
        <v>44666</v>
      </c>
      <c r="L102" s="8">
        <f t="shared" si="6"/>
        <v>2.9353724716329552E-3</v>
      </c>
      <c r="M102" s="5">
        <v>44666</v>
      </c>
      <c r="N102" s="9">
        <f t="shared" si="7"/>
        <v>1.5738782674688911E-3</v>
      </c>
      <c r="O102" s="5">
        <v>44666</v>
      </c>
      <c r="P102">
        <f t="shared" si="9"/>
        <v>0.99688875771661867</v>
      </c>
      <c r="Q102" s="6">
        <f t="shared" si="10"/>
        <v>0.99980003999200162</v>
      </c>
      <c r="R102">
        <f t="shared" si="11"/>
        <v>-2.916112257235193E-3</v>
      </c>
      <c r="T102" s="5">
        <v>44666</v>
      </c>
      <c r="U102" s="1">
        <v>-2.916112257235193E-3</v>
      </c>
    </row>
    <row r="103" spans="3:21" x14ac:dyDescent="0.2">
      <c r="C103" s="5">
        <v>44667</v>
      </c>
      <c r="D103" s="6">
        <v>1.0001599999999999</v>
      </c>
      <c r="E103" s="6">
        <v>40418.31</v>
      </c>
      <c r="F103" s="6">
        <v>40367.5</v>
      </c>
      <c r="G103" s="6">
        <v>40444.81</v>
      </c>
      <c r="H103" s="6">
        <v>40395.5</v>
      </c>
      <c r="I103" s="5">
        <v>44667</v>
      </c>
      <c r="J103" s="7">
        <f t="shared" si="8"/>
        <v>-5.6434818773960793E-4</v>
      </c>
      <c r="K103" s="5">
        <v>44667</v>
      </c>
      <c r="L103" s="8">
        <f t="shared" si="6"/>
        <v>1.9151545178670384E-3</v>
      </c>
      <c r="M103" s="5">
        <v>44667</v>
      </c>
      <c r="N103" s="9">
        <f t="shared" si="7"/>
        <v>1.3508063301274306E-3</v>
      </c>
      <c r="O103" s="5">
        <v>44667</v>
      </c>
      <c r="P103">
        <f t="shared" si="9"/>
        <v>0.99878080772291922</v>
      </c>
      <c r="Q103" s="6">
        <f t="shared" si="10"/>
        <v>0.99984002559590468</v>
      </c>
      <c r="R103">
        <f t="shared" si="11"/>
        <v>-1.059948895254064E-3</v>
      </c>
      <c r="T103" s="5">
        <v>44667</v>
      </c>
      <c r="U103" s="1">
        <v>-1.059948895254064E-3</v>
      </c>
    </row>
    <row r="104" spans="3:21" x14ac:dyDescent="0.2">
      <c r="C104" s="5">
        <v>44668</v>
      </c>
      <c r="D104" s="6">
        <v>0.998</v>
      </c>
      <c r="E104" s="6">
        <v>39659.769999999997</v>
      </c>
      <c r="F104" s="6">
        <v>39670</v>
      </c>
      <c r="G104" s="6">
        <v>39743.440000000002</v>
      </c>
      <c r="H104" s="6">
        <v>39681</v>
      </c>
      <c r="I104" s="5">
        <v>44668</v>
      </c>
      <c r="J104" s="7">
        <f t="shared" si="8"/>
        <v>5.3530315480909761E-4</v>
      </c>
      <c r="K104" s="5">
        <v>44668</v>
      </c>
      <c r="L104" s="8">
        <f t="shared" si="6"/>
        <v>1.8512730022687755E-3</v>
      </c>
      <c r="M104" s="5">
        <v>44668</v>
      </c>
      <c r="N104" s="9">
        <f t="shared" si="7"/>
        <v>2.3865761570778729E-3</v>
      </c>
      <c r="O104" s="5">
        <v>44668</v>
      </c>
      <c r="P104">
        <f t="shared" si="9"/>
        <v>0.9984289231128457</v>
      </c>
      <c r="Q104" s="6">
        <f t="shared" si="10"/>
        <v>1.002004008016032</v>
      </c>
      <c r="R104">
        <f t="shared" si="11"/>
        <v>-3.5743149932655634E-3</v>
      </c>
      <c r="T104" s="5">
        <v>44668</v>
      </c>
      <c r="U104" s="1">
        <v>-3.5743149932655634E-3</v>
      </c>
    </row>
    <row r="105" spans="3:21" x14ac:dyDescent="0.2">
      <c r="C105" s="5">
        <v>44669</v>
      </c>
      <c r="D105" s="6">
        <v>1</v>
      </c>
      <c r="E105" s="6">
        <v>40793.379999999997</v>
      </c>
      <c r="F105" s="6">
        <v>40790.5</v>
      </c>
      <c r="G105" s="6">
        <v>40922.400000000001</v>
      </c>
      <c r="H105" s="6">
        <v>40805</v>
      </c>
      <c r="I105" s="5">
        <v>44669</v>
      </c>
      <c r="J105" s="7">
        <f t="shared" si="8"/>
        <v>2.8485013990021469E-4</v>
      </c>
      <c r="K105" s="5">
        <v>44669</v>
      </c>
      <c r="L105" s="8">
        <f t="shared" si="6"/>
        <v>3.2335960579056755E-3</v>
      </c>
      <c r="M105" s="5">
        <v>44669</v>
      </c>
      <c r="N105" s="9">
        <f t="shared" si="7"/>
        <v>3.5184461978058903E-3</v>
      </c>
      <c r="O105" s="5">
        <v>44669</v>
      </c>
      <c r="P105">
        <f t="shared" si="9"/>
        <v>0.99713115555294884</v>
      </c>
      <c r="Q105" s="6">
        <f t="shared" si="10"/>
        <v>1</v>
      </c>
      <c r="R105">
        <f t="shared" si="11"/>
        <v>-2.8729674687084563E-3</v>
      </c>
      <c r="T105" s="5">
        <v>44669</v>
      </c>
      <c r="U105" s="1">
        <v>-2.8729674687084563E-3</v>
      </c>
    </row>
    <row r="106" spans="3:21" x14ac:dyDescent="0.2">
      <c r="C106" s="5">
        <v>44670</v>
      </c>
      <c r="D106" s="6">
        <v>0.99960000000000004</v>
      </c>
      <c r="E106" s="6">
        <v>41449.67</v>
      </c>
      <c r="F106" s="6">
        <v>41476.5</v>
      </c>
      <c r="G106" s="6">
        <v>41556.46</v>
      </c>
      <c r="H106" s="6">
        <v>41508.5</v>
      </c>
      <c r="I106" s="5">
        <v>44670</v>
      </c>
      <c r="J106" s="7">
        <f t="shared" si="8"/>
        <v>1.4193116615886629E-3</v>
      </c>
      <c r="K106" s="5">
        <v>44670</v>
      </c>
      <c r="L106" s="8">
        <f t="shared" si="6"/>
        <v>1.9278386556242481E-3</v>
      </c>
      <c r="M106" s="5">
        <v>44670</v>
      </c>
      <c r="N106" s="9">
        <f t="shared" si="7"/>
        <v>3.347150317212911E-3</v>
      </c>
      <c r="O106" s="5">
        <v>44670</v>
      </c>
      <c r="P106">
        <f t="shared" si="9"/>
        <v>0.99884590747142565</v>
      </c>
      <c r="Q106" s="6">
        <f t="shared" si="10"/>
        <v>1.0004001600640255</v>
      </c>
      <c r="R106">
        <f t="shared" si="11"/>
        <v>-1.554839027530233E-3</v>
      </c>
      <c r="T106" s="5">
        <v>44670</v>
      </c>
      <c r="U106" s="1">
        <v>-1.554839027530233E-3</v>
      </c>
    </row>
    <row r="107" spans="3:21" x14ac:dyDescent="0.2">
      <c r="C107" s="5">
        <v>44671</v>
      </c>
      <c r="D107" s="6">
        <v>0.99975000000000003</v>
      </c>
      <c r="E107" s="6">
        <v>41369.360000000001</v>
      </c>
      <c r="F107" s="6">
        <v>41350.5</v>
      </c>
      <c r="G107" s="6">
        <v>41402.43</v>
      </c>
      <c r="H107" s="6">
        <v>41380.5</v>
      </c>
      <c r="I107" s="5">
        <v>44671</v>
      </c>
      <c r="J107" s="7">
        <f t="shared" si="8"/>
        <v>2.6928141987208449E-4</v>
      </c>
      <c r="K107" s="5">
        <v>44671</v>
      </c>
      <c r="L107" s="8">
        <f t="shared" si="6"/>
        <v>1.2558493851344069E-3</v>
      </c>
      <c r="M107" s="5">
        <v>44671</v>
      </c>
      <c r="N107" s="9">
        <f t="shared" si="7"/>
        <v>1.5251308050064913E-3</v>
      </c>
      <c r="O107" s="5">
        <v>44671</v>
      </c>
      <c r="P107">
        <f t="shared" si="9"/>
        <v>0.99947032094492994</v>
      </c>
      <c r="Q107" s="6">
        <f t="shared" si="10"/>
        <v>1.000250062515629</v>
      </c>
      <c r="R107">
        <f t="shared" si="11"/>
        <v>-7.798506397853496E-4</v>
      </c>
      <c r="T107" s="5">
        <v>44671</v>
      </c>
      <c r="U107" s="1">
        <v>-7.798506397853496E-4</v>
      </c>
    </row>
    <row r="108" spans="3:21" x14ac:dyDescent="0.2">
      <c r="C108" s="5">
        <v>44672</v>
      </c>
      <c r="D108" s="6">
        <v>0.99980000000000002</v>
      </c>
      <c r="E108" s="6">
        <v>40528.15</v>
      </c>
      <c r="F108" s="6">
        <v>40468.5</v>
      </c>
      <c r="G108" s="6">
        <v>40558.550000000003</v>
      </c>
      <c r="H108" s="6">
        <v>40460.5</v>
      </c>
      <c r="I108" s="5">
        <v>44672</v>
      </c>
      <c r="J108" s="7">
        <f t="shared" si="8"/>
        <v>-1.669210166267186E-3</v>
      </c>
      <c r="K108" s="5">
        <v>44672</v>
      </c>
      <c r="L108" s="8">
        <f t="shared" si="6"/>
        <v>2.2251874915058109E-3</v>
      </c>
      <c r="M108" s="5">
        <v>44672</v>
      </c>
      <c r="N108" s="9">
        <f t="shared" si="7"/>
        <v>5.5597732523862491E-4</v>
      </c>
      <c r="O108" s="5">
        <v>44672</v>
      </c>
      <c r="P108">
        <f t="shared" si="9"/>
        <v>0.99758250726418962</v>
      </c>
      <c r="Q108" s="6">
        <f t="shared" si="10"/>
        <v>1.0002000400080016</v>
      </c>
      <c r="R108">
        <f t="shared" si="11"/>
        <v>-2.62043959209099E-3</v>
      </c>
      <c r="T108" s="5">
        <v>44672</v>
      </c>
      <c r="U108" s="1">
        <v>-2.62043959209099E-3</v>
      </c>
    </row>
    <row r="109" spans="3:21" x14ac:dyDescent="0.2">
      <c r="C109" s="5">
        <v>44673</v>
      </c>
      <c r="D109" s="6">
        <v>0.99970000000000003</v>
      </c>
      <c r="E109" s="6">
        <v>39646.959999999999</v>
      </c>
      <c r="F109" s="6">
        <v>39690.5</v>
      </c>
      <c r="G109" s="6">
        <v>39782.14</v>
      </c>
      <c r="H109" s="6">
        <v>39716.5</v>
      </c>
      <c r="I109" s="5">
        <v>44673</v>
      </c>
      <c r="J109" s="7">
        <f t="shared" si="8"/>
        <v>1.7539806330674754E-3</v>
      </c>
      <c r="K109" s="5">
        <v>44673</v>
      </c>
      <c r="L109" s="8">
        <f t="shared" si="6"/>
        <v>2.3088648417127376E-3</v>
      </c>
      <c r="M109" s="5">
        <v>44673</v>
      </c>
      <c r="N109" s="9">
        <f t="shared" si="7"/>
        <v>4.0628454747802132E-3</v>
      </c>
      <c r="O109" s="5">
        <v>44673</v>
      </c>
      <c r="P109">
        <f t="shared" si="9"/>
        <v>0.99835001334769824</v>
      </c>
      <c r="Q109" s="6">
        <f t="shared" si="10"/>
        <v>1.000300090027008</v>
      </c>
      <c r="R109">
        <f t="shared" si="11"/>
        <v>-1.9513943884741343E-3</v>
      </c>
      <c r="T109" s="5">
        <v>44673</v>
      </c>
      <c r="U109" s="1">
        <v>-1.9513943884741343E-3</v>
      </c>
    </row>
    <row r="110" spans="3:21" x14ac:dyDescent="0.2">
      <c r="C110" s="5">
        <v>44674</v>
      </c>
      <c r="D110" s="6">
        <v>0.99944</v>
      </c>
      <c r="E110" s="6">
        <v>39462.25</v>
      </c>
      <c r="F110" s="6">
        <v>39434</v>
      </c>
      <c r="G110" s="6">
        <v>39509.75</v>
      </c>
      <c r="H110" s="6">
        <v>39398.5</v>
      </c>
      <c r="I110" s="5">
        <v>44674</v>
      </c>
      <c r="J110" s="7">
        <f t="shared" si="8"/>
        <v>-1.6154679472153767E-3</v>
      </c>
      <c r="K110" s="5">
        <v>44674</v>
      </c>
      <c r="L110" s="8">
        <f t="shared" si="6"/>
        <v>1.9209311761424152E-3</v>
      </c>
      <c r="M110" s="5">
        <v>44674</v>
      </c>
      <c r="N110" s="9">
        <f t="shared" si="7"/>
        <v>3.0546322892703853E-4</v>
      </c>
      <c r="O110" s="5">
        <v>44674</v>
      </c>
      <c r="P110">
        <f t="shared" si="9"/>
        <v>0.99718423933332911</v>
      </c>
      <c r="Q110" s="6">
        <f t="shared" si="10"/>
        <v>1.0005603137757144</v>
      </c>
      <c r="R110">
        <f t="shared" si="11"/>
        <v>-3.3798892366447022E-3</v>
      </c>
      <c r="T110" s="5">
        <v>44674</v>
      </c>
      <c r="U110" s="1">
        <v>-3.3798892366447022E-3</v>
      </c>
    </row>
    <row r="111" spans="3:21" x14ac:dyDescent="0.2">
      <c r="C111" s="5">
        <v>44675</v>
      </c>
      <c r="D111" s="6">
        <v>1.0001800000000001</v>
      </c>
      <c r="E111" s="6">
        <v>39468.78</v>
      </c>
      <c r="F111" s="6">
        <v>39441</v>
      </c>
      <c r="G111" s="6">
        <v>39491.56</v>
      </c>
      <c r="H111" s="6">
        <v>39471.5</v>
      </c>
      <c r="I111" s="5">
        <v>44675</v>
      </c>
      <c r="J111" s="7">
        <f t="shared" si="8"/>
        <v>6.8915228694709193E-5</v>
      </c>
      <c r="K111" s="5">
        <v>44675</v>
      </c>
      <c r="L111" s="8">
        <f t="shared" si="6"/>
        <v>1.2819147587535224E-3</v>
      </c>
      <c r="M111" s="5">
        <v>44675</v>
      </c>
      <c r="N111" s="9">
        <f t="shared" si="7"/>
        <v>1.3508299874482315E-3</v>
      </c>
      <c r="O111" s="5">
        <v>44675</v>
      </c>
      <c r="P111">
        <f t="shared" si="9"/>
        <v>0.99949204336318964</v>
      </c>
      <c r="Q111" s="6">
        <f t="shared" si="10"/>
        <v>0.99982003239416894</v>
      </c>
      <c r="R111">
        <f t="shared" si="11"/>
        <v>-3.2810188854325711E-4</v>
      </c>
      <c r="T111" s="5">
        <v>44675</v>
      </c>
      <c r="U111" s="1">
        <v>-3.2810188854325711E-4</v>
      </c>
    </row>
    <row r="112" spans="3:21" x14ac:dyDescent="0.2">
      <c r="C112" s="5">
        <v>44676</v>
      </c>
      <c r="D112" s="6">
        <v>0.99960000000000004</v>
      </c>
      <c r="E112" s="6">
        <v>40412</v>
      </c>
      <c r="F112" s="6">
        <v>40414.5</v>
      </c>
      <c r="G112" s="6">
        <v>40446.959999999999</v>
      </c>
      <c r="H112" s="6">
        <v>40441.5</v>
      </c>
      <c r="I112" s="5">
        <v>44676</v>
      </c>
      <c r="J112" s="7">
        <f t="shared" si="8"/>
        <v>7.2998119370484013E-4</v>
      </c>
      <c r="K112" s="5">
        <v>44676</v>
      </c>
      <c r="L112" s="8">
        <f t="shared" si="6"/>
        <v>8.0317707753403179E-4</v>
      </c>
      <c r="M112" s="5">
        <v>44676</v>
      </c>
      <c r="N112" s="9">
        <f t="shared" si="7"/>
        <v>1.5331582712388718E-3</v>
      </c>
      <c r="O112" s="5">
        <v>44676</v>
      </c>
      <c r="P112">
        <f t="shared" si="9"/>
        <v>0.99986500839618109</v>
      </c>
      <c r="Q112" s="6">
        <f t="shared" si="10"/>
        <v>1.0004001600640255</v>
      </c>
      <c r="R112">
        <f t="shared" si="11"/>
        <v>-5.3508073734513466E-4</v>
      </c>
      <c r="T112" s="5">
        <v>44676</v>
      </c>
      <c r="U112" s="1">
        <v>-5.3508073734513466E-4</v>
      </c>
    </row>
    <row r="113" spans="3:21" x14ac:dyDescent="0.2">
      <c r="C113" s="5">
        <v>44677</v>
      </c>
      <c r="D113" s="6">
        <v>1.00037</v>
      </c>
      <c r="E113" s="6">
        <v>38096.99</v>
      </c>
      <c r="F113" s="6">
        <v>38091.5</v>
      </c>
      <c r="G113" s="6">
        <v>38178.46</v>
      </c>
      <c r="H113" s="6">
        <v>38114.5</v>
      </c>
      <c r="I113" s="5">
        <v>44677</v>
      </c>
      <c r="J113" s="7">
        <f t="shared" si="8"/>
        <v>4.5961636339254201E-4</v>
      </c>
      <c r="K113" s="5">
        <v>44677</v>
      </c>
      <c r="L113" s="8">
        <f t="shared" si="6"/>
        <v>2.2829240119186466E-3</v>
      </c>
      <c r="M113" s="5">
        <v>44677</v>
      </c>
      <c r="N113" s="9">
        <f t="shared" si="7"/>
        <v>2.7425403753111887E-3</v>
      </c>
      <c r="O113" s="5">
        <v>44677</v>
      </c>
      <c r="P113">
        <f t="shared" si="9"/>
        <v>0.99832470979709509</v>
      </c>
      <c r="Q113" s="6">
        <f t="shared" si="10"/>
        <v>0.99963013684936575</v>
      </c>
      <c r="R113">
        <f t="shared" si="11"/>
        <v>-1.3067635039174649E-3</v>
      </c>
      <c r="T113" s="5">
        <v>44677</v>
      </c>
      <c r="U113" s="1">
        <v>-1.3067635039174649E-3</v>
      </c>
    </row>
    <row r="114" spans="3:21" x14ac:dyDescent="0.2">
      <c r="C114" s="5">
        <v>44678</v>
      </c>
      <c r="D114" s="6">
        <v>0.99978999999999996</v>
      </c>
      <c r="E114" s="6">
        <v>39226.47</v>
      </c>
      <c r="F114" s="6">
        <v>39207.5</v>
      </c>
      <c r="G114" s="6">
        <v>39230.379999999997</v>
      </c>
      <c r="H114" s="6">
        <v>39203</v>
      </c>
      <c r="I114" s="5">
        <v>44678</v>
      </c>
      <c r="J114" s="7">
        <f t="shared" si="8"/>
        <v>-5.983204708453543E-4</v>
      </c>
      <c r="K114" s="5">
        <v>44678</v>
      </c>
      <c r="L114" s="8">
        <f t="shared" si="6"/>
        <v>5.8356181852955123E-4</v>
      </c>
      <c r="M114" s="5">
        <v>44678</v>
      </c>
      <c r="N114" s="9">
        <f t="shared" si="7"/>
        <v>-1.4758652315803068E-5</v>
      </c>
      <c r="O114" s="5">
        <v>44678</v>
      </c>
      <c r="P114">
        <f t="shared" si="9"/>
        <v>0.99930207150682715</v>
      </c>
      <c r="Q114" s="6">
        <f t="shared" si="10"/>
        <v>1.000210044109263</v>
      </c>
      <c r="R114">
        <f t="shared" si="11"/>
        <v>-9.0819421173179006E-4</v>
      </c>
      <c r="T114" s="5">
        <v>44678</v>
      </c>
      <c r="U114" s="1">
        <v>-9.0819421173179006E-4</v>
      </c>
    </row>
    <row r="115" spans="3:21" x14ac:dyDescent="0.2">
      <c r="C115" s="5">
        <v>44679</v>
      </c>
      <c r="D115" s="6">
        <v>0.99980000000000002</v>
      </c>
      <c r="E115" s="6">
        <v>39752.730000000003</v>
      </c>
      <c r="F115" s="6">
        <v>39727.5</v>
      </c>
      <c r="G115" s="6">
        <v>39754.21</v>
      </c>
      <c r="H115" s="6">
        <v>39754.5</v>
      </c>
      <c r="I115" s="5">
        <v>44679</v>
      </c>
      <c r="J115" s="7">
        <f t="shared" si="8"/>
        <v>4.4525243926562995E-5</v>
      </c>
      <c r="K115" s="5">
        <v>44679</v>
      </c>
      <c r="L115" s="8">
        <f t="shared" si="6"/>
        <v>6.7233024982692408E-4</v>
      </c>
      <c r="M115" s="5">
        <v>44679</v>
      </c>
      <c r="N115" s="9">
        <f t="shared" si="7"/>
        <v>7.1685549375348706E-4</v>
      </c>
      <c r="O115" s="5">
        <v>44679</v>
      </c>
      <c r="P115">
        <f t="shared" si="9"/>
        <v>1.000007294824875</v>
      </c>
      <c r="Q115" s="6">
        <f t="shared" si="10"/>
        <v>1.0002000400080016</v>
      </c>
      <c r="R115">
        <f t="shared" si="11"/>
        <v>-1.9272520439907593E-4</v>
      </c>
      <c r="T115" s="5">
        <v>44679</v>
      </c>
      <c r="U115" s="1">
        <v>-1.9272520439907593E-4</v>
      </c>
    </row>
    <row r="116" spans="3:21" x14ac:dyDescent="0.2">
      <c r="C116" s="5">
        <v>44680</v>
      </c>
      <c r="D116" s="6">
        <v>0.99995000000000001</v>
      </c>
      <c r="E116" s="6">
        <v>38594.1</v>
      </c>
      <c r="F116" s="6">
        <v>38578</v>
      </c>
      <c r="G116" s="6">
        <v>38609.129999999997</v>
      </c>
      <c r="H116" s="6">
        <v>38575.5</v>
      </c>
      <c r="I116" s="5">
        <v>44680</v>
      </c>
      <c r="J116" s="7">
        <f t="shared" si="8"/>
        <v>-4.8193894921758887E-4</v>
      </c>
      <c r="K116" s="5">
        <v>44680</v>
      </c>
      <c r="L116" s="8">
        <f t="shared" si="6"/>
        <v>8.0693659598728238E-4</v>
      </c>
      <c r="M116" s="5">
        <v>44680</v>
      </c>
      <c r="N116" s="9">
        <f t="shared" si="7"/>
        <v>3.2499764676969351E-4</v>
      </c>
      <c r="O116" s="5">
        <v>44680</v>
      </c>
      <c r="P116">
        <f t="shared" si="9"/>
        <v>0.99912896250187466</v>
      </c>
      <c r="Q116" s="6">
        <f t="shared" si="10"/>
        <v>1.0000500025001251</v>
      </c>
      <c r="R116">
        <f t="shared" si="11"/>
        <v>-9.2141832175993219E-4</v>
      </c>
      <c r="T116" s="5">
        <v>44680</v>
      </c>
      <c r="U116" s="1">
        <v>-9.2141832175993219E-4</v>
      </c>
    </row>
    <row r="117" spans="3:21" x14ac:dyDescent="0.2">
      <c r="C117" s="5">
        <v>44681</v>
      </c>
      <c r="D117" s="6">
        <v>1.0001</v>
      </c>
      <c r="E117" s="6">
        <v>37643.82</v>
      </c>
      <c r="F117" s="6">
        <v>37615</v>
      </c>
      <c r="G117" s="6">
        <v>37739.949999999997</v>
      </c>
      <c r="H117" s="6">
        <v>37634</v>
      </c>
      <c r="I117" s="5">
        <v>44681</v>
      </c>
      <c r="J117" s="7">
        <f t="shared" si="8"/>
        <v>-2.6086619264462823E-4</v>
      </c>
      <c r="K117" s="5">
        <v>44681</v>
      </c>
      <c r="L117" s="8">
        <f t="shared" si="6"/>
        <v>3.3218131064734042E-3</v>
      </c>
      <c r="M117" s="5">
        <v>44681</v>
      </c>
      <c r="N117" s="9">
        <f t="shared" si="7"/>
        <v>3.0609469138287758E-3</v>
      </c>
      <c r="O117" s="5">
        <v>44681</v>
      </c>
      <c r="P117">
        <f t="shared" si="9"/>
        <v>0.99719263009092496</v>
      </c>
      <c r="Q117" s="6">
        <f t="shared" si="10"/>
        <v>0.99990000999900008</v>
      </c>
      <c r="R117">
        <f t="shared" si="11"/>
        <v>-2.7113229624743224E-3</v>
      </c>
      <c r="T117" s="5">
        <v>44681</v>
      </c>
      <c r="U117" s="1">
        <v>-2.7113229624743224E-3</v>
      </c>
    </row>
    <row r="118" spans="3:21" x14ac:dyDescent="0.2">
      <c r="C118" s="5">
        <v>44682</v>
      </c>
      <c r="D118" s="6">
        <v>1.0001100000000001</v>
      </c>
      <c r="E118" s="6">
        <v>38451.410000000003</v>
      </c>
      <c r="F118" s="6">
        <v>38458.5</v>
      </c>
      <c r="G118" s="6">
        <v>38445.24</v>
      </c>
      <c r="H118" s="6">
        <v>38450.5</v>
      </c>
      <c r="I118" s="5">
        <v>44682</v>
      </c>
      <c r="J118" s="7">
        <f t="shared" si="8"/>
        <v>-2.366623226569565E-5</v>
      </c>
      <c r="K118" s="5">
        <v>44682</v>
      </c>
      <c r="L118" s="8">
        <f t="shared" si="6"/>
        <v>-3.4478723819187014E-4</v>
      </c>
      <c r="M118" s="5">
        <v>44682</v>
      </c>
      <c r="N118" s="9">
        <f t="shared" si="7"/>
        <v>-3.6845347045756579E-4</v>
      </c>
      <c r="O118" s="5">
        <v>44682</v>
      </c>
      <c r="P118">
        <f t="shared" si="9"/>
        <v>1.0001368179779864</v>
      </c>
      <c r="Q118" s="6">
        <f t="shared" si="10"/>
        <v>0.99989001209866912</v>
      </c>
      <c r="R118">
        <f t="shared" si="11"/>
        <v>2.4680256970403049E-4</v>
      </c>
      <c r="T118" s="5">
        <v>44682</v>
      </c>
      <c r="U118" s="1">
        <v>2.4680256970403049E-4</v>
      </c>
    </row>
    <row r="119" spans="3:21" x14ac:dyDescent="0.2">
      <c r="C119" s="5">
        <v>44683</v>
      </c>
      <c r="D119" s="6">
        <v>0.99995999999999996</v>
      </c>
      <c r="E119" s="6">
        <v>38523.120000000003</v>
      </c>
      <c r="F119" s="6">
        <v>38512.5</v>
      </c>
      <c r="G119" s="6">
        <v>38533.660000000003</v>
      </c>
      <c r="H119" s="6">
        <v>38510</v>
      </c>
      <c r="I119" s="5">
        <v>44683</v>
      </c>
      <c r="J119" s="7">
        <f t="shared" si="8"/>
        <v>-3.4057469903794445E-4</v>
      </c>
      <c r="K119" s="5">
        <v>44683</v>
      </c>
      <c r="L119" s="8">
        <f t="shared" si="6"/>
        <v>5.494320025966502E-4</v>
      </c>
      <c r="M119" s="5">
        <v>44683</v>
      </c>
      <c r="N119" s="9">
        <f t="shared" si="7"/>
        <v>2.0885730355870574E-4</v>
      </c>
      <c r="O119" s="5">
        <v>44683</v>
      </c>
      <c r="P119">
        <f t="shared" si="9"/>
        <v>0.99938599136443296</v>
      </c>
      <c r="Q119" s="6">
        <f t="shared" si="10"/>
        <v>1.0000400016000641</v>
      </c>
      <c r="R119">
        <f t="shared" si="11"/>
        <v>-6.5419801608812306E-4</v>
      </c>
      <c r="T119" s="5">
        <v>44683</v>
      </c>
      <c r="U119" s="1">
        <v>-6.5419801608812306E-4</v>
      </c>
    </row>
    <row r="120" spans="3:21" x14ac:dyDescent="0.2">
      <c r="C120" s="5">
        <v>44684</v>
      </c>
      <c r="D120" s="6">
        <v>0.99963999999999997</v>
      </c>
      <c r="E120" s="6">
        <v>37733.43</v>
      </c>
      <c r="F120" s="6">
        <v>37708</v>
      </c>
      <c r="G120" s="6">
        <v>37793.019999999997</v>
      </c>
      <c r="H120" s="6">
        <v>37717.5</v>
      </c>
      <c r="I120" s="5">
        <v>44684</v>
      </c>
      <c r="J120" s="7">
        <f t="shared" si="8"/>
        <v>-4.2217206334012813E-4</v>
      </c>
      <c r="K120" s="5">
        <v>44684</v>
      </c>
      <c r="L120" s="8">
        <f t="shared" si="6"/>
        <v>2.2546939641454543E-3</v>
      </c>
      <c r="M120" s="5">
        <v>44684</v>
      </c>
      <c r="N120" s="9">
        <f t="shared" si="7"/>
        <v>1.8325219008053263E-3</v>
      </c>
      <c r="O120" s="5">
        <v>44684</v>
      </c>
      <c r="P120">
        <f t="shared" si="9"/>
        <v>0.99800174741261749</v>
      </c>
      <c r="Q120" s="6">
        <f t="shared" si="10"/>
        <v>1.0003601296466729</v>
      </c>
      <c r="R120">
        <f t="shared" si="11"/>
        <v>-2.3603165733158491E-3</v>
      </c>
      <c r="T120" s="5">
        <v>44684</v>
      </c>
      <c r="U120" s="1">
        <v>-2.3603165733158491E-3</v>
      </c>
    </row>
    <row r="121" spans="3:21" x14ac:dyDescent="0.2">
      <c r="C121" s="5">
        <v>44685</v>
      </c>
      <c r="D121" s="6">
        <v>0.99980000000000002</v>
      </c>
      <c r="E121" s="6">
        <v>39681.74</v>
      </c>
      <c r="F121" s="6">
        <v>39675</v>
      </c>
      <c r="G121" s="6">
        <v>39704.93</v>
      </c>
      <c r="H121" s="6">
        <v>39758.5</v>
      </c>
      <c r="I121" s="5">
        <v>44685</v>
      </c>
      <c r="J121" s="7">
        <f t="shared" si="8"/>
        <v>1.9343909818471175E-3</v>
      </c>
      <c r="K121" s="5">
        <v>44685</v>
      </c>
      <c r="L121" s="8">
        <f t="shared" si="6"/>
        <v>7.5437933207310123E-4</v>
      </c>
      <c r="M121" s="5">
        <v>44685</v>
      </c>
      <c r="N121" s="9">
        <f t="shared" si="7"/>
        <v>2.6887703139202189E-3</v>
      </c>
      <c r="O121" s="5">
        <v>44685</v>
      </c>
      <c r="P121">
        <f t="shared" si="9"/>
        <v>1.0013492027312478</v>
      </c>
      <c r="Q121" s="6">
        <f t="shared" si="10"/>
        <v>1.0002000400080016</v>
      </c>
      <c r="R121">
        <f t="shared" si="11"/>
        <v>1.1482733724212173E-3</v>
      </c>
      <c r="T121" s="5">
        <v>44685</v>
      </c>
      <c r="U121" s="1">
        <v>1.1482733724212173E-3</v>
      </c>
    </row>
    <row r="122" spans="3:21" x14ac:dyDescent="0.2">
      <c r="C122" s="5">
        <v>44686</v>
      </c>
      <c r="D122" s="6">
        <v>0.99965000000000004</v>
      </c>
      <c r="E122" s="6">
        <v>36550.46</v>
      </c>
      <c r="F122" s="6">
        <v>36511</v>
      </c>
      <c r="G122" s="6">
        <v>36591.93</v>
      </c>
      <c r="H122" s="6">
        <v>36531.5</v>
      </c>
      <c r="I122" s="5">
        <v>44686</v>
      </c>
      <c r="J122" s="7">
        <f t="shared" si="8"/>
        <v>-5.1873492153037542E-4</v>
      </c>
      <c r="K122" s="5">
        <v>44686</v>
      </c>
      <c r="L122" s="8">
        <f t="shared" si="6"/>
        <v>2.2165922598668974E-3</v>
      </c>
      <c r="M122" s="5">
        <v>44686</v>
      </c>
      <c r="N122" s="9">
        <f t="shared" si="7"/>
        <v>1.6978573383365221E-3</v>
      </c>
      <c r="O122" s="5">
        <v>44686</v>
      </c>
      <c r="P122">
        <f t="shared" si="9"/>
        <v>0.99834854297108677</v>
      </c>
      <c r="Q122" s="6">
        <f t="shared" si="10"/>
        <v>1.0003501225428899</v>
      </c>
      <c r="R122">
        <f t="shared" si="11"/>
        <v>-2.0028834515749541E-3</v>
      </c>
      <c r="T122" s="5">
        <v>44686</v>
      </c>
      <c r="U122" s="1">
        <v>-2.0028834515749541E-3</v>
      </c>
    </row>
    <row r="123" spans="3:21" x14ac:dyDescent="0.2">
      <c r="C123" s="5">
        <v>44687</v>
      </c>
      <c r="D123" s="6">
        <v>0.99965999999999999</v>
      </c>
      <c r="E123" s="6">
        <v>36000.26</v>
      </c>
      <c r="F123" s="6">
        <v>35992</v>
      </c>
      <c r="G123" s="6">
        <v>36073.160000000003</v>
      </c>
      <c r="H123" s="6">
        <v>35946</v>
      </c>
      <c r="I123" s="5">
        <v>44687</v>
      </c>
      <c r="J123" s="7">
        <f t="shared" si="8"/>
        <v>-1.5072113368070684E-3</v>
      </c>
      <c r="K123" s="5">
        <v>44687</v>
      </c>
      <c r="L123" s="8">
        <f t="shared" si="6"/>
        <v>2.2549455434541978E-3</v>
      </c>
      <c r="M123" s="5">
        <v>44687</v>
      </c>
      <c r="N123" s="9">
        <f t="shared" si="7"/>
        <v>7.4773420664712943E-4</v>
      </c>
      <c r="O123" s="5">
        <v>44687</v>
      </c>
      <c r="P123">
        <f t="shared" si="9"/>
        <v>0.99647494148003657</v>
      </c>
      <c r="Q123" s="6">
        <f t="shared" si="10"/>
        <v>1.0003401156393175</v>
      </c>
      <c r="R123">
        <f t="shared" si="11"/>
        <v>-3.8713439914001388E-3</v>
      </c>
      <c r="T123" s="5">
        <v>44687</v>
      </c>
      <c r="U123" s="1">
        <v>-3.8713439914001388E-3</v>
      </c>
    </row>
    <row r="124" spans="3:21" x14ac:dyDescent="0.2">
      <c r="C124" s="5">
        <v>44688</v>
      </c>
      <c r="D124" s="6">
        <v>0.99992000000000003</v>
      </c>
      <c r="E124" s="6">
        <v>35474.239999999998</v>
      </c>
      <c r="F124" s="6">
        <v>35437.5</v>
      </c>
      <c r="G124" s="6">
        <v>35538.25</v>
      </c>
      <c r="H124" s="6">
        <v>35456</v>
      </c>
      <c r="I124" s="5">
        <v>44688</v>
      </c>
      <c r="J124" s="7">
        <f t="shared" si="8"/>
        <v>-5.1417592032973686E-4</v>
      </c>
      <c r="K124" s="5">
        <v>44688</v>
      </c>
      <c r="L124" s="8">
        <f t="shared" si="6"/>
        <v>2.8430335097001762E-3</v>
      </c>
      <c r="M124" s="5">
        <v>44688</v>
      </c>
      <c r="N124" s="9">
        <f t="shared" si="7"/>
        <v>2.3288575893704393E-3</v>
      </c>
      <c r="O124" s="5">
        <v>44688</v>
      </c>
      <c r="P124">
        <f t="shared" si="9"/>
        <v>0.99768559228436959</v>
      </c>
      <c r="Q124" s="6">
        <f t="shared" si="10"/>
        <v>1.000080006400512</v>
      </c>
      <c r="R124">
        <f t="shared" si="11"/>
        <v>-2.3970932968863526E-3</v>
      </c>
      <c r="T124" s="5">
        <v>44688</v>
      </c>
      <c r="U124" s="1">
        <v>-2.3970932968863526E-3</v>
      </c>
    </row>
    <row r="125" spans="3:21" x14ac:dyDescent="0.2">
      <c r="C125" s="5">
        <v>44689</v>
      </c>
      <c r="D125" s="6">
        <v>0.99963999999999997</v>
      </c>
      <c r="E125" s="6">
        <v>34058.660000000003</v>
      </c>
      <c r="F125" s="6">
        <v>34015</v>
      </c>
      <c r="G125" s="6">
        <v>34068.94</v>
      </c>
      <c r="H125" s="6">
        <v>34023</v>
      </c>
      <c r="I125" s="5">
        <v>44689</v>
      </c>
      <c r="J125" s="7">
        <f t="shared" si="8"/>
        <v>-1.0470171169389367E-3</v>
      </c>
      <c r="K125" s="5">
        <v>44689</v>
      </c>
      <c r="L125" s="8">
        <f t="shared" si="6"/>
        <v>1.5857709833897494E-3</v>
      </c>
      <c r="M125" s="5">
        <v>44689</v>
      </c>
      <c r="N125" s="9">
        <f t="shared" si="7"/>
        <v>5.3875386645081268E-4</v>
      </c>
      <c r="O125" s="5">
        <v>44689</v>
      </c>
      <c r="P125">
        <f t="shared" si="9"/>
        <v>0.99865155769448655</v>
      </c>
      <c r="Q125" s="6">
        <f t="shared" si="10"/>
        <v>1.0003601296466729</v>
      </c>
      <c r="R125">
        <f t="shared" si="11"/>
        <v>-1.7094170875122093E-3</v>
      </c>
      <c r="T125" s="5">
        <v>44689</v>
      </c>
      <c r="U125" s="1">
        <v>-1.7094170875122093E-3</v>
      </c>
    </row>
    <row r="126" spans="3:21" x14ac:dyDescent="0.2">
      <c r="C126" s="5">
        <v>44690</v>
      </c>
      <c r="D126" s="6">
        <v>1.00004</v>
      </c>
      <c r="E126" s="6">
        <v>30063.64</v>
      </c>
      <c r="F126" s="6">
        <v>30060.5</v>
      </c>
      <c r="G126" s="6">
        <v>30080.41</v>
      </c>
      <c r="H126" s="6">
        <v>30086</v>
      </c>
      <c r="I126" s="5">
        <v>44690</v>
      </c>
      <c r="J126" s="7">
        <f t="shared" si="8"/>
        <v>7.4375557983000673E-4</v>
      </c>
      <c r="K126" s="5">
        <v>44690</v>
      </c>
      <c r="L126" s="8">
        <f t="shared" si="6"/>
        <v>6.6233096588545943E-4</v>
      </c>
      <c r="M126" s="5">
        <v>44690</v>
      </c>
      <c r="N126" s="9">
        <f t="shared" si="7"/>
        <v>1.4060865457154663E-3</v>
      </c>
      <c r="O126" s="5">
        <v>44690</v>
      </c>
      <c r="P126">
        <f t="shared" si="9"/>
        <v>1.0001858352329638</v>
      </c>
      <c r="Q126" s="6">
        <f t="shared" si="10"/>
        <v>0.99996000159993592</v>
      </c>
      <c r="R126">
        <f t="shared" si="11"/>
        <v>2.258171677573334E-4</v>
      </c>
      <c r="T126" s="5">
        <v>44690</v>
      </c>
      <c r="U126" s="1">
        <v>2.258171677573334E-4</v>
      </c>
    </row>
    <row r="127" spans="3:21" x14ac:dyDescent="0.2">
      <c r="C127" s="5">
        <v>44691</v>
      </c>
      <c r="D127" s="6">
        <v>1.00038</v>
      </c>
      <c r="E127" s="6">
        <v>31005.11</v>
      </c>
      <c r="F127" s="6">
        <v>31004</v>
      </c>
      <c r="G127" s="6">
        <v>31068.38</v>
      </c>
      <c r="H127" s="6">
        <v>31004</v>
      </c>
      <c r="I127" s="5">
        <v>44691</v>
      </c>
      <c r="J127" s="7">
        <f t="shared" si="8"/>
        <v>-3.5800550296405398E-5</v>
      </c>
      <c r="K127" s="5">
        <v>44691</v>
      </c>
      <c r="L127" s="8">
        <f t="shared" si="6"/>
        <v>2.076506257257161E-3</v>
      </c>
      <c r="M127" s="5">
        <v>44691</v>
      </c>
      <c r="N127" s="9">
        <f t="shared" si="7"/>
        <v>2.0407057069607554E-3</v>
      </c>
      <c r="O127" s="5">
        <v>44691</v>
      </c>
      <c r="P127">
        <f t="shared" si="9"/>
        <v>0.99792779668589093</v>
      </c>
      <c r="Q127" s="6">
        <f t="shared" si="10"/>
        <v>0.99962014434514879</v>
      </c>
      <c r="R127">
        <f t="shared" si="11"/>
        <v>-1.6944254797604569E-3</v>
      </c>
      <c r="T127" s="5">
        <v>44691</v>
      </c>
      <c r="U127" s="1">
        <v>-1.6944254797604569E-3</v>
      </c>
    </row>
    <row r="128" spans="3:21" x14ac:dyDescent="0.2">
      <c r="C128" s="5">
        <v>44692</v>
      </c>
      <c r="D128" s="6">
        <v>1.0013000000000001</v>
      </c>
      <c r="E128" s="6">
        <v>28917.49</v>
      </c>
      <c r="F128" s="6">
        <v>28964</v>
      </c>
      <c r="G128" s="6">
        <v>28985.23</v>
      </c>
      <c r="H128" s="6">
        <v>28854</v>
      </c>
      <c r="I128" s="5">
        <v>44692</v>
      </c>
      <c r="J128" s="7">
        <f t="shared" si="8"/>
        <v>-2.1955570832738803E-3</v>
      </c>
      <c r="K128" s="5">
        <v>44692</v>
      </c>
      <c r="L128" s="8">
        <f t="shared" si="6"/>
        <v>7.3297887032176367E-4</v>
      </c>
      <c r="M128" s="5">
        <v>44692</v>
      </c>
      <c r="N128" s="9">
        <f t="shared" si="7"/>
        <v>-1.4625782129521166E-3</v>
      </c>
      <c r="O128" s="5">
        <v>44692</v>
      </c>
      <c r="P128">
        <f t="shared" si="9"/>
        <v>0.99547252169467004</v>
      </c>
      <c r="Q128" s="6">
        <f t="shared" si="10"/>
        <v>0.99870168780585233</v>
      </c>
      <c r="R128">
        <f t="shared" si="11"/>
        <v>-3.2386026438773288E-3</v>
      </c>
      <c r="T128" s="5">
        <v>44692</v>
      </c>
      <c r="U128" s="1">
        <v>-3.2386026438773288E-3</v>
      </c>
    </row>
    <row r="129" spans="3:21" x14ac:dyDescent="0.2">
      <c r="C129" s="5">
        <v>44693</v>
      </c>
      <c r="D129" s="6">
        <v>0.99865000000000004</v>
      </c>
      <c r="E129" s="6">
        <v>28929.18</v>
      </c>
      <c r="F129" s="6">
        <v>28931</v>
      </c>
      <c r="G129" s="6">
        <v>28946.75</v>
      </c>
      <c r="H129" s="6">
        <v>28728.5</v>
      </c>
      <c r="I129" s="5">
        <v>44693</v>
      </c>
      <c r="J129" s="7">
        <f t="shared" si="8"/>
        <v>-6.9369404870791461E-3</v>
      </c>
      <c r="K129" s="5">
        <v>44693</v>
      </c>
      <c r="L129" s="8">
        <f t="shared" si="6"/>
        <v>5.4439874183401888E-4</v>
      </c>
      <c r="M129" s="5">
        <v>44693</v>
      </c>
      <c r="N129" s="9">
        <f t="shared" si="7"/>
        <v>-6.3925417452451276E-3</v>
      </c>
      <c r="O129" s="5">
        <v>44693</v>
      </c>
      <c r="P129">
        <f t="shared" si="9"/>
        <v>0.99246029346990594</v>
      </c>
      <c r="Q129" s="6">
        <f t="shared" si="10"/>
        <v>1.001351824963701</v>
      </c>
      <c r="R129">
        <f t="shared" si="11"/>
        <v>-8.9191858714722586E-3</v>
      </c>
      <c r="T129" s="5">
        <v>44693</v>
      </c>
      <c r="U129" s="1">
        <v>-8.9191858714722586E-3</v>
      </c>
    </row>
    <row r="130" spans="3:21" x14ac:dyDescent="0.2">
      <c r="C130" s="5">
        <v>44694</v>
      </c>
      <c r="D130" s="6">
        <v>0.99988999999999995</v>
      </c>
      <c r="E130" s="6">
        <v>29243.52</v>
      </c>
      <c r="F130" s="6">
        <v>29220.5</v>
      </c>
      <c r="G130" s="6">
        <v>29294.93</v>
      </c>
      <c r="H130" s="6">
        <v>29252</v>
      </c>
      <c r="I130" s="5">
        <v>44694</v>
      </c>
      <c r="J130" s="7">
        <f t="shared" si="8"/>
        <v>2.8997877136540209E-4</v>
      </c>
      <c r="K130" s="5">
        <v>44694</v>
      </c>
      <c r="L130" s="8">
        <f t="shared" si="6"/>
        <v>2.5471843397614786E-3</v>
      </c>
      <c r="M130" s="5">
        <v>44694</v>
      </c>
      <c r="N130" s="9">
        <f t="shared" si="7"/>
        <v>2.8371631111268805E-3</v>
      </c>
      <c r="O130" s="5">
        <v>44694</v>
      </c>
      <c r="P130">
        <f t="shared" si="9"/>
        <v>0.9985345587103297</v>
      </c>
      <c r="Q130" s="6">
        <f t="shared" si="10"/>
        <v>1.0001100121013311</v>
      </c>
      <c r="R130">
        <f t="shared" si="11"/>
        <v>-1.5765221493756094E-3</v>
      </c>
      <c r="T130" s="5">
        <v>44694</v>
      </c>
      <c r="U130" s="1">
        <v>-1.5765221493756094E-3</v>
      </c>
    </row>
    <row r="131" spans="3:21" x14ac:dyDescent="0.2">
      <c r="C131" s="5">
        <v>44695</v>
      </c>
      <c r="D131" s="6">
        <v>0.99988999999999995</v>
      </c>
      <c r="E131" s="6">
        <v>30032.02</v>
      </c>
      <c r="F131" s="6">
        <v>30024</v>
      </c>
      <c r="G131" s="6">
        <v>30127.49</v>
      </c>
      <c r="H131" s="6">
        <v>29974</v>
      </c>
      <c r="I131" s="5">
        <v>44695</v>
      </c>
      <c r="J131" s="7">
        <f t="shared" si="8"/>
        <v>-1.9319379781979513E-3</v>
      </c>
      <c r="K131" s="5">
        <v>44695</v>
      </c>
      <c r="L131" s="8">
        <f t="shared" si="6"/>
        <v>3.4469091393552359E-3</v>
      </c>
      <c r="M131" s="5">
        <v>44695</v>
      </c>
      <c r="N131" s="9">
        <f t="shared" si="7"/>
        <v>1.5149711611572845E-3</v>
      </c>
      <c r="O131" s="5">
        <v>44695</v>
      </c>
      <c r="P131">
        <f t="shared" si="9"/>
        <v>0.99490531736961818</v>
      </c>
      <c r="Q131" s="6">
        <f t="shared" si="10"/>
        <v>1.0001100121013311</v>
      </c>
      <c r="R131">
        <f t="shared" si="11"/>
        <v>-5.2177108243321568E-3</v>
      </c>
      <c r="T131" s="5">
        <v>44695</v>
      </c>
      <c r="U131" s="1">
        <v>-5.2177108243321568E-3</v>
      </c>
    </row>
    <row r="132" spans="3:21" x14ac:dyDescent="0.2">
      <c r="C132" s="5">
        <v>44696</v>
      </c>
      <c r="D132" s="6">
        <v>0.99987999999999999</v>
      </c>
      <c r="E132" s="6">
        <v>31285.9</v>
      </c>
      <c r="F132" s="6">
        <v>31273.5</v>
      </c>
      <c r="G132" s="6">
        <v>31328.1</v>
      </c>
      <c r="H132" s="6">
        <v>31294</v>
      </c>
      <c r="I132" s="5">
        <v>44696</v>
      </c>
      <c r="J132" s="7">
        <f t="shared" si="8"/>
        <v>2.5890257272440765E-4</v>
      </c>
      <c r="K132" s="5">
        <v>44696</v>
      </c>
      <c r="L132" s="8">
        <f t="shared" si="6"/>
        <v>1.745887092906088E-3</v>
      </c>
      <c r="M132" s="5">
        <v>44696</v>
      </c>
      <c r="N132" s="9">
        <f t="shared" si="7"/>
        <v>2.0047896656304955E-3</v>
      </c>
      <c r="O132" s="5">
        <v>44696</v>
      </c>
      <c r="P132">
        <f t="shared" si="9"/>
        <v>0.99891152032839536</v>
      </c>
      <c r="Q132" s="6">
        <f t="shared" si="10"/>
        <v>1.0001200144017282</v>
      </c>
      <c r="R132">
        <f t="shared" si="11"/>
        <v>-1.2090796964021675E-3</v>
      </c>
      <c r="T132" s="5">
        <v>44696</v>
      </c>
      <c r="U132" s="1">
        <v>-1.2090796964021675E-3</v>
      </c>
    </row>
    <row r="133" spans="3:21" x14ac:dyDescent="0.2">
      <c r="C133" s="5">
        <v>44697</v>
      </c>
      <c r="D133" s="6">
        <v>0.99963000000000002</v>
      </c>
      <c r="E133" s="6">
        <v>29819.71</v>
      </c>
      <c r="F133" s="6">
        <v>29823.5</v>
      </c>
      <c r="G133" s="6">
        <v>29871.22</v>
      </c>
      <c r="H133" s="6">
        <v>29866</v>
      </c>
      <c r="I133" s="5">
        <v>44697</v>
      </c>
      <c r="J133" s="7">
        <f t="shared" si="8"/>
        <v>1.5523289797251842E-3</v>
      </c>
      <c r="K133" s="5">
        <v>44697</v>
      </c>
      <c r="L133" s="8">
        <f t="shared" si="6"/>
        <v>1.6000804734521824E-3</v>
      </c>
      <c r="M133" s="5">
        <v>44697</v>
      </c>
      <c r="N133" s="9">
        <f t="shared" si="7"/>
        <v>3.1524094531773664E-3</v>
      </c>
      <c r="O133" s="5">
        <v>44697</v>
      </c>
      <c r="P133">
        <f t="shared" si="9"/>
        <v>0.99982524985588139</v>
      </c>
      <c r="Q133" s="6">
        <f t="shared" si="10"/>
        <v>1.0003701369506717</v>
      </c>
      <c r="R133">
        <f t="shared" si="11"/>
        <v>-5.4483388159299554E-4</v>
      </c>
      <c r="T133" s="5">
        <v>44697</v>
      </c>
      <c r="U133" s="1">
        <v>-5.4483388159299554E-4</v>
      </c>
    </row>
    <row r="134" spans="3:21" x14ac:dyDescent="0.2">
      <c r="C134" s="5">
        <v>44698</v>
      </c>
      <c r="D134" s="6">
        <v>0.99987999999999999</v>
      </c>
      <c r="E134" s="6">
        <v>30423.35</v>
      </c>
      <c r="F134" s="6">
        <v>30397</v>
      </c>
      <c r="G134" s="6">
        <v>30432.26</v>
      </c>
      <c r="H134" s="6">
        <v>30398.5</v>
      </c>
      <c r="I134" s="5">
        <v>44698</v>
      </c>
      <c r="J134" s="7">
        <f t="shared" si="8"/>
        <v>-8.1680682765042465E-4</v>
      </c>
      <c r="K134" s="5">
        <v>44698</v>
      </c>
      <c r="L134" s="8">
        <f t="shared" si="6"/>
        <v>1.1599828930486035E-3</v>
      </c>
      <c r="M134" s="5">
        <v>44698</v>
      </c>
      <c r="N134" s="9">
        <f t="shared" si="7"/>
        <v>3.4317606539817889E-4</v>
      </c>
      <c r="O134" s="5">
        <v>44698</v>
      </c>
      <c r="P134">
        <f t="shared" si="9"/>
        <v>0.99889065090795104</v>
      </c>
      <c r="Q134" s="6">
        <f t="shared" si="10"/>
        <v>1.0001200144017282</v>
      </c>
      <c r="R134">
        <f t="shared" si="11"/>
        <v>-1.2299720757834678E-3</v>
      </c>
      <c r="T134" s="5">
        <v>44698</v>
      </c>
      <c r="U134" s="1">
        <v>-1.2299720757834678E-3</v>
      </c>
    </row>
    <row r="135" spans="3:21" x14ac:dyDescent="0.2">
      <c r="C135" s="5">
        <v>44699</v>
      </c>
      <c r="D135" s="6">
        <v>0.99997000000000003</v>
      </c>
      <c r="E135" s="6">
        <v>28670.3</v>
      </c>
      <c r="F135" s="6">
        <v>28655</v>
      </c>
      <c r="G135" s="6">
        <v>28709.43</v>
      </c>
      <c r="H135" s="6">
        <v>28407.5</v>
      </c>
      <c r="I135" s="5">
        <v>44699</v>
      </c>
      <c r="J135" s="7">
        <f t="shared" si="8"/>
        <v>-9.1662800877562942E-3</v>
      </c>
      <c r="K135" s="5">
        <v>44699</v>
      </c>
      <c r="L135" s="8">
        <f t="shared" si="6"/>
        <v>1.8994939801081938E-3</v>
      </c>
      <c r="M135" s="5">
        <v>44699</v>
      </c>
      <c r="N135" s="9">
        <f t="shared" si="7"/>
        <v>-7.2667861076481004E-3</v>
      </c>
      <c r="O135" s="5">
        <v>44699</v>
      </c>
      <c r="P135">
        <f t="shared" si="9"/>
        <v>0.98948324644550578</v>
      </c>
      <c r="Q135" s="6">
        <f t="shared" si="10"/>
        <v>1.0000300009000269</v>
      </c>
      <c r="R135">
        <f t="shared" si="11"/>
        <v>-1.0602445866358105E-2</v>
      </c>
      <c r="T135" s="5">
        <v>44699</v>
      </c>
      <c r="U135" s="1">
        <v>-1.0602445866358105E-2</v>
      </c>
    </row>
    <row r="136" spans="3:21" x14ac:dyDescent="0.2">
      <c r="C136" s="5">
        <v>44700</v>
      </c>
      <c r="D136" s="6">
        <v>1.00017</v>
      </c>
      <c r="E136" s="6">
        <v>30297.64</v>
      </c>
      <c r="F136" s="6">
        <v>30280</v>
      </c>
      <c r="G136" s="6">
        <v>30305</v>
      </c>
      <c r="H136" s="6">
        <v>30086.5</v>
      </c>
      <c r="I136" s="5">
        <v>44700</v>
      </c>
      <c r="J136" s="7">
        <f t="shared" si="8"/>
        <v>-6.96885962074932E-3</v>
      </c>
      <c r="K136" s="5">
        <v>44700</v>
      </c>
      <c r="L136" s="8">
        <f t="shared" si="6"/>
        <v>8.2562747688243068E-4</v>
      </c>
      <c r="M136" s="5">
        <v>44700</v>
      </c>
      <c r="N136" s="9">
        <f t="shared" si="7"/>
        <v>-6.1432321438668891E-3</v>
      </c>
      <c r="O136" s="5">
        <v>44700</v>
      </c>
      <c r="P136">
        <f t="shared" si="9"/>
        <v>0.99278996865203761</v>
      </c>
      <c r="Q136" s="6">
        <f t="shared" si="10"/>
        <v>0.99983002889508787</v>
      </c>
      <c r="R136">
        <f t="shared" si="11"/>
        <v>-7.0661636886130818E-3</v>
      </c>
      <c r="T136" s="5">
        <v>44700</v>
      </c>
      <c r="U136" s="1">
        <v>-7.0661636886130818E-3</v>
      </c>
    </row>
    <row r="137" spans="3:21" x14ac:dyDescent="0.2">
      <c r="C137" s="5">
        <v>44701</v>
      </c>
      <c r="D137" s="6">
        <v>0.99995000000000001</v>
      </c>
      <c r="E137" s="6">
        <v>29152.71</v>
      </c>
      <c r="F137" s="6">
        <v>29151.5</v>
      </c>
      <c r="G137" s="6">
        <v>29205.4</v>
      </c>
      <c r="H137" s="6">
        <v>29160</v>
      </c>
      <c r="I137" s="5">
        <v>44701</v>
      </c>
      <c r="J137" s="7">
        <f t="shared" si="8"/>
        <v>2.5006251562893718E-4</v>
      </c>
      <c r="K137" s="5">
        <v>44701</v>
      </c>
      <c r="L137" s="8">
        <f t="shared" si="6"/>
        <v>1.8489614599592288E-3</v>
      </c>
      <c r="M137" s="5">
        <v>44701</v>
      </c>
      <c r="N137" s="9">
        <f t="shared" si="7"/>
        <v>2.099023975588166E-3</v>
      </c>
      <c r="O137" s="5">
        <v>44701</v>
      </c>
      <c r="P137">
        <f t="shared" si="9"/>
        <v>0.99844549295678187</v>
      </c>
      <c r="Q137" s="6">
        <f t="shared" si="10"/>
        <v>1.0000500025001251</v>
      </c>
      <c r="R137">
        <f t="shared" si="11"/>
        <v>-1.6057177929466526E-3</v>
      </c>
      <c r="T137" s="5">
        <v>44701</v>
      </c>
      <c r="U137" s="1">
        <v>-1.6057177929466526E-3</v>
      </c>
    </row>
    <row r="138" spans="3:21" x14ac:dyDescent="0.2">
      <c r="C138" s="5">
        <v>44702</v>
      </c>
      <c r="D138" s="6">
        <v>0.99961999999999995</v>
      </c>
      <c r="E138" s="6">
        <v>29424.32</v>
      </c>
      <c r="F138" s="6">
        <v>29390</v>
      </c>
      <c r="G138" s="6">
        <v>29430.15</v>
      </c>
      <c r="H138" s="6">
        <v>29374.5</v>
      </c>
      <c r="I138" s="5">
        <v>44702</v>
      </c>
      <c r="J138" s="7">
        <f t="shared" si="8"/>
        <v>-1.6931572250437634E-3</v>
      </c>
      <c r="K138" s="5">
        <v>44702</v>
      </c>
      <c r="L138" s="8">
        <f t="shared" si="6"/>
        <v>1.3661109220823905E-3</v>
      </c>
      <c r="M138" s="5">
        <v>44702</v>
      </c>
      <c r="N138" s="9">
        <f t="shared" si="7"/>
        <v>-3.2704630296137289E-4</v>
      </c>
      <c r="O138" s="5">
        <v>44702</v>
      </c>
      <c r="P138">
        <f t="shared" si="9"/>
        <v>0.99810908201283366</v>
      </c>
      <c r="Q138" s="6">
        <f t="shared" si="10"/>
        <v>1.000380144454893</v>
      </c>
      <c r="R138">
        <f t="shared" si="11"/>
        <v>-2.2727802477841416E-3</v>
      </c>
      <c r="T138" s="5">
        <v>44702</v>
      </c>
      <c r="U138" s="1">
        <v>-2.2727802477841416E-3</v>
      </c>
    </row>
    <row r="139" spans="3:21" x14ac:dyDescent="0.2">
      <c r="C139" s="5">
        <v>44703</v>
      </c>
      <c r="D139" s="6">
        <v>0.99973999999999996</v>
      </c>
      <c r="E139" s="6">
        <v>30262.63</v>
      </c>
      <c r="F139" s="6">
        <v>30253</v>
      </c>
      <c r="G139" s="6">
        <v>30279.599999999999</v>
      </c>
      <c r="H139" s="6">
        <v>30248.5</v>
      </c>
      <c r="I139" s="5">
        <v>44703</v>
      </c>
      <c r="J139" s="7">
        <f t="shared" si="8"/>
        <v>-4.669124924040316E-4</v>
      </c>
      <c r="K139" s="5">
        <v>44703</v>
      </c>
      <c r="L139" s="8">
        <f t="shared" ref="L139:L202" si="12">(G139-F139)/F139</f>
        <v>8.7925164446496366E-4</v>
      </c>
      <c r="M139" s="5">
        <v>44703</v>
      </c>
      <c r="N139" s="9">
        <f t="shared" ref="N139:N202" si="13">J139+L139</f>
        <v>4.1233915206093205E-4</v>
      </c>
      <c r="O139" s="5">
        <v>44703</v>
      </c>
      <c r="P139">
        <f t="shared" si="9"/>
        <v>0.998972905850804</v>
      </c>
      <c r="Q139" s="6">
        <f t="shared" si="10"/>
        <v>1.0002600676175806</v>
      </c>
      <c r="R139">
        <f t="shared" si="11"/>
        <v>-1.2876557776980758E-3</v>
      </c>
      <c r="T139" s="5">
        <v>44703</v>
      </c>
      <c r="U139" s="1">
        <v>-1.2876557776980758E-3</v>
      </c>
    </row>
    <row r="140" spans="3:21" x14ac:dyDescent="0.2">
      <c r="C140" s="5">
        <v>44704</v>
      </c>
      <c r="D140" s="6">
        <v>0.99960000000000004</v>
      </c>
      <c r="E140" s="6">
        <v>29079.77</v>
      </c>
      <c r="F140" s="6">
        <v>29050</v>
      </c>
      <c r="G140" s="6">
        <v>29103.56</v>
      </c>
      <c r="H140" s="6">
        <v>28967</v>
      </c>
      <c r="I140" s="5">
        <v>44704</v>
      </c>
      <c r="J140" s="7">
        <f t="shared" ref="J140:J203" si="14">(H140-E140)/E140</f>
        <v>-3.8779536426870099E-3</v>
      </c>
      <c r="K140" s="5">
        <v>44704</v>
      </c>
      <c r="L140" s="8">
        <f t="shared" si="12"/>
        <v>1.8437177280551226E-3</v>
      </c>
      <c r="M140" s="5">
        <v>44704</v>
      </c>
      <c r="N140" s="9">
        <f t="shared" si="13"/>
        <v>-2.0342359146318873E-3</v>
      </c>
      <c r="O140" s="5">
        <v>44704</v>
      </c>
      <c r="P140">
        <f t="shared" ref="P140:P203" si="15">(1/G140)*H140</f>
        <v>0.9953077905245955</v>
      </c>
      <c r="Q140" s="6">
        <f t="shared" ref="Q140:Q203" si="16">1/D140</f>
        <v>1.0004001600640255</v>
      </c>
      <c r="R140">
        <f t="shared" ref="R140:R203" si="17">LN(P140/Q140)</f>
        <v>-5.1033324691256831E-3</v>
      </c>
      <c r="T140" s="5">
        <v>44704</v>
      </c>
      <c r="U140" s="1">
        <v>-5.1033324691256831E-3</v>
      </c>
    </row>
    <row r="141" spans="3:21" x14ac:dyDescent="0.2">
      <c r="C141" s="5">
        <v>44705</v>
      </c>
      <c r="D141" s="6">
        <v>0.99973999999999996</v>
      </c>
      <c r="E141" s="6">
        <v>29631.68</v>
      </c>
      <c r="F141" s="6">
        <v>29622</v>
      </c>
      <c r="G141" s="6">
        <v>29655.93</v>
      </c>
      <c r="H141" s="6">
        <v>29585.5</v>
      </c>
      <c r="I141" s="5">
        <v>44705</v>
      </c>
      <c r="J141" s="7">
        <f t="shared" si="14"/>
        <v>-1.558467154072948E-3</v>
      </c>
      <c r="K141" s="5">
        <v>44705</v>
      </c>
      <c r="L141" s="8">
        <f t="shared" si="12"/>
        <v>1.1454324488555901E-3</v>
      </c>
      <c r="M141" s="5">
        <v>44705</v>
      </c>
      <c r="N141" s="9">
        <f t="shared" si="13"/>
        <v>-4.1303470521735788E-4</v>
      </c>
      <c r="O141" s="5">
        <v>44705</v>
      </c>
      <c r="P141">
        <f t="shared" si="15"/>
        <v>0.99762509555424495</v>
      </c>
      <c r="Q141" s="6">
        <f t="shared" si="16"/>
        <v>1.0002600676175806</v>
      </c>
      <c r="R141">
        <f t="shared" si="17"/>
        <v>-2.6377628101019873E-3</v>
      </c>
      <c r="T141" s="5">
        <v>44705</v>
      </c>
      <c r="U141" s="1">
        <v>-2.6377628101019873E-3</v>
      </c>
    </row>
    <row r="142" spans="3:21" x14ac:dyDescent="0.2">
      <c r="C142" s="5">
        <v>44706</v>
      </c>
      <c r="D142" s="6">
        <v>0.99995999999999996</v>
      </c>
      <c r="E142" s="6">
        <v>29520</v>
      </c>
      <c r="F142" s="6">
        <v>29500</v>
      </c>
      <c r="G142" s="6">
        <v>29542.61</v>
      </c>
      <c r="H142" s="6">
        <v>29450.5</v>
      </c>
      <c r="I142" s="5">
        <v>44706</v>
      </c>
      <c r="J142" s="7">
        <f t="shared" si="14"/>
        <v>-2.3543360433604336E-3</v>
      </c>
      <c r="K142" s="5">
        <v>44706</v>
      </c>
      <c r="L142" s="8">
        <f t="shared" si="12"/>
        <v>1.4444067796610368E-3</v>
      </c>
      <c r="M142" s="5">
        <v>44706</v>
      </c>
      <c r="N142" s="9">
        <f t="shared" si="13"/>
        <v>-9.0992926369939681E-4</v>
      </c>
      <c r="O142" s="5">
        <v>44706</v>
      </c>
      <c r="P142">
        <f t="shared" si="15"/>
        <v>0.99688213059035746</v>
      </c>
      <c r="Q142" s="6">
        <f t="shared" si="16"/>
        <v>1.0000400016000641</v>
      </c>
      <c r="R142">
        <f t="shared" si="17"/>
        <v>-3.1627408912260216E-3</v>
      </c>
      <c r="T142" s="5">
        <v>44706</v>
      </c>
      <c r="U142" s="1">
        <v>-3.1627408912260216E-3</v>
      </c>
    </row>
    <row r="143" spans="3:21" x14ac:dyDescent="0.2">
      <c r="C143" s="5">
        <v>44707</v>
      </c>
      <c r="D143" s="6">
        <v>1.00064</v>
      </c>
      <c r="E143" s="6">
        <v>29177.58</v>
      </c>
      <c r="F143" s="6">
        <v>29156.5</v>
      </c>
      <c r="G143" s="6">
        <v>29204.75</v>
      </c>
      <c r="H143" s="6">
        <v>29200</v>
      </c>
      <c r="I143" s="5">
        <v>44707</v>
      </c>
      <c r="J143" s="7">
        <f t="shared" si="14"/>
        <v>7.683982016328377E-4</v>
      </c>
      <c r="K143" s="5">
        <v>44707</v>
      </c>
      <c r="L143" s="8">
        <f t="shared" si="12"/>
        <v>1.6548625520895854E-3</v>
      </c>
      <c r="M143" s="5">
        <v>44707</v>
      </c>
      <c r="N143" s="9">
        <f t="shared" si="13"/>
        <v>2.423260753722423E-3</v>
      </c>
      <c r="O143" s="5">
        <v>44707</v>
      </c>
      <c r="P143">
        <f t="shared" si="15"/>
        <v>0.99983735522474937</v>
      </c>
      <c r="Q143" s="6">
        <f t="shared" si="16"/>
        <v>0.99936040933802373</v>
      </c>
      <c r="R143">
        <f t="shared" si="17"/>
        <v>4.7713728399295571E-4</v>
      </c>
      <c r="T143" s="5">
        <v>44707</v>
      </c>
      <c r="U143" s="1">
        <v>4.7713728399295571E-4</v>
      </c>
    </row>
    <row r="144" spans="3:21" x14ac:dyDescent="0.2">
      <c r="C144" s="5">
        <v>44708</v>
      </c>
      <c r="D144" s="6">
        <v>0.99963000000000002</v>
      </c>
      <c r="E144" s="6">
        <v>28579.56</v>
      </c>
      <c r="F144" s="6">
        <v>28580</v>
      </c>
      <c r="G144" s="6">
        <v>28602.92</v>
      </c>
      <c r="H144" s="6">
        <v>28625.5</v>
      </c>
      <c r="I144" s="5">
        <v>44708</v>
      </c>
      <c r="J144" s="7">
        <f t="shared" si="14"/>
        <v>1.6074425218582332E-3</v>
      </c>
      <c r="K144" s="5">
        <v>44708</v>
      </c>
      <c r="L144" s="8">
        <f t="shared" si="12"/>
        <v>8.0195941217628603E-4</v>
      </c>
      <c r="M144" s="5">
        <v>44708</v>
      </c>
      <c r="N144" s="9">
        <f t="shared" si="13"/>
        <v>2.4094019340345193E-3</v>
      </c>
      <c r="O144" s="5">
        <v>44708</v>
      </c>
      <c r="P144">
        <f t="shared" si="15"/>
        <v>1.000789429890375</v>
      </c>
      <c r="Q144" s="6">
        <f t="shared" si="16"/>
        <v>1.0003701369506717</v>
      </c>
      <c r="R144">
        <f t="shared" si="17"/>
        <v>4.1904998760390014E-4</v>
      </c>
      <c r="T144" s="5">
        <v>44708</v>
      </c>
      <c r="U144" s="1">
        <v>4.1904998760390014E-4</v>
      </c>
    </row>
    <row r="145" spans="3:21" x14ac:dyDescent="0.2">
      <c r="C145" s="5">
        <v>44709</v>
      </c>
      <c r="D145" s="6">
        <v>1.0000800000000001</v>
      </c>
      <c r="E145" s="6">
        <v>28987.67</v>
      </c>
      <c r="F145" s="6">
        <v>28991</v>
      </c>
      <c r="G145" s="6">
        <v>29047.439999999999</v>
      </c>
      <c r="H145" s="6">
        <v>28958.5</v>
      </c>
      <c r="I145" s="5">
        <v>44709</v>
      </c>
      <c r="J145" s="7">
        <f t="shared" si="14"/>
        <v>-1.0062899156778814E-3</v>
      </c>
      <c r="K145" s="5">
        <v>44709</v>
      </c>
      <c r="L145" s="8">
        <f t="shared" si="12"/>
        <v>1.9468110793004275E-3</v>
      </c>
      <c r="M145" s="5">
        <v>44709</v>
      </c>
      <c r="N145" s="9">
        <f t="shared" si="13"/>
        <v>9.40521163622546E-4</v>
      </c>
      <c r="O145" s="5">
        <v>44709</v>
      </c>
      <c r="P145">
        <f t="shared" si="15"/>
        <v>0.99693811227426588</v>
      </c>
      <c r="Q145" s="6">
        <f t="shared" si="16"/>
        <v>0.99992000639948797</v>
      </c>
      <c r="R145">
        <f t="shared" si="17"/>
        <v>-2.9865880943720211E-3</v>
      </c>
      <c r="T145" s="5">
        <v>44709</v>
      </c>
      <c r="U145" s="1">
        <v>-2.9865880943720211E-3</v>
      </c>
    </row>
    <row r="146" spans="3:21" x14ac:dyDescent="0.2">
      <c r="C146" s="5">
        <v>44710</v>
      </c>
      <c r="D146" s="6">
        <v>1.0004</v>
      </c>
      <c r="E146" s="6">
        <v>29441.16</v>
      </c>
      <c r="F146" s="6">
        <v>29424</v>
      </c>
      <c r="G146" s="6">
        <v>29464.71</v>
      </c>
      <c r="H146" s="6">
        <v>29380.5</v>
      </c>
      <c r="I146" s="5">
        <v>44710</v>
      </c>
      <c r="J146" s="7">
        <f t="shared" si="14"/>
        <v>-2.060380773040188E-3</v>
      </c>
      <c r="K146" s="5">
        <v>44710</v>
      </c>
      <c r="L146" s="8">
        <f t="shared" si="12"/>
        <v>1.3835644371940977E-3</v>
      </c>
      <c r="M146" s="5">
        <v>44710</v>
      </c>
      <c r="N146" s="9">
        <f t="shared" si="13"/>
        <v>-6.7681633584609031E-4</v>
      </c>
      <c r="O146" s="5">
        <v>44710</v>
      </c>
      <c r="P146">
        <f t="shared" si="15"/>
        <v>0.99714200479149473</v>
      </c>
      <c r="Q146" s="6">
        <f t="shared" si="16"/>
        <v>0.99960015993602558</v>
      </c>
      <c r="R146">
        <f t="shared" si="17"/>
        <v>-2.4621670537004797E-3</v>
      </c>
      <c r="T146" s="5">
        <v>44710</v>
      </c>
      <c r="U146" s="1">
        <v>-2.4621670537004797E-3</v>
      </c>
    </row>
    <row r="147" spans="3:21" x14ac:dyDescent="0.2">
      <c r="C147" s="5">
        <v>44711</v>
      </c>
      <c r="D147" s="6">
        <v>1.0001599999999999</v>
      </c>
      <c r="E147" s="6">
        <v>31729.53</v>
      </c>
      <c r="F147" s="6">
        <v>31705.5</v>
      </c>
      <c r="G147" s="6">
        <v>31743.73</v>
      </c>
      <c r="H147" s="6">
        <v>31705</v>
      </c>
      <c r="I147" s="5">
        <v>44711</v>
      </c>
      <c r="J147" s="7">
        <f t="shared" si="14"/>
        <v>-7.7309685961307454E-4</v>
      </c>
      <c r="K147" s="5">
        <v>44711</v>
      </c>
      <c r="L147" s="8">
        <f t="shared" si="12"/>
        <v>1.2057844853416461E-3</v>
      </c>
      <c r="M147" s="5">
        <v>44711</v>
      </c>
      <c r="N147" s="9">
        <f t="shared" si="13"/>
        <v>4.3268762572857156E-4</v>
      </c>
      <c r="O147" s="5">
        <v>44711</v>
      </c>
      <c r="P147">
        <f t="shared" si="15"/>
        <v>0.9987799165378487</v>
      </c>
      <c r="Q147" s="6">
        <f t="shared" si="16"/>
        <v>0.99984002559590468</v>
      </c>
      <c r="R147">
        <f t="shared" si="17"/>
        <v>-1.0608411685749091E-3</v>
      </c>
      <c r="T147" s="5">
        <v>44711</v>
      </c>
      <c r="U147" s="1">
        <v>-1.0608411685749091E-3</v>
      </c>
    </row>
    <row r="148" spans="3:21" x14ac:dyDescent="0.2">
      <c r="C148" s="5">
        <v>44712</v>
      </c>
      <c r="D148" s="6">
        <v>0.99961</v>
      </c>
      <c r="E148" s="6">
        <v>31753.5</v>
      </c>
      <c r="F148" s="6">
        <v>31756.5</v>
      </c>
      <c r="G148" s="6">
        <v>31789.66</v>
      </c>
      <c r="H148" s="6">
        <v>31630.5</v>
      </c>
      <c r="I148" s="5">
        <v>44712</v>
      </c>
      <c r="J148" s="7">
        <f t="shared" si="14"/>
        <v>-3.873588738249327E-3</v>
      </c>
      <c r="K148" s="5">
        <v>44712</v>
      </c>
      <c r="L148" s="8">
        <f t="shared" si="12"/>
        <v>1.0441956764756775E-3</v>
      </c>
      <c r="M148" s="5">
        <v>44712</v>
      </c>
      <c r="N148" s="9">
        <f t="shared" si="13"/>
        <v>-2.8293930617736495E-3</v>
      </c>
      <c r="O148" s="5">
        <v>44712</v>
      </c>
      <c r="P148">
        <f t="shared" si="15"/>
        <v>0.99499334060194411</v>
      </c>
      <c r="Q148" s="6">
        <f t="shared" si="16"/>
        <v>1.0003901521593421</v>
      </c>
      <c r="R148">
        <f t="shared" si="17"/>
        <v>-5.4093107780880537E-3</v>
      </c>
      <c r="T148" s="5">
        <v>44712</v>
      </c>
      <c r="U148" s="1">
        <v>-5.4093107780880537E-3</v>
      </c>
    </row>
    <row r="149" spans="3:21" x14ac:dyDescent="0.2">
      <c r="C149" s="5">
        <v>44713</v>
      </c>
      <c r="D149" s="6">
        <v>0.99987000000000004</v>
      </c>
      <c r="E149" s="6">
        <v>29771.93</v>
      </c>
      <c r="F149" s="6">
        <v>29758</v>
      </c>
      <c r="G149" s="6">
        <v>29795.29</v>
      </c>
      <c r="H149" s="6">
        <v>29687</v>
      </c>
      <c r="I149" s="5">
        <v>44713</v>
      </c>
      <c r="J149" s="7">
        <f t="shared" si="14"/>
        <v>-2.8526870780631384E-3</v>
      </c>
      <c r="K149" s="5">
        <v>44713</v>
      </c>
      <c r="L149" s="8">
        <f t="shared" si="12"/>
        <v>1.2531084078231357E-3</v>
      </c>
      <c r="M149" s="5">
        <v>44713</v>
      </c>
      <c r="N149" s="9">
        <f t="shared" si="13"/>
        <v>-1.5995786702400028E-3</v>
      </c>
      <c r="O149" s="5">
        <v>44713</v>
      </c>
      <c r="P149">
        <f t="shared" si="15"/>
        <v>0.99636553294161601</v>
      </c>
      <c r="Q149" s="6">
        <f t="shared" si="16"/>
        <v>1.0001300169021972</v>
      </c>
      <c r="R149">
        <f t="shared" si="17"/>
        <v>-3.7710962312479325E-3</v>
      </c>
      <c r="T149" s="5">
        <v>44713</v>
      </c>
      <c r="U149" s="1">
        <v>-3.7710962312479325E-3</v>
      </c>
    </row>
    <row r="150" spans="3:21" x14ac:dyDescent="0.2">
      <c r="C150" s="5">
        <v>44714</v>
      </c>
      <c r="D150" s="6">
        <v>0.99965000000000004</v>
      </c>
      <c r="E150" s="6">
        <v>30446.01</v>
      </c>
      <c r="F150" s="6">
        <v>30415</v>
      </c>
      <c r="G150" s="6">
        <v>30458.81</v>
      </c>
      <c r="H150" s="6">
        <v>30483</v>
      </c>
      <c r="I150" s="5">
        <v>44714</v>
      </c>
      <c r="J150" s="7">
        <f t="shared" si="14"/>
        <v>1.2149375238332248E-3</v>
      </c>
      <c r="K150" s="5">
        <v>44714</v>
      </c>
      <c r="L150" s="8">
        <f t="shared" si="12"/>
        <v>1.4404076935722937E-3</v>
      </c>
      <c r="M150" s="5">
        <v>44714</v>
      </c>
      <c r="N150" s="9">
        <f t="shared" si="13"/>
        <v>2.6553452174055184E-3</v>
      </c>
      <c r="O150" s="5">
        <v>44714</v>
      </c>
      <c r="P150">
        <f t="shared" si="15"/>
        <v>1.0007941872975339</v>
      </c>
      <c r="Q150" s="6">
        <f t="shared" si="16"/>
        <v>1.0003501225428899</v>
      </c>
      <c r="R150">
        <f t="shared" si="17"/>
        <v>4.4381083338095213E-4</v>
      </c>
      <c r="T150" s="5">
        <v>44714</v>
      </c>
      <c r="U150" s="1">
        <v>4.4381083338095213E-4</v>
      </c>
    </row>
    <row r="151" spans="3:21" x14ac:dyDescent="0.2">
      <c r="C151" s="5">
        <v>44715</v>
      </c>
      <c r="D151" s="6">
        <v>0.99968000000000001</v>
      </c>
      <c r="E151" s="6">
        <v>29680.7</v>
      </c>
      <c r="F151" s="6">
        <v>29670</v>
      </c>
      <c r="G151" s="6">
        <v>29707.61</v>
      </c>
      <c r="H151" s="6">
        <v>29606.5</v>
      </c>
      <c r="I151" s="5">
        <v>44715</v>
      </c>
      <c r="J151" s="7">
        <f t="shared" si="14"/>
        <v>-2.4999410391264602E-3</v>
      </c>
      <c r="K151" s="5">
        <v>44715</v>
      </c>
      <c r="L151" s="8">
        <f t="shared" si="12"/>
        <v>1.2676103808561031E-3</v>
      </c>
      <c r="M151" s="5">
        <v>44715</v>
      </c>
      <c r="N151" s="9">
        <f t="shared" si="13"/>
        <v>-1.2323306582703571E-3</v>
      </c>
      <c r="O151" s="5">
        <v>44715</v>
      </c>
      <c r="P151">
        <f t="shared" si="15"/>
        <v>0.99659649497216363</v>
      </c>
      <c r="Q151" s="6">
        <f t="shared" si="16"/>
        <v>1.0003201024327786</v>
      </c>
      <c r="R151">
        <f t="shared" si="17"/>
        <v>-3.7293613375302364E-3</v>
      </c>
      <c r="T151" s="5">
        <v>44715</v>
      </c>
      <c r="U151" s="1">
        <v>-3.7293613375302364E-3</v>
      </c>
    </row>
    <row r="152" spans="3:21" x14ac:dyDescent="0.2">
      <c r="C152" s="5">
        <v>44716</v>
      </c>
      <c r="D152" s="6">
        <v>0.99939</v>
      </c>
      <c r="E152" s="6">
        <v>29842.02</v>
      </c>
      <c r="F152" s="6">
        <v>29835</v>
      </c>
      <c r="G152" s="6">
        <v>29896.48</v>
      </c>
      <c r="H152" s="6">
        <v>29775</v>
      </c>
      <c r="I152" s="5">
        <v>44716</v>
      </c>
      <c r="J152" s="7">
        <f t="shared" si="14"/>
        <v>-2.2458265224673275E-3</v>
      </c>
      <c r="K152" s="5">
        <v>44716</v>
      </c>
      <c r="L152" s="8">
        <f t="shared" si="12"/>
        <v>2.0606670018434576E-3</v>
      </c>
      <c r="M152" s="5">
        <v>44716</v>
      </c>
      <c r="N152" s="9">
        <f t="shared" si="13"/>
        <v>-1.8515952062386981E-4</v>
      </c>
      <c r="O152" s="5">
        <v>44716</v>
      </c>
      <c r="P152">
        <f t="shared" si="15"/>
        <v>0.99593664538433946</v>
      </c>
      <c r="Q152" s="6">
        <f t="shared" si="16"/>
        <v>1.0006103723271196</v>
      </c>
      <c r="R152">
        <f t="shared" si="17"/>
        <v>-4.6818185982433541E-3</v>
      </c>
      <c r="T152" s="5">
        <v>44716</v>
      </c>
      <c r="U152" s="1">
        <v>-4.6818185982433541E-3</v>
      </c>
    </row>
    <row r="153" spans="3:21" x14ac:dyDescent="0.2">
      <c r="C153" s="5">
        <v>44717</v>
      </c>
      <c r="D153" s="6">
        <v>0.99970000000000003</v>
      </c>
      <c r="E153" s="6">
        <v>29900.95</v>
      </c>
      <c r="F153" s="6">
        <v>29873</v>
      </c>
      <c r="G153" s="6">
        <v>29929.67</v>
      </c>
      <c r="H153" s="6">
        <v>29844</v>
      </c>
      <c r="I153" s="5">
        <v>44717</v>
      </c>
      <c r="J153" s="7">
        <f t="shared" si="14"/>
        <v>-1.9046217595093376E-3</v>
      </c>
      <c r="K153" s="5">
        <v>44717</v>
      </c>
      <c r="L153" s="8">
        <f t="shared" si="12"/>
        <v>1.8970307635657034E-3</v>
      </c>
      <c r="M153" s="5">
        <v>44717</v>
      </c>
      <c r="N153" s="9">
        <f t="shared" si="13"/>
        <v>-7.5909959436342312E-6</v>
      </c>
      <c r="O153" s="5">
        <v>44717</v>
      </c>
      <c r="P153">
        <f t="shared" si="15"/>
        <v>0.99713762296744335</v>
      </c>
      <c r="Q153" s="6">
        <f t="shared" si="16"/>
        <v>1.000300090027008</v>
      </c>
      <c r="R153">
        <f t="shared" si="17"/>
        <v>-3.1665264768621581E-3</v>
      </c>
      <c r="T153" s="5">
        <v>44717</v>
      </c>
      <c r="U153" s="1">
        <v>-3.1665264768621581E-3</v>
      </c>
    </row>
    <row r="154" spans="3:21" x14ac:dyDescent="0.2">
      <c r="C154" s="5">
        <v>44718</v>
      </c>
      <c r="D154" s="6">
        <v>0.99977000000000005</v>
      </c>
      <c r="E154" s="6">
        <v>31342.18</v>
      </c>
      <c r="F154" s="6">
        <v>31342</v>
      </c>
      <c r="G154" s="6">
        <v>31370.93</v>
      </c>
      <c r="H154" s="6">
        <v>31247.5</v>
      </c>
      <c r="I154" s="5">
        <v>44718</v>
      </c>
      <c r="J154" s="7">
        <f t="shared" si="14"/>
        <v>-3.020849219805396E-3</v>
      </c>
      <c r="K154" s="5">
        <v>44718</v>
      </c>
      <c r="L154" s="8">
        <f t="shared" si="12"/>
        <v>9.2304256269543398E-4</v>
      </c>
      <c r="M154" s="5">
        <v>44718</v>
      </c>
      <c r="N154" s="9">
        <f t="shared" si="13"/>
        <v>-2.0978066571099622E-3</v>
      </c>
      <c r="O154" s="5">
        <v>44718</v>
      </c>
      <c r="P154">
        <f t="shared" si="15"/>
        <v>0.99606546570343946</v>
      </c>
      <c r="Q154" s="6">
        <f t="shared" si="16"/>
        <v>1.0002300529121697</v>
      </c>
      <c r="R154">
        <f t="shared" si="17"/>
        <v>-4.1723213937149093E-3</v>
      </c>
      <c r="T154" s="5">
        <v>44718</v>
      </c>
      <c r="U154" s="1">
        <v>-4.1723213937149093E-3</v>
      </c>
    </row>
    <row r="155" spans="3:21" x14ac:dyDescent="0.2">
      <c r="C155" s="5">
        <v>44719</v>
      </c>
      <c r="D155" s="6">
        <v>0.99992000000000003</v>
      </c>
      <c r="E155" s="6">
        <v>31138.35</v>
      </c>
      <c r="F155" s="6">
        <v>31096</v>
      </c>
      <c r="G155" s="6">
        <v>31101.73</v>
      </c>
      <c r="H155" s="6">
        <v>31055</v>
      </c>
      <c r="I155" s="5">
        <v>44719</v>
      </c>
      <c r="J155" s="7">
        <f t="shared" si="14"/>
        <v>-2.6767635407784467E-3</v>
      </c>
      <c r="K155" s="5">
        <v>44719</v>
      </c>
      <c r="L155" s="8">
        <f t="shared" si="12"/>
        <v>1.8426807306404564E-4</v>
      </c>
      <c r="M155" s="5">
        <v>44719</v>
      </c>
      <c r="N155" s="9">
        <f t="shared" si="13"/>
        <v>-2.492495467714401E-3</v>
      </c>
      <c r="O155" s="5">
        <v>44719</v>
      </c>
      <c r="P155">
        <f t="shared" si="15"/>
        <v>0.99849751123169028</v>
      </c>
      <c r="Q155" s="6">
        <f t="shared" si="16"/>
        <v>1.000080006400512</v>
      </c>
      <c r="R155">
        <f t="shared" si="17"/>
        <v>-1.5836218366144304E-3</v>
      </c>
      <c r="T155" s="5">
        <v>44719</v>
      </c>
      <c r="U155" s="1">
        <v>-1.5836218366144304E-3</v>
      </c>
    </row>
    <row r="156" spans="3:21" x14ac:dyDescent="0.2">
      <c r="C156" s="5">
        <v>44720</v>
      </c>
      <c r="D156" s="6">
        <v>1.0001899999999999</v>
      </c>
      <c r="E156" s="6">
        <v>30187.48</v>
      </c>
      <c r="F156" s="6">
        <v>30162.5</v>
      </c>
      <c r="G156" s="6">
        <v>30203.58</v>
      </c>
      <c r="H156" s="6">
        <v>30176</v>
      </c>
      <c r="I156" s="5">
        <v>44720</v>
      </c>
      <c r="J156" s="7">
        <f t="shared" si="14"/>
        <v>-3.8029010702448707E-4</v>
      </c>
      <c r="K156" s="5">
        <v>44720</v>
      </c>
      <c r="L156" s="8">
        <f t="shared" si="12"/>
        <v>1.3619560712806215E-3</v>
      </c>
      <c r="M156" s="5">
        <v>44720</v>
      </c>
      <c r="N156" s="9">
        <f t="shared" si="13"/>
        <v>9.8166596425613441E-4</v>
      </c>
      <c r="O156" s="5">
        <v>44720</v>
      </c>
      <c r="P156">
        <f t="shared" si="15"/>
        <v>0.99908686321290385</v>
      </c>
      <c r="Q156" s="6">
        <f t="shared" si="16"/>
        <v>0.99981003609314234</v>
      </c>
      <c r="R156">
        <f t="shared" si="17"/>
        <v>-7.2357199817692827E-4</v>
      </c>
      <c r="T156" s="5">
        <v>44720</v>
      </c>
      <c r="U156" s="1">
        <v>-7.2357199817692827E-4</v>
      </c>
    </row>
    <row r="157" spans="3:21" x14ac:dyDescent="0.2">
      <c r="C157" s="5">
        <v>44721</v>
      </c>
      <c r="D157" s="6">
        <v>0.99990999999999997</v>
      </c>
      <c r="E157" s="6">
        <v>30090.5</v>
      </c>
      <c r="F157" s="6">
        <v>30069.5</v>
      </c>
      <c r="G157" s="6">
        <v>30091.53</v>
      </c>
      <c r="H157" s="6">
        <v>30030</v>
      </c>
      <c r="I157" s="5">
        <v>44721</v>
      </c>
      <c r="J157" s="7">
        <f t="shared" si="14"/>
        <v>-2.0106013525863645E-3</v>
      </c>
      <c r="K157" s="5">
        <v>44721</v>
      </c>
      <c r="L157" s="8">
        <f t="shared" si="12"/>
        <v>7.3263605979476999E-4</v>
      </c>
      <c r="M157" s="5">
        <v>44721</v>
      </c>
      <c r="N157" s="9">
        <f t="shared" si="13"/>
        <v>-1.2779652927915946E-3</v>
      </c>
      <c r="O157" s="5">
        <v>44721</v>
      </c>
      <c r="P157">
        <f t="shared" si="15"/>
        <v>0.99795523856713164</v>
      </c>
      <c r="Q157" s="6">
        <f t="shared" si="16"/>
        <v>1.0000900081007291</v>
      </c>
      <c r="R157">
        <f t="shared" si="17"/>
        <v>-2.136858861896988E-3</v>
      </c>
      <c r="T157" s="5">
        <v>44721</v>
      </c>
      <c r="U157" s="1">
        <v>-2.136858861896988E-3</v>
      </c>
    </row>
    <row r="158" spans="3:21" x14ac:dyDescent="0.2">
      <c r="C158" s="5">
        <v>44722</v>
      </c>
      <c r="D158" s="6">
        <v>0.99966999999999995</v>
      </c>
      <c r="E158" s="6">
        <v>29058.65</v>
      </c>
      <c r="F158" s="6">
        <v>29038.5</v>
      </c>
      <c r="G158" s="6">
        <v>29091.86</v>
      </c>
      <c r="H158" s="6">
        <v>29039</v>
      </c>
      <c r="I158" s="5">
        <v>44722</v>
      </c>
      <c r="J158" s="7">
        <f t="shared" si="14"/>
        <v>-6.7621861304642354E-4</v>
      </c>
      <c r="K158" s="5">
        <v>44722</v>
      </c>
      <c r="L158" s="8">
        <f t="shared" si="12"/>
        <v>1.8375604800523644E-3</v>
      </c>
      <c r="M158" s="5">
        <v>44722</v>
      </c>
      <c r="N158" s="9">
        <f t="shared" si="13"/>
        <v>1.1613418670059408E-3</v>
      </c>
      <c r="O158" s="5">
        <v>44722</v>
      </c>
      <c r="P158">
        <f t="shared" si="15"/>
        <v>0.99818299689328904</v>
      </c>
      <c r="Q158" s="6">
        <f t="shared" si="16"/>
        <v>1.0003301089359489</v>
      </c>
      <c r="R158">
        <f t="shared" si="17"/>
        <v>-2.1487103211788499E-3</v>
      </c>
      <c r="T158" s="5">
        <v>44722</v>
      </c>
      <c r="U158" s="1">
        <v>-2.1487103211788499E-3</v>
      </c>
    </row>
    <row r="159" spans="3:21" x14ac:dyDescent="0.2">
      <c r="C159" s="5">
        <v>44723</v>
      </c>
      <c r="D159" s="6">
        <v>0.99987000000000004</v>
      </c>
      <c r="E159" s="6">
        <v>28342.799999999999</v>
      </c>
      <c r="F159" s="6">
        <v>28379</v>
      </c>
      <c r="G159" s="6">
        <v>28442.400000000001</v>
      </c>
      <c r="H159" s="6">
        <v>28360.5</v>
      </c>
      <c r="I159" s="5">
        <v>44723</v>
      </c>
      <c r="J159" s="7">
        <f t="shared" si="14"/>
        <v>6.2449722680895075E-4</v>
      </c>
      <c r="K159" s="5">
        <v>44723</v>
      </c>
      <c r="L159" s="8">
        <f t="shared" si="12"/>
        <v>2.2340463018429633E-3</v>
      </c>
      <c r="M159" s="5">
        <v>44723</v>
      </c>
      <c r="N159" s="9">
        <f t="shared" si="13"/>
        <v>2.8585435286519142E-3</v>
      </c>
      <c r="O159" s="5">
        <v>44723</v>
      </c>
      <c r="P159">
        <f t="shared" si="15"/>
        <v>0.99712049616066145</v>
      </c>
      <c r="Q159" s="6">
        <f t="shared" si="16"/>
        <v>1.0001300169021972</v>
      </c>
      <c r="R159">
        <f t="shared" si="17"/>
        <v>-3.0136660369877205E-3</v>
      </c>
      <c r="T159" s="5">
        <v>44723</v>
      </c>
      <c r="U159" s="1">
        <v>-3.0136660369877205E-3</v>
      </c>
    </row>
    <row r="160" spans="3:21" x14ac:dyDescent="0.2">
      <c r="C160" s="5">
        <v>44724</v>
      </c>
      <c r="D160" s="6">
        <v>0.99987000000000004</v>
      </c>
      <c r="E160" s="6">
        <v>26568.54</v>
      </c>
      <c r="F160" s="6">
        <v>26525</v>
      </c>
      <c r="G160" s="6">
        <v>26576.45</v>
      </c>
      <c r="H160" s="6">
        <v>26507</v>
      </c>
      <c r="I160" s="5">
        <v>44724</v>
      </c>
      <c r="J160" s="7">
        <f t="shared" si="14"/>
        <v>-2.3162733067003632E-3</v>
      </c>
      <c r="K160" s="5">
        <v>44724</v>
      </c>
      <c r="L160" s="8">
        <f t="shared" si="12"/>
        <v>1.9396795475966344E-3</v>
      </c>
      <c r="M160" s="5">
        <v>44724</v>
      </c>
      <c r="N160" s="9">
        <f t="shared" si="13"/>
        <v>-3.7659375910372881E-4</v>
      </c>
      <c r="O160" s="5">
        <v>44724</v>
      </c>
      <c r="P160">
        <f t="shared" si="15"/>
        <v>0.99738678416417537</v>
      </c>
      <c r="Q160" s="6">
        <f t="shared" si="16"/>
        <v>1.0001300169021972</v>
      </c>
      <c r="R160">
        <f t="shared" si="17"/>
        <v>-2.7466446952026484E-3</v>
      </c>
      <c r="T160" s="5">
        <v>44724</v>
      </c>
      <c r="U160" s="1">
        <v>-2.7466446952026484E-3</v>
      </c>
    </row>
    <row r="161" spans="3:21" x14ac:dyDescent="0.2">
      <c r="C161" s="5">
        <v>44725</v>
      </c>
      <c r="D161" s="6">
        <v>0.99975000000000003</v>
      </c>
      <c r="E161" s="6">
        <v>22450.74</v>
      </c>
      <c r="F161" s="6">
        <v>22432.5</v>
      </c>
      <c r="G161" s="6">
        <v>22525.62</v>
      </c>
      <c r="H161" s="6">
        <v>22489</v>
      </c>
      <c r="I161" s="5">
        <v>44725</v>
      </c>
      <c r="J161" s="7">
        <f t="shared" si="14"/>
        <v>1.7041754525685298E-3</v>
      </c>
      <c r="K161" s="5">
        <v>44725</v>
      </c>
      <c r="L161" s="8">
        <f t="shared" si="12"/>
        <v>4.151120026746862E-3</v>
      </c>
      <c r="M161" s="5">
        <v>44725</v>
      </c>
      <c r="N161" s="9">
        <f t="shared" si="13"/>
        <v>5.855295479315392E-3</v>
      </c>
      <c r="O161" s="5">
        <v>44725</v>
      </c>
      <c r="P161">
        <f t="shared" si="15"/>
        <v>0.99837429557987745</v>
      </c>
      <c r="Q161" s="6">
        <f t="shared" si="16"/>
        <v>1.000250062515629</v>
      </c>
      <c r="R161">
        <f t="shared" si="17"/>
        <v>-1.8770585667107693E-3</v>
      </c>
      <c r="T161" s="5">
        <v>44725</v>
      </c>
      <c r="U161" s="1">
        <v>-1.8770585667107693E-3</v>
      </c>
    </row>
    <row r="162" spans="3:21" x14ac:dyDescent="0.2">
      <c r="C162" s="5">
        <v>44726</v>
      </c>
      <c r="D162" s="6">
        <v>0.99980999999999998</v>
      </c>
      <c r="E162" s="6">
        <v>22188.2</v>
      </c>
      <c r="F162" s="6">
        <v>22092.5</v>
      </c>
      <c r="G162" s="6">
        <v>22119.64</v>
      </c>
      <c r="H162" s="6">
        <v>22086.5</v>
      </c>
      <c r="I162" s="5">
        <v>44726</v>
      </c>
      <c r="J162" s="7">
        <f t="shared" si="14"/>
        <v>-4.5835173650859793E-3</v>
      </c>
      <c r="K162" s="5">
        <v>44726</v>
      </c>
      <c r="L162" s="8">
        <f t="shared" si="12"/>
        <v>1.2284712006336729E-3</v>
      </c>
      <c r="M162" s="5">
        <v>44726</v>
      </c>
      <c r="N162" s="9">
        <f t="shared" si="13"/>
        <v>-3.3550461644523064E-3</v>
      </c>
      <c r="O162" s="5">
        <v>44726</v>
      </c>
      <c r="P162">
        <f t="shared" si="15"/>
        <v>0.99850178393500078</v>
      </c>
      <c r="Q162" s="6">
        <f t="shared" si="16"/>
        <v>1.0001900361068603</v>
      </c>
      <c r="R162">
        <f t="shared" si="17"/>
        <v>-1.6893575652266162E-3</v>
      </c>
      <c r="T162" s="5">
        <v>44726</v>
      </c>
      <c r="U162" s="1">
        <v>-1.6893575652266162E-3</v>
      </c>
    </row>
    <row r="163" spans="3:21" x14ac:dyDescent="0.2">
      <c r="C163" s="5">
        <v>44727</v>
      </c>
      <c r="D163" s="6">
        <v>0.99980000000000002</v>
      </c>
      <c r="E163" s="6">
        <v>22565.25</v>
      </c>
      <c r="F163" s="6">
        <v>22552</v>
      </c>
      <c r="G163" s="6">
        <v>22591.15</v>
      </c>
      <c r="H163" s="6">
        <v>22567.5</v>
      </c>
      <c r="I163" s="5">
        <v>44727</v>
      </c>
      <c r="J163" s="7">
        <f t="shared" si="14"/>
        <v>9.9710838568152355E-5</v>
      </c>
      <c r="K163" s="5">
        <v>44727</v>
      </c>
      <c r="L163" s="8">
        <f t="shared" si="12"/>
        <v>1.7359879389855204E-3</v>
      </c>
      <c r="M163" s="5">
        <v>44727</v>
      </c>
      <c r="N163" s="9">
        <f t="shared" si="13"/>
        <v>1.8356987775536729E-3</v>
      </c>
      <c r="O163" s="5">
        <v>44727</v>
      </c>
      <c r="P163">
        <f t="shared" si="15"/>
        <v>0.99895312987607976</v>
      </c>
      <c r="Q163" s="6">
        <f t="shared" si="16"/>
        <v>1.0002000400080016</v>
      </c>
      <c r="R163">
        <f t="shared" si="17"/>
        <v>-1.2474384778505718E-3</v>
      </c>
      <c r="T163" s="5">
        <v>44727</v>
      </c>
      <c r="U163" s="1">
        <v>-1.2474384778505718E-3</v>
      </c>
    </row>
    <row r="164" spans="3:21" x14ac:dyDescent="0.2">
      <c r="C164" s="5">
        <v>44728</v>
      </c>
      <c r="D164" s="6">
        <v>0.99983</v>
      </c>
      <c r="E164" s="6">
        <v>20377.21</v>
      </c>
      <c r="F164" s="6">
        <v>20354.5</v>
      </c>
      <c r="G164" s="6">
        <v>20434.03</v>
      </c>
      <c r="H164" s="6">
        <v>20364</v>
      </c>
      <c r="I164" s="5">
        <v>44728</v>
      </c>
      <c r="J164" s="7">
        <f t="shared" si="14"/>
        <v>-6.4827324250960397E-4</v>
      </c>
      <c r="K164" s="5">
        <v>44728</v>
      </c>
      <c r="L164" s="8">
        <f t="shared" si="12"/>
        <v>3.9072440983565718E-3</v>
      </c>
      <c r="M164" s="5">
        <v>44728</v>
      </c>
      <c r="N164" s="9">
        <f t="shared" si="13"/>
        <v>3.2589708558469679E-3</v>
      </c>
      <c r="O164" s="5">
        <v>44728</v>
      </c>
      <c r="P164">
        <f t="shared" si="15"/>
        <v>0.99657287377967052</v>
      </c>
      <c r="Q164" s="6">
        <f t="shared" si="16"/>
        <v>1.0001700289049138</v>
      </c>
      <c r="R164">
        <f t="shared" si="17"/>
        <v>-3.6030267210354701E-3</v>
      </c>
      <c r="T164" s="5">
        <v>44728</v>
      </c>
      <c r="U164" s="1">
        <v>-3.6030267210354701E-3</v>
      </c>
    </row>
    <row r="165" spans="3:21" x14ac:dyDescent="0.2">
      <c r="C165" s="5">
        <v>44729</v>
      </c>
      <c r="D165" s="6">
        <v>0.99999000000000005</v>
      </c>
      <c r="E165" s="6">
        <v>20433.580000000002</v>
      </c>
      <c r="F165" s="6">
        <v>20430</v>
      </c>
      <c r="G165" s="6">
        <v>20495.59</v>
      </c>
      <c r="H165" s="6">
        <v>20441</v>
      </c>
      <c r="I165" s="5">
        <v>44729</v>
      </c>
      <c r="J165" s="7">
        <f t="shared" si="14"/>
        <v>3.6312775343323359E-4</v>
      </c>
      <c r="K165" s="5">
        <v>44729</v>
      </c>
      <c r="L165" s="8">
        <f t="shared" si="12"/>
        <v>3.2104747919725965E-3</v>
      </c>
      <c r="M165" s="5">
        <v>44729</v>
      </c>
      <c r="N165" s="9">
        <f t="shared" si="13"/>
        <v>3.5736025454058302E-3</v>
      </c>
      <c r="O165" s="5">
        <v>44729</v>
      </c>
      <c r="P165">
        <f t="shared" si="15"/>
        <v>0.99733650019345632</v>
      </c>
      <c r="Q165" s="6">
        <f t="shared" si="16"/>
        <v>1.000010000100001</v>
      </c>
      <c r="R165">
        <f t="shared" si="17"/>
        <v>-2.6770532832570571E-3</v>
      </c>
      <c r="T165" s="5">
        <v>44729</v>
      </c>
      <c r="U165" s="1">
        <v>-2.6770532832570571E-3</v>
      </c>
    </row>
    <row r="166" spans="3:21" x14ac:dyDescent="0.2">
      <c r="C166" s="5">
        <v>44730</v>
      </c>
      <c r="D166" s="6">
        <v>1.00041</v>
      </c>
      <c r="E166" s="6">
        <v>18962.52</v>
      </c>
      <c r="F166" s="6">
        <v>18942</v>
      </c>
      <c r="G166" s="6">
        <v>19058.259999999998</v>
      </c>
      <c r="H166" s="6">
        <v>18933</v>
      </c>
      <c r="I166" s="5">
        <v>44730</v>
      </c>
      <c r="J166" s="7">
        <f t="shared" si="14"/>
        <v>-1.5567551148265334E-3</v>
      </c>
      <c r="K166" s="5">
        <v>44730</v>
      </c>
      <c r="L166" s="8">
        <f t="shared" si="12"/>
        <v>6.1376834547565411E-3</v>
      </c>
      <c r="M166" s="5">
        <v>44730</v>
      </c>
      <c r="N166" s="9">
        <f t="shared" si="13"/>
        <v>4.5809283399300075E-3</v>
      </c>
      <c r="O166" s="5">
        <v>44730</v>
      </c>
      <c r="P166">
        <f t="shared" si="15"/>
        <v>0.99342752171499393</v>
      </c>
      <c r="Q166" s="6">
        <f t="shared" si="16"/>
        <v>0.99959016803110723</v>
      </c>
      <c r="R166">
        <f t="shared" si="17"/>
        <v>-6.1842561545608849E-3</v>
      </c>
      <c r="T166" s="5">
        <v>44730</v>
      </c>
      <c r="U166" s="1">
        <v>-6.1842561545608849E-3</v>
      </c>
    </row>
    <row r="167" spans="3:21" x14ac:dyDescent="0.2">
      <c r="C167" s="5">
        <v>44731</v>
      </c>
      <c r="D167" s="6">
        <v>0.99965999999999999</v>
      </c>
      <c r="E167" s="6">
        <v>20548.02</v>
      </c>
      <c r="F167" s="6">
        <v>20534.5</v>
      </c>
      <c r="G167" s="6">
        <v>20608.939999999999</v>
      </c>
      <c r="H167" s="6">
        <v>20552</v>
      </c>
      <c r="I167" s="5">
        <v>44731</v>
      </c>
      <c r="J167" s="7">
        <f t="shared" si="14"/>
        <v>1.9369262829214509E-4</v>
      </c>
      <c r="K167" s="5">
        <v>44731</v>
      </c>
      <c r="L167" s="8">
        <f t="shared" si="12"/>
        <v>3.6251187026710508E-3</v>
      </c>
      <c r="M167" s="5">
        <v>44731</v>
      </c>
      <c r="N167" s="9">
        <f t="shared" si="13"/>
        <v>3.8188113309631957E-3</v>
      </c>
      <c r="O167" s="5">
        <v>44731</v>
      </c>
      <c r="P167">
        <f t="shared" si="15"/>
        <v>0.99723712136577625</v>
      </c>
      <c r="Q167" s="6">
        <f t="shared" si="16"/>
        <v>1.0003401156393175</v>
      </c>
      <c r="R167">
        <f t="shared" si="17"/>
        <v>-3.1067602412452309E-3</v>
      </c>
      <c r="T167" s="5">
        <v>44731</v>
      </c>
      <c r="U167" s="1">
        <v>-3.1067602412452309E-3</v>
      </c>
    </row>
    <row r="168" spans="3:21" x14ac:dyDescent="0.2">
      <c r="C168" s="5">
        <v>44732</v>
      </c>
      <c r="D168" s="6">
        <v>0.99968999999999997</v>
      </c>
      <c r="E168" s="6">
        <v>20553.12</v>
      </c>
      <c r="F168" s="6">
        <v>20540</v>
      </c>
      <c r="G168" s="6">
        <v>20551.96</v>
      </c>
      <c r="H168" s="6">
        <v>20532.5</v>
      </c>
      <c r="I168" s="5">
        <v>44732</v>
      </c>
      <c r="J168" s="7">
        <f t="shared" si="14"/>
        <v>-1.0032540071774495E-3</v>
      </c>
      <c r="K168" s="5">
        <v>44732</v>
      </c>
      <c r="L168" s="8">
        <f t="shared" si="12"/>
        <v>5.8227848101261568E-4</v>
      </c>
      <c r="M168" s="5">
        <v>44732</v>
      </c>
      <c r="N168" s="9">
        <f t="shared" si="13"/>
        <v>-4.2097552616483379E-4</v>
      </c>
      <c r="O168" s="5">
        <v>44732</v>
      </c>
      <c r="P168">
        <f t="shared" si="15"/>
        <v>0.99905313167211307</v>
      </c>
      <c r="Q168" s="6">
        <f t="shared" si="16"/>
        <v>1.0003100961298004</v>
      </c>
      <c r="R168">
        <f t="shared" si="17"/>
        <v>-1.2573649508106574E-3</v>
      </c>
      <c r="T168" s="5">
        <v>44732</v>
      </c>
      <c r="U168" s="1">
        <v>-1.2573649508106574E-3</v>
      </c>
    </row>
    <row r="169" spans="3:21" x14ac:dyDescent="0.2">
      <c r="C169" s="5">
        <v>44733</v>
      </c>
      <c r="D169" s="6">
        <v>0.99950000000000006</v>
      </c>
      <c r="E169" s="6">
        <v>20702.330000000002</v>
      </c>
      <c r="F169" s="6">
        <v>20694.5</v>
      </c>
      <c r="G169" s="6">
        <v>20719.439999999999</v>
      </c>
      <c r="H169" s="6">
        <v>20680</v>
      </c>
      <c r="I169" s="5">
        <v>44733</v>
      </c>
      <c r="J169" s="7">
        <f t="shared" si="14"/>
        <v>-1.0786225511815214E-3</v>
      </c>
      <c r="K169" s="5">
        <v>44733</v>
      </c>
      <c r="L169" s="8">
        <f t="shared" si="12"/>
        <v>1.2051511271110049E-3</v>
      </c>
      <c r="M169" s="5">
        <v>44733</v>
      </c>
      <c r="N169" s="9">
        <f t="shared" si="13"/>
        <v>1.2652857592948346E-4</v>
      </c>
      <c r="O169" s="5">
        <v>44733</v>
      </c>
      <c r="P169">
        <f t="shared" si="15"/>
        <v>0.99809647364986709</v>
      </c>
      <c r="Q169" s="6">
        <f t="shared" si="16"/>
        <v>1.0005002501250624</v>
      </c>
      <c r="R169">
        <f t="shared" si="17"/>
        <v>-2.4054654004722689E-3</v>
      </c>
      <c r="T169" s="5">
        <v>44733</v>
      </c>
      <c r="U169" s="1">
        <v>-2.4054654004722689E-3</v>
      </c>
    </row>
    <row r="170" spans="3:21" x14ac:dyDescent="0.2">
      <c r="C170" s="5">
        <v>44734</v>
      </c>
      <c r="D170" s="6">
        <v>0.99950000000000006</v>
      </c>
      <c r="E170" s="6">
        <v>19956.740000000002</v>
      </c>
      <c r="F170" s="6">
        <v>19962</v>
      </c>
      <c r="G170" s="6">
        <v>19977.8</v>
      </c>
      <c r="H170" s="6">
        <v>19911.5</v>
      </c>
      <c r="I170" s="5">
        <v>44734</v>
      </c>
      <c r="J170" s="7">
        <f t="shared" si="14"/>
        <v>-2.266903311863641E-3</v>
      </c>
      <c r="K170" s="5">
        <v>44734</v>
      </c>
      <c r="L170" s="8">
        <f t="shared" si="12"/>
        <v>7.9150385732888848E-4</v>
      </c>
      <c r="M170" s="5">
        <v>44734</v>
      </c>
      <c r="N170" s="9">
        <f t="shared" si="13"/>
        <v>-1.4753994545347526E-3</v>
      </c>
      <c r="O170" s="5">
        <v>44734</v>
      </c>
      <c r="P170">
        <f t="shared" si="15"/>
        <v>0.99668131626104983</v>
      </c>
      <c r="Q170" s="6">
        <f t="shared" si="16"/>
        <v>1.0005002501250624</v>
      </c>
      <c r="R170">
        <f t="shared" si="17"/>
        <v>-3.8243278255378796E-3</v>
      </c>
      <c r="T170" s="5">
        <v>44734</v>
      </c>
      <c r="U170" s="1">
        <v>-3.8243278255378796E-3</v>
      </c>
    </row>
    <row r="171" spans="3:21" x14ac:dyDescent="0.2">
      <c r="C171" s="5">
        <v>44735</v>
      </c>
      <c r="D171" s="6">
        <v>0.99973000000000001</v>
      </c>
      <c r="E171" s="6">
        <v>21091.82</v>
      </c>
      <c r="F171" s="6">
        <v>21082</v>
      </c>
      <c r="G171" s="6">
        <v>21095.95</v>
      </c>
      <c r="H171" s="6">
        <v>21064.5</v>
      </c>
      <c r="I171" s="5">
        <v>44735</v>
      </c>
      <c r="J171" s="7">
        <f t="shared" si="14"/>
        <v>-1.2952888845059226E-3</v>
      </c>
      <c r="K171" s="5">
        <v>44735</v>
      </c>
      <c r="L171" s="8">
        <f t="shared" si="12"/>
        <v>6.6170192581352469E-4</v>
      </c>
      <c r="M171" s="5">
        <v>44735</v>
      </c>
      <c r="N171" s="9">
        <f t="shared" si="13"/>
        <v>-6.3358695869239793E-4</v>
      </c>
      <c r="O171" s="5">
        <v>44735</v>
      </c>
      <c r="P171">
        <f t="shared" si="15"/>
        <v>0.99850919252273529</v>
      </c>
      <c r="Q171" s="6">
        <f t="shared" si="16"/>
        <v>1.0002700729196883</v>
      </c>
      <c r="R171">
        <f t="shared" si="17"/>
        <v>-1.761956292973789E-3</v>
      </c>
      <c r="T171" s="5">
        <v>44735</v>
      </c>
      <c r="U171" s="1">
        <v>-1.761956292973789E-3</v>
      </c>
    </row>
    <row r="172" spans="3:21" x14ac:dyDescent="0.2">
      <c r="C172" s="5">
        <v>44736</v>
      </c>
      <c r="D172" s="6">
        <v>1.00048</v>
      </c>
      <c r="E172" s="6">
        <v>21212.25</v>
      </c>
      <c r="F172" s="6">
        <v>21208.5</v>
      </c>
      <c r="G172" s="6">
        <v>21229.7</v>
      </c>
      <c r="H172" s="6">
        <v>21216.5</v>
      </c>
      <c r="I172" s="5">
        <v>44736</v>
      </c>
      <c r="J172" s="7">
        <f t="shared" si="14"/>
        <v>2.003559264104468E-4</v>
      </c>
      <c r="K172" s="5">
        <v>44736</v>
      </c>
      <c r="L172" s="8">
        <f t="shared" si="12"/>
        <v>9.995992172949868E-4</v>
      </c>
      <c r="M172" s="5">
        <v>44736</v>
      </c>
      <c r="N172" s="9">
        <f t="shared" si="13"/>
        <v>1.1999551437054336E-3</v>
      </c>
      <c r="O172" s="5">
        <v>44736</v>
      </c>
      <c r="P172">
        <f t="shared" si="15"/>
        <v>0.99937822955576383</v>
      </c>
      <c r="Q172" s="6">
        <f t="shared" si="16"/>
        <v>0.99952023028946102</v>
      </c>
      <c r="R172">
        <f t="shared" si="17"/>
        <v>-1.4207898679057901E-4</v>
      </c>
      <c r="T172" s="5">
        <v>44736</v>
      </c>
      <c r="U172" s="1">
        <v>-1.4207898679057901E-4</v>
      </c>
    </row>
    <row r="173" spans="3:21" x14ac:dyDescent="0.2">
      <c r="C173" s="5">
        <v>44737</v>
      </c>
      <c r="D173" s="6">
        <v>0.99950000000000006</v>
      </c>
      <c r="E173" s="6">
        <v>21475.81</v>
      </c>
      <c r="F173" s="6">
        <v>21471</v>
      </c>
      <c r="G173" s="6">
        <v>21512.77</v>
      </c>
      <c r="H173" s="6">
        <v>21463</v>
      </c>
      <c r="I173" s="5">
        <v>44737</v>
      </c>
      <c r="J173" s="7">
        <f t="shared" si="14"/>
        <v>-5.9648506854927986E-4</v>
      </c>
      <c r="K173" s="5">
        <v>44737</v>
      </c>
      <c r="L173" s="8">
        <f t="shared" si="12"/>
        <v>1.9454147454706552E-3</v>
      </c>
      <c r="M173" s="5">
        <v>44737</v>
      </c>
      <c r="N173" s="9">
        <f t="shared" si="13"/>
        <v>1.3489296769213753E-3</v>
      </c>
      <c r="O173" s="5">
        <v>44737</v>
      </c>
      <c r="P173">
        <f t="shared" si="15"/>
        <v>0.9976864903961693</v>
      </c>
      <c r="Q173" s="6">
        <f t="shared" si="16"/>
        <v>1.0005002501250624</v>
      </c>
      <c r="R173">
        <f t="shared" si="17"/>
        <v>-2.8163149435845043E-3</v>
      </c>
      <c r="T173" s="5">
        <v>44737</v>
      </c>
      <c r="U173" s="1">
        <v>-2.8163149435845043E-3</v>
      </c>
    </row>
    <row r="174" spans="3:21" x14ac:dyDescent="0.2">
      <c r="C174" s="5">
        <v>44738</v>
      </c>
      <c r="D174" s="6">
        <v>0.99980000000000002</v>
      </c>
      <c r="E174" s="6">
        <v>21031.49</v>
      </c>
      <c r="F174" s="6">
        <v>21022.5</v>
      </c>
      <c r="G174" s="6">
        <v>21045.19</v>
      </c>
      <c r="H174" s="6">
        <v>21010</v>
      </c>
      <c r="I174" s="5">
        <v>44738</v>
      </c>
      <c r="J174" s="7">
        <f t="shared" si="14"/>
        <v>-1.0218011182280284E-3</v>
      </c>
      <c r="K174" s="5">
        <v>44738</v>
      </c>
      <c r="L174" s="8">
        <f t="shared" si="12"/>
        <v>1.0793197764299531E-3</v>
      </c>
      <c r="M174" s="5">
        <v>44738</v>
      </c>
      <c r="N174" s="9">
        <f t="shared" si="13"/>
        <v>5.7518658201924713E-5</v>
      </c>
      <c r="O174" s="5">
        <v>44738</v>
      </c>
      <c r="P174">
        <f t="shared" si="15"/>
        <v>0.99832788394877892</v>
      </c>
      <c r="Q174" s="6">
        <f t="shared" si="16"/>
        <v>1.0002000400080016</v>
      </c>
      <c r="R174">
        <f t="shared" si="17"/>
        <v>-1.873535600286099E-3</v>
      </c>
      <c r="T174" s="5">
        <v>44738</v>
      </c>
      <c r="U174" s="1">
        <v>-1.873535600286099E-3</v>
      </c>
    </row>
    <row r="175" spans="3:21" x14ac:dyDescent="0.2">
      <c r="C175" s="5">
        <v>44739</v>
      </c>
      <c r="D175" s="6">
        <v>1.00004</v>
      </c>
      <c r="E175" s="6">
        <v>20702.41</v>
      </c>
      <c r="F175" s="6">
        <v>20709</v>
      </c>
      <c r="G175" s="6">
        <v>20709.18</v>
      </c>
      <c r="H175" s="6">
        <v>20693</v>
      </c>
      <c r="I175" s="5">
        <v>44739</v>
      </c>
      <c r="J175" s="7">
        <f t="shared" si="14"/>
        <v>-4.5453645251928904E-4</v>
      </c>
      <c r="K175" s="5">
        <v>44739</v>
      </c>
      <c r="L175" s="8">
        <f t="shared" si="12"/>
        <v>8.6918730986668142E-6</v>
      </c>
      <c r="M175" s="5">
        <v>44739</v>
      </c>
      <c r="N175" s="9">
        <f t="shared" si="13"/>
        <v>-4.458445794206222E-4</v>
      </c>
      <c r="O175" s="5">
        <v>44739</v>
      </c>
      <c r="P175">
        <f t="shared" si="15"/>
        <v>0.99921870397572476</v>
      </c>
      <c r="Q175" s="6">
        <f t="shared" si="16"/>
        <v>0.99996000159993592</v>
      </c>
      <c r="R175">
        <f t="shared" si="17"/>
        <v>-7.4160219505958313E-4</v>
      </c>
      <c r="T175" s="5">
        <v>44739</v>
      </c>
      <c r="U175" s="1">
        <v>-7.4160219505958313E-4</v>
      </c>
    </row>
    <row r="176" spans="3:21" x14ac:dyDescent="0.2">
      <c r="C176" s="5">
        <v>44740</v>
      </c>
      <c r="D176" s="6">
        <v>1.0001500000000001</v>
      </c>
      <c r="E176" s="6">
        <v>20251.84</v>
      </c>
      <c r="F176" s="6">
        <v>20250</v>
      </c>
      <c r="G176" s="6">
        <v>20262.439999999999</v>
      </c>
      <c r="H176" s="6">
        <v>20235</v>
      </c>
      <c r="I176" s="5">
        <v>44740</v>
      </c>
      <c r="J176" s="7">
        <f t="shared" si="14"/>
        <v>-8.3152938202159135E-4</v>
      </c>
      <c r="K176" s="5">
        <v>44740</v>
      </c>
      <c r="L176" s="8">
        <f t="shared" si="12"/>
        <v>6.1432098765425635E-4</v>
      </c>
      <c r="M176" s="5">
        <v>44740</v>
      </c>
      <c r="N176" s="9">
        <f t="shared" si="13"/>
        <v>-2.17208394367335E-4</v>
      </c>
      <c r="O176" s="5">
        <v>44740</v>
      </c>
      <c r="P176">
        <f t="shared" si="15"/>
        <v>0.99864577020339118</v>
      </c>
      <c r="Q176" s="6">
        <f t="shared" si="16"/>
        <v>0.99985002249662536</v>
      </c>
      <c r="R176">
        <f t="shared" si="17"/>
        <v>-1.2051588433545659E-3</v>
      </c>
      <c r="T176" s="5">
        <v>44740</v>
      </c>
      <c r="U176" s="1">
        <v>-1.2051588433545659E-3</v>
      </c>
    </row>
    <row r="177" spans="3:21" x14ac:dyDescent="0.2">
      <c r="C177" s="5">
        <v>44741</v>
      </c>
      <c r="D177" s="6">
        <v>0.99955000000000005</v>
      </c>
      <c r="E177" s="6">
        <v>20096.68</v>
      </c>
      <c r="F177" s="6">
        <v>20082.5</v>
      </c>
      <c r="G177" s="6">
        <v>20085.64</v>
      </c>
      <c r="H177" s="6">
        <v>20095</v>
      </c>
      <c r="I177" s="5">
        <v>44741</v>
      </c>
      <c r="J177" s="7">
        <f t="shared" si="14"/>
        <v>-8.3595897431829088E-5</v>
      </c>
      <c r="K177" s="5">
        <v>44741</v>
      </c>
      <c r="L177" s="8">
        <f t="shared" si="12"/>
        <v>1.5635503547862159E-4</v>
      </c>
      <c r="M177" s="5">
        <v>44741</v>
      </c>
      <c r="N177" s="9">
        <f t="shared" si="13"/>
        <v>7.2759138046792502E-5</v>
      </c>
      <c r="O177" s="5">
        <v>44741</v>
      </c>
      <c r="P177">
        <f t="shared" si="15"/>
        <v>1.0004660045684379</v>
      </c>
      <c r="Q177" s="6">
        <f t="shared" si="16"/>
        <v>1.0004502025911659</v>
      </c>
      <c r="R177">
        <f t="shared" si="17"/>
        <v>1.579474164455757E-5</v>
      </c>
      <c r="T177" s="5">
        <v>44741</v>
      </c>
      <c r="U177" s="1">
        <v>1.579474164455757E-5</v>
      </c>
    </row>
    <row r="178" spans="3:21" x14ac:dyDescent="0.2">
      <c r="C178" s="5">
        <v>44742</v>
      </c>
      <c r="D178" s="6">
        <v>1.00038</v>
      </c>
      <c r="E178" s="6">
        <v>19933.7</v>
      </c>
      <c r="F178" s="6">
        <v>19916.5</v>
      </c>
      <c r="G178" s="6">
        <v>19966.57</v>
      </c>
      <c r="H178" s="6">
        <v>19907.5</v>
      </c>
      <c r="I178" s="5">
        <v>44742</v>
      </c>
      <c r="J178" s="7">
        <f t="shared" si="14"/>
        <v>-1.3143570937658702E-3</v>
      </c>
      <c r="K178" s="5">
        <v>44742</v>
      </c>
      <c r="L178" s="8">
        <f t="shared" si="12"/>
        <v>2.5139959330203452E-3</v>
      </c>
      <c r="M178" s="5">
        <v>44742</v>
      </c>
      <c r="N178" s="9">
        <f t="shared" si="13"/>
        <v>1.199638839254475E-3</v>
      </c>
      <c r="O178" s="5">
        <v>44742</v>
      </c>
      <c r="P178">
        <f t="shared" si="15"/>
        <v>0.99704155495911417</v>
      </c>
      <c r="Q178" s="6">
        <f t="shared" si="16"/>
        <v>0.99962014434514879</v>
      </c>
      <c r="R178">
        <f t="shared" si="17"/>
        <v>-2.5829020714887799E-3</v>
      </c>
      <c r="T178" s="5">
        <v>44742</v>
      </c>
      <c r="U178" s="1">
        <v>-2.5829020714887799E-3</v>
      </c>
    </row>
    <row r="179" spans="3:21" x14ac:dyDescent="0.2">
      <c r="C179" s="5">
        <v>44743</v>
      </c>
      <c r="D179" s="6">
        <v>0.99972000000000005</v>
      </c>
      <c r="E179" s="6">
        <v>19248.810000000001</v>
      </c>
      <c r="F179" s="6">
        <v>19245.5</v>
      </c>
      <c r="G179" s="6">
        <v>19268.009999999998</v>
      </c>
      <c r="H179" s="6">
        <v>19240.5</v>
      </c>
      <c r="I179" s="5">
        <v>44743</v>
      </c>
      <c r="J179" s="7">
        <f t="shared" si="14"/>
        <v>-4.3171499952471395E-4</v>
      </c>
      <c r="K179" s="5">
        <v>44743</v>
      </c>
      <c r="L179" s="8">
        <f t="shared" si="12"/>
        <v>1.1696240679638565E-3</v>
      </c>
      <c r="M179" s="5">
        <v>44743</v>
      </c>
      <c r="N179" s="9">
        <f t="shared" si="13"/>
        <v>7.3790906843914251E-4</v>
      </c>
      <c r="O179" s="5">
        <v>44743</v>
      </c>
      <c r="P179">
        <f t="shared" si="15"/>
        <v>0.9985722448763521</v>
      </c>
      <c r="Q179" s="6">
        <f t="shared" si="16"/>
        <v>1.0002800784219581</v>
      </c>
      <c r="R179">
        <f t="shared" si="17"/>
        <v>-1.7088145445056323E-3</v>
      </c>
      <c r="T179" s="5">
        <v>44743</v>
      </c>
      <c r="U179" s="1">
        <v>-1.7088145445056323E-3</v>
      </c>
    </row>
    <row r="180" spans="3:21" x14ac:dyDescent="0.2">
      <c r="C180" s="5">
        <v>44744</v>
      </c>
      <c r="D180" s="6">
        <v>0.99963999999999997</v>
      </c>
      <c r="E180" s="6">
        <v>19224.57</v>
      </c>
      <c r="F180" s="6">
        <v>19212</v>
      </c>
      <c r="G180" s="6">
        <v>19253.97</v>
      </c>
      <c r="H180" s="6">
        <v>19216</v>
      </c>
      <c r="I180" s="5">
        <v>44744</v>
      </c>
      <c r="J180" s="7">
        <f t="shared" si="14"/>
        <v>-4.4578370283443057E-4</v>
      </c>
      <c r="K180" s="5">
        <v>44744</v>
      </c>
      <c r="L180" s="8">
        <f t="shared" si="12"/>
        <v>2.1845721424110535E-3</v>
      </c>
      <c r="M180" s="5">
        <v>44744</v>
      </c>
      <c r="N180" s="9">
        <f t="shared" si="13"/>
        <v>1.7387884395766229E-3</v>
      </c>
      <c r="O180" s="5">
        <v>44744</v>
      </c>
      <c r="P180">
        <f t="shared" si="15"/>
        <v>0.99802793917306398</v>
      </c>
      <c r="Q180" s="6">
        <f t="shared" si="16"/>
        <v>1.0003601296466729</v>
      </c>
      <c r="R180">
        <f t="shared" si="17"/>
        <v>-2.3340727146959079E-3</v>
      </c>
      <c r="T180" s="5">
        <v>44744</v>
      </c>
      <c r="U180" s="1">
        <v>-2.3340727146959079E-3</v>
      </c>
    </row>
    <row r="181" spans="3:21" x14ac:dyDescent="0.2">
      <c r="C181" s="5">
        <v>44745</v>
      </c>
      <c r="D181" s="6">
        <v>0.99985000000000002</v>
      </c>
      <c r="E181" s="6">
        <v>19289.57</v>
      </c>
      <c r="F181" s="6">
        <v>19279.5</v>
      </c>
      <c r="G181" s="6">
        <v>19309.79</v>
      </c>
      <c r="H181" s="6">
        <v>19283.5</v>
      </c>
      <c r="I181" s="5">
        <v>44745</v>
      </c>
      <c r="J181" s="7">
        <f t="shared" si="14"/>
        <v>-3.1467782848449755E-4</v>
      </c>
      <c r="K181" s="5">
        <v>44745</v>
      </c>
      <c r="L181" s="8">
        <f t="shared" si="12"/>
        <v>1.5710988355507598E-3</v>
      </c>
      <c r="M181" s="5">
        <v>44745</v>
      </c>
      <c r="N181" s="9">
        <f t="shared" si="13"/>
        <v>1.2564210070662623E-3</v>
      </c>
      <c r="O181" s="5">
        <v>44745</v>
      </c>
      <c r="P181">
        <f t="shared" si="15"/>
        <v>0.9986385144530312</v>
      </c>
      <c r="Q181" s="6">
        <f t="shared" si="16"/>
        <v>1.0001500225033755</v>
      </c>
      <c r="R181">
        <f t="shared" si="17"/>
        <v>-1.5124244616371053E-3</v>
      </c>
      <c r="T181" s="5">
        <v>44745</v>
      </c>
      <c r="U181" s="1">
        <v>-1.5124244616371053E-3</v>
      </c>
    </row>
    <row r="182" spans="3:21" x14ac:dyDescent="0.2">
      <c r="C182" s="5">
        <v>44746</v>
      </c>
      <c r="D182" s="6">
        <v>0.99973000000000001</v>
      </c>
      <c r="E182" s="6">
        <v>20210</v>
      </c>
      <c r="F182" s="6">
        <v>20198.5</v>
      </c>
      <c r="G182" s="6">
        <v>20220.849999999999</v>
      </c>
      <c r="H182" s="6">
        <v>20192</v>
      </c>
      <c r="I182" s="5">
        <v>44746</v>
      </c>
      <c r="J182" s="7">
        <f t="shared" si="14"/>
        <v>-8.9064819396338449E-4</v>
      </c>
      <c r="K182" s="5">
        <v>44746</v>
      </c>
      <c r="L182" s="8">
        <f t="shared" si="12"/>
        <v>1.1065178107284475E-3</v>
      </c>
      <c r="M182" s="5">
        <v>44746</v>
      </c>
      <c r="N182" s="9">
        <f t="shared" si="13"/>
        <v>2.15869616765063E-4</v>
      </c>
      <c r="O182" s="5">
        <v>44746</v>
      </c>
      <c r="P182">
        <f t="shared" si="15"/>
        <v>0.99857325483350112</v>
      </c>
      <c r="Q182" s="6">
        <f t="shared" si="16"/>
        <v>1.0002700729196883</v>
      </c>
      <c r="R182">
        <f t="shared" si="17"/>
        <v>-1.6978003930783723E-3</v>
      </c>
      <c r="T182" s="5">
        <v>44746</v>
      </c>
      <c r="U182" s="1">
        <v>-1.6978003930783723E-3</v>
      </c>
    </row>
    <row r="183" spans="3:21" x14ac:dyDescent="0.2">
      <c r="C183" s="5">
        <v>44747</v>
      </c>
      <c r="D183" s="6">
        <v>0.99934999999999996</v>
      </c>
      <c r="E183" s="6">
        <v>20157.96</v>
      </c>
      <c r="F183" s="6">
        <v>20142.5</v>
      </c>
      <c r="G183" s="6">
        <v>20147.63</v>
      </c>
      <c r="H183" s="6">
        <v>20145.5</v>
      </c>
      <c r="I183" s="5">
        <v>44747</v>
      </c>
      <c r="J183" s="7">
        <f t="shared" si="14"/>
        <v>-6.1811810322071916E-4</v>
      </c>
      <c r="K183" s="5">
        <v>44747</v>
      </c>
      <c r="L183" s="8">
        <f t="shared" si="12"/>
        <v>2.546853667618726E-4</v>
      </c>
      <c r="M183" s="5">
        <v>44747</v>
      </c>
      <c r="N183" s="9">
        <f t="shared" si="13"/>
        <v>-3.6343273645884656E-4</v>
      </c>
      <c r="O183" s="5">
        <v>44747</v>
      </c>
      <c r="P183">
        <f t="shared" si="15"/>
        <v>0.99989428036945283</v>
      </c>
      <c r="Q183" s="6">
        <f t="shared" si="16"/>
        <v>1.0006504227748036</v>
      </c>
      <c r="R183">
        <f t="shared" si="17"/>
        <v>-7.5593656084760612E-4</v>
      </c>
      <c r="T183" s="5">
        <v>44747</v>
      </c>
      <c r="U183" s="1">
        <v>-7.5593656084760612E-4</v>
      </c>
    </row>
    <row r="184" spans="3:21" x14ac:dyDescent="0.2">
      <c r="C184" s="5">
        <v>44748</v>
      </c>
      <c r="D184" s="6">
        <v>1.00044</v>
      </c>
      <c r="E184" s="6">
        <v>20539.47</v>
      </c>
      <c r="F184" s="6">
        <v>20532.5</v>
      </c>
      <c r="G184" s="6">
        <v>20541.18</v>
      </c>
      <c r="H184" s="6">
        <v>20532.5</v>
      </c>
      <c r="I184" s="5">
        <v>44748</v>
      </c>
      <c r="J184" s="7">
        <f t="shared" si="14"/>
        <v>-3.3934663357920936E-4</v>
      </c>
      <c r="K184" s="5">
        <v>44748</v>
      </c>
      <c r="L184" s="8">
        <f t="shared" si="12"/>
        <v>4.227444295629023E-4</v>
      </c>
      <c r="M184" s="5">
        <v>44748</v>
      </c>
      <c r="N184" s="9">
        <f t="shared" si="13"/>
        <v>8.3397795983692941E-5</v>
      </c>
      <c r="O184" s="5">
        <v>44748</v>
      </c>
      <c r="P184">
        <f t="shared" si="15"/>
        <v>0.99957743420777179</v>
      </c>
      <c r="Q184" s="6">
        <f t="shared" si="16"/>
        <v>0.99956019351485348</v>
      </c>
      <c r="R184">
        <f t="shared" si="17"/>
        <v>1.7248130073361273E-5</v>
      </c>
      <c r="T184" s="5">
        <v>44748</v>
      </c>
      <c r="U184" s="1">
        <v>1.7248130073361273E-5</v>
      </c>
    </row>
    <row r="185" spans="3:21" x14ac:dyDescent="0.2">
      <c r="C185" s="5">
        <v>44749</v>
      </c>
      <c r="D185" s="6">
        <v>1.0003</v>
      </c>
      <c r="E185" s="6">
        <v>21605.61</v>
      </c>
      <c r="F185" s="6">
        <v>21601</v>
      </c>
      <c r="G185" s="6">
        <v>21604.92</v>
      </c>
      <c r="H185" s="6">
        <v>21603.5</v>
      </c>
      <c r="I185" s="5">
        <v>44749</v>
      </c>
      <c r="J185" s="7">
        <f t="shared" si="14"/>
        <v>-9.7659820759542641E-5</v>
      </c>
      <c r="K185" s="5">
        <v>44749</v>
      </c>
      <c r="L185" s="8">
        <f t="shared" si="12"/>
        <v>1.8147307994992147E-4</v>
      </c>
      <c r="M185" s="5">
        <v>44749</v>
      </c>
      <c r="N185" s="9">
        <f t="shared" si="13"/>
        <v>8.3813259190378828E-5</v>
      </c>
      <c r="O185" s="5">
        <v>44749</v>
      </c>
      <c r="P185">
        <f t="shared" si="15"/>
        <v>0.99993427423012926</v>
      </c>
      <c r="Q185" s="6">
        <f t="shared" si="16"/>
        <v>0.99970008997300808</v>
      </c>
      <c r="R185">
        <f t="shared" si="17"/>
        <v>2.3422707909421235E-4</v>
      </c>
      <c r="T185" s="5">
        <v>44749</v>
      </c>
      <c r="U185" s="1">
        <v>2.3422707909421235E-4</v>
      </c>
    </row>
    <row r="186" spans="3:21" x14ac:dyDescent="0.2">
      <c r="C186" s="5">
        <v>44750</v>
      </c>
      <c r="D186" s="6">
        <v>0.99999000000000005</v>
      </c>
      <c r="E186" s="6">
        <v>21594.080000000002</v>
      </c>
      <c r="F186" s="6">
        <v>21571</v>
      </c>
      <c r="G186" s="6">
        <v>21589.040000000001</v>
      </c>
      <c r="H186" s="6">
        <v>21600</v>
      </c>
      <c r="I186" s="5">
        <v>44750</v>
      </c>
      <c r="J186" s="7">
        <f t="shared" si="14"/>
        <v>2.7414921126522884E-4</v>
      </c>
      <c r="K186" s="5">
        <v>44750</v>
      </c>
      <c r="L186" s="8">
        <f t="shared" si="12"/>
        <v>8.363080061193674E-4</v>
      </c>
      <c r="M186" s="5">
        <v>44750</v>
      </c>
      <c r="N186" s="9">
        <f t="shared" si="13"/>
        <v>1.1104572173845962E-3</v>
      </c>
      <c r="O186" s="5">
        <v>44750</v>
      </c>
      <c r="P186">
        <f t="shared" si="15"/>
        <v>1.000507665000389</v>
      </c>
      <c r="Q186" s="6">
        <f t="shared" si="16"/>
        <v>1.000010000100001</v>
      </c>
      <c r="R186">
        <f t="shared" si="17"/>
        <v>4.9753613210816276E-4</v>
      </c>
      <c r="T186" s="5">
        <v>44750</v>
      </c>
      <c r="U186" s="1">
        <v>4.9753613210816276E-4</v>
      </c>
    </row>
    <row r="187" spans="3:21" x14ac:dyDescent="0.2">
      <c r="C187" s="5">
        <v>44751</v>
      </c>
      <c r="D187" s="6">
        <v>1.0004</v>
      </c>
      <c r="E187" s="6">
        <v>21573.47</v>
      </c>
      <c r="F187" s="6">
        <v>21572</v>
      </c>
      <c r="G187" s="6">
        <v>21602.29</v>
      </c>
      <c r="H187" s="6">
        <v>21565</v>
      </c>
      <c r="I187" s="5">
        <v>44751</v>
      </c>
      <c r="J187" s="7">
        <f t="shared" si="14"/>
        <v>-3.9261185150099467E-4</v>
      </c>
      <c r="K187" s="5">
        <v>44751</v>
      </c>
      <c r="L187" s="8">
        <f t="shared" si="12"/>
        <v>1.4041349898016352E-3</v>
      </c>
      <c r="M187" s="5">
        <v>44751</v>
      </c>
      <c r="N187" s="9">
        <f t="shared" si="13"/>
        <v>1.0115231383006405E-3</v>
      </c>
      <c r="O187" s="5">
        <v>44751</v>
      </c>
      <c r="P187">
        <f t="shared" si="15"/>
        <v>0.99827379412090111</v>
      </c>
      <c r="Q187" s="6">
        <f t="shared" si="16"/>
        <v>0.99960015993602558</v>
      </c>
      <c r="R187">
        <f t="shared" si="17"/>
        <v>-1.327777467938481E-3</v>
      </c>
      <c r="T187" s="5">
        <v>44751</v>
      </c>
      <c r="U187" s="1">
        <v>-1.327777467938481E-3</v>
      </c>
    </row>
    <row r="188" spans="3:21" x14ac:dyDescent="0.2">
      <c r="C188" s="5">
        <v>44752</v>
      </c>
      <c r="D188" s="6">
        <v>1.00037</v>
      </c>
      <c r="E188" s="6">
        <v>20832.25</v>
      </c>
      <c r="F188" s="6">
        <v>20836.5</v>
      </c>
      <c r="G188" s="6">
        <v>20855.23</v>
      </c>
      <c r="H188" s="6">
        <v>20845.5</v>
      </c>
      <c r="I188" s="5">
        <v>44752</v>
      </c>
      <c r="J188" s="7">
        <f t="shared" si="14"/>
        <v>6.3603307371983345E-4</v>
      </c>
      <c r="K188" s="5">
        <v>44752</v>
      </c>
      <c r="L188" s="8">
        <f t="shared" si="12"/>
        <v>8.9890336668824243E-4</v>
      </c>
      <c r="M188" s="5">
        <v>44752</v>
      </c>
      <c r="N188" s="9">
        <f t="shared" si="13"/>
        <v>1.5349364404080759E-3</v>
      </c>
      <c r="O188" s="5">
        <v>44752</v>
      </c>
      <c r="P188">
        <f t="shared" si="15"/>
        <v>0.99953345036233121</v>
      </c>
      <c r="Q188" s="6">
        <f t="shared" si="16"/>
        <v>0.99963013684936575</v>
      </c>
      <c r="R188">
        <f t="shared" si="17"/>
        <v>-9.6726938934273181E-5</v>
      </c>
      <c r="T188" s="5">
        <v>44752</v>
      </c>
      <c r="U188" s="1">
        <v>-9.6726938934273181E-5</v>
      </c>
    </row>
    <row r="189" spans="3:21" x14ac:dyDescent="0.2">
      <c r="C189" s="5">
        <v>44753</v>
      </c>
      <c r="D189" s="6">
        <v>1.00024</v>
      </c>
      <c r="E189" s="6">
        <v>19942.599999999999</v>
      </c>
      <c r="F189" s="6">
        <v>19933</v>
      </c>
      <c r="G189" s="6">
        <v>19953.919999999998</v>
      </c>
      <c r="H189" s="6">
        <v>19946.5</v>
      </c>
      <c r="I189" s="5">
        <v>44753</v>
      </c>
      <c r="J189" s="7">
        <f t="shared" si="14"/>
        <v>1.9556126081862223E-4</v>
      </c>
      <c r="K189" s="5">
        <v>44753</v>
      </c>
      <c r="L189" s="8">
        <f t="shared" si="12"/>
        <v>1.0495158781918554E-3</v>
      </c>
      <c r="M189" s="5">
        <v>44753</v>
      </c>
      <c r="N189" s="9">
        <f t="shared" si="13"/>
        <v>1.2450771390104776E-3</v>
      </c>
      <c r="O189" s="5">
        <v>44753</v>
      </c>
      <c r="P189">
        <f t="shared" si="15"/>
        <v>0.99962814324202975</v>
      </c>
      <c r="Q189" s="6">
        <f t="shared" si="16"/>
        <v>0.99976005758617925</v>
      </c>
      <c r="R189">
        <f t="shared" si="17"/>
        <v>-1.3195470923184379E-4</v>
      </c>
      <c r="T189" s="5">
        <v>44753</v>
      </c>
      <c r="U189" s="1">
        <v>-1.3195470923184379E-4</v>
      </c>
    </row>
    <row r="190" spans="3:21" x14ac:dyDescent="0.2">
      <c r="C190" s="5">
        <v>44754</v>
      </c>
      <c r="D190" s="6">
        <v>0.99966999999999995</v>
      </c>
      <c r="E190" s="6">
        <v>19308.87</v>
      </c>
      <c r="F190" s="6">
        <v>19301</v>
      </c>
      <c r="G190" s="6">
        <v>19322.14</v>
      </c>
      <c r="H190" s="6">
        <v>19311.5</v>
      </c>
      <c r="I190" s="5">
        <v>44754</v>
      </c>
      <c r="J190" s="7">
        <f t="shared" si="14"/>
        <v>1.3620683136822707E-4</v>
      </c>
      <c r="K190" s="5">
        <v>44754</v>
      </c>
      <c r="L190" s="8">
        <f t="shared" si="12"/>
        <v>1.0952800373037364E-3</v>
      </c>
      <c r="M190" s="5">
        <v>44754</v>
      </c>
      <c r="N190" s="9">
        <f t="shared" si="13"/>
        <v>1.2314868686719635E-3</v>
      </c>
      <c r="O190" s="5">
        <v>44754</v>
      </c>
      <c r="P190">
        <f t="shared" si="15"/>
        <v>0.99944933635715305</v>
      </c>
      <c r="Q190" s="6">
        <f t="shared" si="16"/>
        <v>1.0003301089359489</v>
      </c>
      <c r="R190">
        <f t="shared" si="17"/>
        <v>-8.8086977573502922E-4</v>
      </c>
      <c r="T190" s="5">
        <v>44754</v>
      </c>
      <c r="U190" s="1">
        <v>-8.8086977573502922E-4</v>
      </c>
    </row>
    <row r="191" spans="3:21" x14ac:dyDescent="0.2">
      <c r="C191" s="5">
        <v>44755</v>
      </c>
      <c r="D191" s="6">
        <v>1</v>
      </c>
      <c r="E191" s="6">
        <v>20232.830000000002</v>
      </c>
      <c r="F191" s="6">
        <v>20207.5</v>
      </c>
      <c r="G191" s="6">
        <v>20238.68</v>
      </c>
      <c r="H191" s="6">
        <v>20243.5</v>
      </c>
      <c r="I191" s="5">
        <v>44755</v>
      </c>
      <c r="J191" s="7">
        <f t="shared" si="14"/>
        <v>5.2736073006090858E-4</v>
      </c>
      <c r="K191" s="5">
        <v>44755</v>
      </c>
      <c r="L191" s="8">
        <f t="shared" si="12"/>
        <v>1.5429914635655222E-3</v>
      </c>
      <c r="M191" s="5">
        <v>44755</v>
      </c>
      <c r="N191" s="9">
        <f t="shared" si="13"/>
        <v>2.070352193626431E-3</v>
      </c>
      <c r="O191" s="5">
        <v>44755</v>
      </c>
      <c r="P191">
        <f t="shared" si="15"/>
        <v>1.0002381578245221</v>
      </c>
      <c r="Q191" s="6">
        <f t="shared" si="16"/>
        <v>1</v>
      </c>
      <c r="R191">
        <f t="shared" si="17"/>
        <v>2.3812946944928677E-4</v>
      </c>
      <c r="T191" s="5">
        <v>44755</v>
      </c>
      <c r="U191" s="1">
        <v>2.3812946944928677E-4</v>
      </c>
    </row>
    <row r="192" spans="3:21" x14ac:dyDescent="0.2">
      <c r="C192" s="5">
        <v>44756</v>
      </c>
      <c r="D192" s="6">
        <v>0.99980000000000002</v>
      </c>
      <c r="E192" s="6">
        <v>20572.900000000001</v>
      </c>
      <c r="F192" s="6">
        <v>20564.5</v>
      </c>
      <c r="G192" s="6">
        <v>20566.75</v>
      </c>
      <c r="H192" s="6">
        <v>20588.5</v>
      </c>
      <c r="I192" s="5">
        <v>44756</v>
      </c>
      <c r="J192" s="7">
        <f t="shared" si="14"/>
        <v>7.5827909531463937E-4</v>
      </c>
      <c r="K192" s="5">
        <v>44756</v>
      </c>
      <c r="L192" s="8">
        <f t="shared" si="12"/>
        <v>1.0941185051909844E-4</v>
      </c>
      <c r="M192" s="5">
        <v>44756</v>
      </c>
      <c r="N192" s="9">
        <f t="shared" si="13"/>
        <v>8.6769094583373778E-4</v>
      </c>
      <c r="O192" s="5">
        <v>44756</v>
      </c>
      <c r="P192">
        <f t="shared" si="15"/>
        <v>1.0010575321817983</v>
      </c>
      <c r="Q192" s="6">
        <f t="shared" si="16"/>
        <v>1.0002000400080016</v>
      </c>
      <c r="R192">
        <f t="shared" si="17"/>
        <v>8.5695338589996859E-4</v>
      </c>
      <c r="T192" s="5">
        <v>44756</v>
      </c>
      <c r="U192" s="1">
        <v>8.5695338589996859E-4</v>
      </c>
    </row>
    <row r="193" spans="3:21" x14ac:dyDescent="0.2">
      <c r="C193" s="5">
        <v>44757</v>
      </c>
      <c r="D193" s="6">
        <v>0.99975999999999998</v>
      </c>
      <c r="E193" s="6">
        <v>20823.009999999998</v>
      </c>
      <c r="F193" s="6">
        <v>20822.5</v>
      </c>
      <c r="G193" s="6">
        <v>20830.900000000001</v>
      </c>
      <c r="H193" s="6">
        <v>20807.5</v>
      </c>
      <c r="I193" s="5">
        <v>44757</v>
      </c>
      <c r="J193" s="7">
        <f t="shared" si="14"/>
        <v>-7.4484908761982059E-4</v>
      </c>
      <c r="K193" s="5">
        <v>44757</v>
      </c>
      <c r="L193" s="8">
        <f t="shared" si="12"/>
        <v>4.0340977308207251E-4</v>
      </c>
      <c r="M193" s="5">
        <v>44757</v>
      </c>
      <c r="N193" s="9">
        <f t="shared" si="13"/>
        <v>-3.4143931453774808E-4</v>
      </c>
      <c r="O193" s="5">
        <v>44757</v>
      </c>
      <c r="P193">
        <f t="shared" si="15"/>
        <v>0.99887666879491521</v>
      </c>
      <c r="Q193" s="6">
        <f t="shared" si="16"/>
        <v>1.0002400576138273</v>
      </c>
      <c r="R193">
        <f t="shared" si="17"/>
        <v>-1.3639914190906022E-3</v>
      </c>
      <c r="T193" s="5">
        <v>44757</v>
      </c>
      <c r="U193" s="1">
        <v>-1.3639914190906022E-3</v>
      </c>
    </row>
    <row r="194" spans="3:21" x14ac:dyDescent="0.2">
      <c r="C194" s="5">
        <v>44758</v>
      </c>
      <c r="D194" s="6">
        <v>1.0004500000000001</v>
      </c>
      <c r="E194" s="6">
        <v>21208.43</v>
      </c>
      <c r="F194" s="6">
        <v>21187</v>
      </c>
      <c r="G194" s="6">
        <v>21177.599999999999</v>
      </c>
      <c r="H194" s="6">
        <v>21174</v>
      </c>
      <c r="I194" s="5">
        <v>44758</v>
      </c>
      <c r="J194" s="7">
        <f t="shared" si="14"/>
        <v>-1.6234110681460291E-3</v>
      </c>
      <c r="K194" s="5">
        <v>44758</v>
      </c>
      <c r="L194" s="8">
        <f t="shared" si="12"/>
        <v>-4.4366828715728773E-4</v>
      </c>
      <c r="M194" s="5">
        <v>44758</v>
      </c>
      <c r="N194" s="9">
        <f t="shared" si="13"/>
        <v>-2.067079355303317E-3</v>
      </c>
      <c r="O194" s="5">
        <v>44758</v>
      </c>
      <c r="P194">
        <f t="shared" si="15"/>
        <v>0.99983000906618325</v>
      </c>
      <c r="Q194" s="6">
        <f t="shared" si="16"/>
        <v>0.9995502024089159</v>
      </c>
      <c r="R194">
        <f t="shared" si="17"/>
        <v>2.7989339645171903E-4</v>
      </c>
      <c r="T194" s="5">
        <v>44758</v>
      </c>
      <c r="U194" s="1">
        <v>2.7989339645171903E-4</v>
      </c>
    </row>
    <row r="195" spans="3:21" x14ac:dyDescent="0.2">
      <c r="C195" s="5">
        <v>44759</v>
      </c>
      <c r="D195" s="6">
        <v>1.0000500000000001</v>
      </c>
      <c r="E195" s="6">
        <v>20790.73</v>
      </c>
      <c r="F195" s="6">
        <v>20779.5</v>
      </c>
      <c r="G195" s="6">
        <v>20784.759999999998</v>
      </c>
      <c r="H195" s="6">
        <v>20773.5</v>
      </c>
      <c r="I195" s="5">
        <v>44759</v>
      </c>
      <c r="J195" s="7">
        <f t="shared" si="14"/>
        <v>-8.287347293721559E-4</v>
      </c>
      <c r="K195" s="5">
        <v>44759</v>
      </c>
      <c r="L195" s="8">
        <f t="shared" si="12"/>
        <v>2.5313409851047421E-4</v>
      </c>
      <c r="M195" s="5">
        <v>44759</v>
      </c>
      <c r="N195" s="9">
        <f t="shared" si="13"/>
        <v>-5.7560063086168169E-4</v>
      </c>
      <c r="O195" s="5">
        <v>44759</v>
      </c>
      <c r="P195">
        <f t="shared" si="15"/>
        <v>0.99945825691516299</v>
      </c>
      <c r="Q195" s="6">
        <f t="shared" si="16"/>
        <v>0.99995000249987487</v>
      </c>
      <c r="R195">
        <f t="shared" si="17"/>
        <v>-4.9189113059963663E-4</v>
      </c>
      <c r="T195" s="5">
        <v>44759</v>
      </c>
      <c r="U195" s="1">
        <v>-4.9189113059963663E-4</v>
      </c>
    </row>
    <row r="196" spans="3:21" x14ac:dyDescent="0.2">
      <c r="C196" s="5">
        <v>44760</v>
      </c>
      <c r="D196" s="6">
        <v>1.00004</v>
      </c>
      <c r="E196" s="6">
        <v>22440.6</v>
      </c>
      <c r="F196" s="6">
        <v>22425.5</v>
      </c>
      <c r="G196" s="6">
        <v>22432.74</v>
      </c>
      <c r="H196" s="6">
        <v>22440.5</v>
      </c>
      <c r="I196" s="5">
        <v>44760</v>
      </c>
      <c r="J196" s="7">
        <f t="shared" si="14"/>
        <v>-4.4562088357060339E-6</v>
      </c>
      <c r="K196" s="5">
        <v>44760</v>
      </c>
      <c r="L196" s="8">
        <f t="shared" si="12"/>
        <v>3.2284675926965291E-4</v>
      </c>
      <c r="M196" s="5">
        <v>44760</v>
      </c>
      <c r="N196" s="9">
        <f t="shared" si="13"/>
        <v>3.183905504339469E-4</v>
      </c>
      <c r="O196" s="5">
        <v>44760</v>
      </c>
      <c r="P196">
        <f t="shared" si="15"/>
        <v>1.0003459229679477</v>
      </c>
      <c r="Q196" s="6">
        <f t="shared" si="16"/>
        <v>0.99996000159993592</v>
      </c>
      <c r="R196">
        <f t="shared" si="17"/>
        <v>3.8586235041361143E-4</v>
      </c>
      <c r="T196" s="5">
        <v>44760</v>
      </c>
      <c r="U196" s="1">
        <v>3.8586235041361143E-4</v>
      </c>
    </row>
    <row r="197" spans="3:21" x14ac:dyDescent="0.2">
      <c r="C197" s="5">
        <v>44761</v>
      </c>
      <c r="D197" s="6">
        <v>1.00023</v>
      </c>
      <c r="E197" s="6">
        <v>23413.24</v>
      </c>
      <c r="F197" s="6">
        <v>23391</v>
      </c>
      <c r="G197" s="6">
        <v>23400.65</v>
      </c>
      <c r="H197" s="6">
        <v>23409</v>
      </c>
      <c r="I197" s="5">
        <v>44761</v>
      </c>
      <c r="J197" s="7">
        <f t="shared" si="14"/>
        <v>-1.8109411597889061E-4</v>
      </c>
      <c r="K197" s="5">
        <v>44761</v>
      </c>
      <c r="L197" s="8">
        <f t="shared" si="12"/>
        <v>4.1255183617636934E-4</v>
      </c>
      <c r="M197" s="5">
        <v>44761</v>
      </c>
      <c r="N197" s="9">
        <f t="shared" si="13"/>
        <v>2.3145772019747874E-4</v>
      </c>
      <c r="O197" s="5">
        <v>44761</v>
      </c>
      <c r="P197">
        <f t="shared" si="15"/>
        <v>1.000356827694957</v>
      </c>
      <c r="Q197" s="6">
        <f t="shared" si="16"/>
        <v>0.99977005288783583</v>
      </c>
      <c r="R197">
        <f t="shared" si="17"/>
        <v>5.8673760115043883E-4</v>
      </c>
      <c r="T197" s="5">
        <v>44761</v>
      </c>
      <c r="U197" s="1">
        <v>5.8673760115043883E-4</v>
      </c>
    </row>
    <row r="198" spans="3:21" x14ac:dyDescent="0.2">
      <c r="C198" s="5">
        <v>44762</v>
      </c>
      <c r="D198" s="6">
        <v>1.00013</v>
      </c>
      <c r="E198" s="6">
        <v>23221.97</v>
      </c>
      <c r="F198" s="6">
        <v>23218</v>
      </c>
      <c r="G198" s="6">
        <v>23226.05</v>
      </c>
      <c r="H198" s="6">
        <v>23215.5</v>
      </c>
      <c r="I198" s="5">
        <v>44762</v>
      </c>
      <c r="J198" s="7">
        <f t="shared" si="14"/>
        <v>-2.7861546630200467E-4</v>
      </c>
      <c r="K198" s="5">
        <v>44762</v>
      </c>
      <c r="L198" s="8">
        <f t="shared" si="12"/>
        <v>3.4671375656814853E-4</v>
      </c>
      <c r="M198" s="5">
        <v>44762</v>
      </c>
      <c r="N198" s="9">
        <f t="shared" si="13"/>
        <v>6.8098290266143855E-5</v>
      </c>
      <c r="O198" s="5">
        <v>44762</v>
      </c>
      <c r="P198">
        <f t="shared" si="15"/>
        <v>0.99954576865200928</v>
      </c>
      <c r="Q198" s="6">
        <f t="shared" si="16"/>
        <v>0.9998700168978033</v>
      </c>
      <c r="R198">
        <f t="shared" si="17"/>
        <v>-3.2434299156785412E-4</v>
      </c>
      <c r="T198" s="5">
        <v>44762</v>
      </c>
      <c r="U198" s="1">
        <v>-3.2434299156785412E-4</v>
      </c>
    </row>
    <row r="199" spans="3:21" x14ac:dyDescent="0.2">
      <c r="C199" s="5">
        <v>44763</v>
      </c>
      <c r="D199" s="6">
        <v>1.0000899999999999</v>
      </c>
      <c r="E199" s="6">
        <v>23148.54</v>
      </c>
      <c r="F199" s="6">
        <v>23139</v>
      </c>
      <c r="G199" s="6">
        <v>23157.37</v>
      </c>
      <c r="H199" s="6">
        <v>23172.5</v>
      </c>
      <c r="I199" s="5">
        <v>44763</v>
      </c>
      <c r="J199" s="7">
        <f t="shared" si="14"/>
        <v>1.0350544785977486E-3</v>
      </c>
      <c r="K199" s="5">
        <v>44763</v>
      </c>
      <c r="L199" s="8">
        <f t="shared" si="12"/>
        <v>7.9389774839011974E-4</v>
      </c>
      <c r="M199" s="5">
        <v>44763</v>
      </c>
      <c r="N199" s="9">
        <f t="shared" si="13"/>
        <v>1.8289522269878682E-3</v>
      </c>
      <c r="O199" s="5">
        <v>44763</v>
      </c>
      <c r="P199">
        <f t="shared" si="15"/>
        <v>1.0006533557135375</v>
      </c>
      <c r="Q199" s="6">
        <f t="shared" si="16"/>
        <v>0.99991000809927111</v>
      </c>
      <c r="R199">
        <f t="shared" si="17"/>
        <v>7.4313831985741471E-4</v>
      </c>
      <c r="T199" s="5">
        <v>44763</v>
      </c>
      <c r="U199" s="1">
        <v>7.4313831985741471E-4</v>
      </c>
    </row>
    <row r="200" spans="3:21" x14ac:dyDescent="0.2">
      <c r="C200" s="5">
        <v>44764</v>
      </c>
      <c r="D200" s="6">
        <v>0.99995000000000001</v>
      </c>
      <c r="E200" s="6">
        <v>22681.65</v>
      </c>
      <c r="F200" s="6">
        <v>22675</v>
      </c>
      <c r="G200" s="6">
        <v>22720.58</v>
      </c>
      <c r="H200" s="6">
        <v>22669.5</v>
      </c>
      <c r="I200" s="5">
        <v>44764</v>
      </c>
      <c r="J200" s="7">
        <f t="shared" si="14"/>
        <v>-5.3567531462664548E-4</v>
      </c>
      <c r="K200" s="5">
        <v>44764</v>
      </c>
      <c r="L200" s="8">
        <f t="shared" si="12"/>
        <v>2.0101433296582909E-3</v>
      </c>
      <c r="M200" s="5">
        <v>44764</v>
      </c>
      <c r="N200" s="9">
        <f t="shared" si="13"/>
        <v>1.4744680150316455E-3</v>
      </c>
      <c r="O200" s="5">
        <v>44764</v>
      </c>
      <c r="P200">
        <f t="shared" si="15"/>
        <v>0.99775181795535139</v>
      </c>
      <c r="Q200" s="6">
        <f t="shared" si="16"/>
        <v>1.0000500025001251</v>
      </c>
      <c r="R200">
        <f t="shared" si="17"/>
        <v>-2.3007142500203908E-3</v>
      </c>
      <c r="T200" s="5">
        <v>44764</v>
      </c>
      <c r="U200" s="1">
        <v>-2.3007142500203908E-3</v>
      </c>
    </row>
    <row r="201" spans="3:21" x14ac:dyDescent="0.2">
      <c r="C201" s="5">
        <v>44765</v>
      </c>
      <c r="D201" s="6">
        <v>1.00031</v>
      </c>
      <c r="E201" s="6">
        <v>22455.01</v>
      </c>
      <c r="F201" s="6">
        <v>22432.5</v>
      </c>
      <c r="G201" s="6">
        <v>22474.41</v>
      </c>
      <c r="H201" s="6">
        <v>22434.5</v>
      </c>
      <c r="I201" s="5">
        <v>44765</v>
      </c>
      <c r="J201" s="7">
        <f t="shared" si="14"/>
        <v>-9.133819134348371E-4</v>
      </c>
      <c r="K201" s="5">
        <v>44765</v>
      </c>
      <c r="L201" s="8">
        <f t="shared" si="12"/>
        <v>1.8682714811099901E-3</v>
      </c>
      <c r="M201" s="5">
        <v>44765</v>
      </c>
      <c r="N201" s="9">
        <f t="shared" si="13"/>
        <v>9.5488956767515298E-4</v>
      </c>
      <c r="O201" s="5">
        <v>44765</v>
      </c>
      <c r="P201">
        <f t="shared" si="15"/>
        <v>0.99822420254858746</v>
      </c>
      <c r="Q201" s="6">
        <f t="shared" si="16"/>
        <v>0.99969009607021819</v>
      </c>
      <c r="R201">
        <f t="shared" si="17"/>
        <v>-1.4674240889016961E-3</v>
      </c>
      <c r="T201" s="5">
        <v>44765</v>
      </c>
      <c r="U201" s="1">
        <v>-1.4674240889016961E-3</v>
      </c>
    </row>
    <row r="202" spans="3:21" x14ac:dyDescent="0.2">
      <c r="C202" s="5">
        <v>44766</v>
      </c>
      <c r="D202" s="6">
        <v>1.0001500000000001</v>
      </c>
      <c r="E202" s="6">
        <v>22586.06</v>
      </c>
      <c r="F202" s="6">
        <v>22566.5</v>
      </c>
      <c r="G202" s="6">
        <v>22589.52</v>
      </c>
      <c r="H202" s="6">
        <v>22558</v>
      </c>
      <c r="I202" s="5">
        <v>44766</v>
      </c>
      <c r="J202" s="7">
        <f t="shared" si="14"/>
        <v>-1.2423592251150182E-3</v>
      </c>
      <c r="K202" s="5">
        <v>44766</v>
      </c>
      <c r="L202" s="8">
        <f t="shared" si="12"/>
        <v>1.0200961602375397E-3</v>
      </c>
      <c r="M202" s="5">
        <v>44766</v>
      </c>
      <c r="N202" s="9">
        <f t="shared" si="13"/>
        <v>-2.2226306487747849E-4</v>
      </c>
      <c r="O202" s="5">
        <v>44766</v>
      </c>
      <c r="P202">
        <f t="shared" si="15"/>
        <v>0.99860466269314263</v>
      </c>
      <c r="Q202" s="6">
        <f t="shared" si="16"/>
        <v>0.99985002249662536</v>
      </c>
      <c r="R202">
        <f t="shared" si="17"/>
        <v>-1.2463229453392121E-3</v>
      </c>
      <c r="T202" s="5">
        <v>44766</v>
      </c>
      <c r="U202" s="1">
        <v>-1.2463229453392121E-3</v>
      </c>
    </row>
    <row r="203" spans="3:21" x14ac:dyDescent="0.2">
      <c r="C203" s="5">
        <v>44767</v>
      </c>
      <c r="D203" s="6">
        <v>1.00003</v>
      </c>
      <c r="E203" s="6">
        <v>21296.79</v>
      </c>
      <c r="F203" s="6">
        <v>21301</v>
      </c>
      <c r="G203" s="6">
        <v>21323.81</v>
      </c>
      <c r="H203" s="6">
        <v>21272.5</v>
      </c>
      <c r="I203" s="5">
        <v>44767</v>
      </c>
      <c r="J203" s="7">
        <f t="shared" si="14"/>
        <v>-1.1405474721777728E-3</v>
      </c>
      <c r="K203" s="5">
        <v>44767</v>
      </c>
      <c r="L203" s="8">
        <f t="shared" ref="L203:L266" si="18">(G203-F203)/F203</f>
        <v>1.0708417445190982E-3</v>
      </c>
      <c r="M203" s="5">
        <v>44767</v>
      </c>
      <c r="N203" s="9">
        <f t="shared" ref="N203:N266" si="19">J203+L203</f>
        <v>-6.9705727658674619E-5</v>
      </c>
      <c r="O203" s="5">
        <v>44767</v>
      </c>
      <c r="P203">
        <f t="shared" si="15"/>
        <v>0.99759376959370771</v>
      </c>
      <c r="Q203" s="6">
        <f t="shared" si="16"/>
        <v>0.99997000089997301</v>
      </c>
      <c r="R203">
        <f t="shared" si="17"/>
        <v>-2.3791304810448469E-3</v>
      </c>
      <c r="T203" s="5">
        <v>44767</v>
      </c>
      <c r="U203" s="1">
        <v>-2.3791304810448469E-3</v>
      </c>
    </row>
    <row r="204" spans="3:21" x14ac:dyDescent="0.2">
      <c r="C204" s="5">
        <v>44768</v>
      </c>
      <c r="D204" s="6">
        <v>1.0003200000000001</v>
      </c>
      <c r="E204" s="6">
        <v>21257.58</v>
      </c>
      <c r="F204" s="6">
        <v>21237</v>
      </c>
      <c r="G204" s="6">
        <v>21262.14</v>
      </c>
      <c r="H204" s="6">
        <v>21219.5</v>
      </c>
      <c r="I204" s="5">
        <v>44768</v>
      </c>
      <c r="J204" s="7">
        <f t="shared" ref="J204:J267" si="20">(H204-E204)/E204</f>
        <v>-1.7913610109900442E-3</v>
      </c>
      <c r="K204" s="5">
        <v>44768</v>
      </c>
      <c r="L204" s="8">
        <f t="shared" si="18"/>
        <v>1.1837830202005659E-3</v>
      </c>
      <c r="M204" s="5">
        <v>44768</v>
      </c>
      <c r="N204" s="9">
        <f t="shared" si="19"/>
        <v>-6.0757799078947823E-4</v>
      </c>
      <c r="O204" s="5">
        <v>44768</v>
      </c>
      <c r="P204">
        <f t="shared" ref="P204:P267" si="21">(1/G204)*H204</f>
        <v>0.99799455746223098</v>
      </c>
      <c r="Q204" s="6">
        <f t="shared" ref="Q204:Q267" si="22">1/D204</f>
        <v>0.99968010236724236</v>
      </c>
      <c r="R204">
        <f t="shared" ref="R204:R267" si="23">LN(P204/Q204)</f>
        <v>-1.6875073192813401E-3</v>
      </c>
      <c r="T204" s="5">
        <v>44768</v>
      </c>
      <c r="U204" s="1">
        <v>-1.6875073192813401E-3</v>
      </c>
    </row>
    <row r="205" spans="3:21" x14ac:dyDescent="0.2">
      <c r="C205" s="5">
        <v>44769</v>
      </c>
      <c r="D205" s="6">
        <v>1.00044</v>
      </c>
      <c r="E205" s="6">
        <v>22966.23</v>
      </c>
      <c r="F205" s="6">
        <v>22949.5</v>
      </c>
      <c r="G205" s="6">
        <v>22948.19</v>
      </c>
      <c r="H205" s="6">
        <v>22934.5</v>
      </c>
      <c r="I205" s="5">
        <v>44769</v>
      </c>
      <c r="J205" s="7">
        <f t="shared" si="20"/>
        <v>-1.3815937574429744E-3</v>
      </c>
      <c r="K205" s="5">
        <v>44769</v>
      </c>
      <c r="L205" s="8">
        <f t="shared" si="18"/>
        <v>-5.7081853635212516E-5</v>
      </c>
      <c r="M205" s="5">
        <v>44769</v>
      </c>
      <c r="N205" s="9">
        <f t="shared" si="19"/>
        <v>-1.4386756110781869E-3</v>
      </c>
      <c r="O205" s="5">
        <v>44769</v>
      </c>
      <c r="P205">
        <f t="shared" si="21"/>
        <v>0.99940343878972604</v>
      </c>
      <c r="Q205" s="6">
        <f t="shared" si="22"/>
        <v>0.99956019351485348</v>
      </c>
      <c r="R205">
        <f t="shared" si="23"/>
        <v>-1.5683599532826487E-4</v>
      </c>
      <c r="T205" s="5">
        <v>44769</v>
      </c>
      <c r="U205" s="1">
        <v>-1.5683599532826487E-4</v>
      </c>
    </row>
    <row r="206" spans="3:21" x14ac:dyDescent="0.2">
      <c r="C206" s="5">
        <v>44770</v>
      </c>
      <c r="D206" s="6">
        <v>1.0004999999999999</v>
      </c>
      <c r="E206" s="6">
        <v>23853.98</v>
      </c>
      <c r="F206" s="6">
        <v>23837</v>
      </c>
      <c r="G206" s="6">
        <v>23844.9</v>
      </c>
      <c r="H206" s="6">
        <v>23862.5</v>
      </c>
      <c r="I206" s="5">
        <v>44770</v>
      </c>
      <c r="J206" s="7">
        <f t="shared" si="20"/>
        <v>3.5717310067336506E-4</v>
      </c>
      <c r="K206" s="5">
        <v>44770</v>
      </c>
      <c r="L206" s="8">
        <f t="shared" si="18"/>
        <v>3.3141754415410727E-4</v>
      </c>
      <c r="M206" s="5">
        <v>44770</v>
      </c>
      <c r="N206" s="9">
        <f t="shared" si="19"/>
        <v>6.8859064482747233E-4</v>
      </c>
      <c r="O206" s="5">
        <v>44770</v>
      </c>
      <c r="P206">
        <f t="shared" si="21"/>
        <v>1.000738103326078</v>
      </c>
      <c r="Q206" s="6">
        <f t="shared" si="22"/>
        <v>0.99950024987506247</v>
      </c>
      <c r="R206">
        <f t="shared" si="23"/>
        <v>1.2377061034335717E-3</v>
      </c>
      <c r="T206" s="5">
        <v>44770</v>
      </c>
      <c r="U206" s="1">
        <v>1.2377061034335717E-3</v>
      </c>
    </row>
    <row r="207" spans="3:21" x14ac:dyDescent="0.2">
      <c r="C207" s="5">
        <v>44771</v>
      </c>
      <c r="D207" s="6">
        <v>1.0001599999999999</v>
      </c>
      <c r="E207" s="6">
        <v>23758.73</v>
      </c>
      <c r="F207" s="6">
        <v>23769.5</v>
      </c>
      <c r="G207" s="6">
        <v>23782.880000000001</v>
      </c>
      <c r="H207" s="6">
        <v>23777</v>
      </c>
      <c r="I207" s="5">
        <v>44771</v>
      </c>
      <c r="J207" s="7">
        <f t="shared" si="20"/>
        <v>7.6898049685317508E-4</v>
      </c>
      <c r="K207" s="5">
        <v>44771</v>
      </c>
      <c r="L207" s="8">
        <f t="shared" si="18"/>
        <v>5.6290624539855776E-4</v>
      </c>
      <c r="M207" s="5">
        <v>44771</v>
      </c>
      <c r="N207" s="9">
        <f t="shared" si="19"/>
        <v>1.3318867422517327E-3</v>
      </c>
      <c r="O207" s="5">
        <v>44771</v>
      </c>
      <c r="P207">
        <f t="shared" si="21"/>
        <v>0.99975276333227936</v>
      </c>
      <c r="Q207" s="6">
        <f t="shared" si="22"/>
        <v>0.99984002559590468</v>
      </c>
      <c r="R207">
        <f t="shared" si="23"/>
        <v>-8.7280034378851916E-5</v>
      </c>
      <c r="T207" s="5">
        <v>44771</v>
      </c>
      <c r="U207" s="1">
        <v>-8.7280034378851916E-5</v>
      </c>
    </row>
    <row r="208" spans="3:21" x14ac:dyDescent="0.2">
      <c r="C208" s="5">
        <v>44772</v>
      </c>
      <c r="D208" s="6">
        <v>0.99999000000000005</v>
      </c>
      <c r="E208" s="6">
        <v>23635.55</v>
      </c>
      <c r="F208" s="6">
        <v>23645</v>
      </c>
      <c r="G208" s="6">
        <v>23691.49</v>
      </c>
      <c r="H208" s="6">
        <v>23627</v>
      </c>
      <c r="I208" s="5">
        <v>44772</v>
      </c>
      <c r="J208" s="7">
        <f t="shared" si="20"/>
        <v>-3.6174322154548013E-4</v>
      </c>
      <c r="K208" s="5">
        <v>44772</v>
      </c>
      <c r="L208" s="8">
        <f t="shared" si="18"/>
        <v>1.9661662085008079E-3</v>
      </c>
      <c r="M208" s="5">
        <v>44772</v>
      </c>
      <c r="N208" s="9">
        <f t="shared" si="19"/>
        <v>1.6044229869553277E-3</v>
      </c>
      <c r="O208" s="5">
        <v>44772</v>
      </c>
      <c r="P208">
        <f t="shared" si="21"/>
        <v>0.99727792553359862</v>
      </c>
      <c r="Q208" s="6">
        <f t="shared" si="22"/>
        <v>1.000010000100001</v>
      </c>
      <c r="R208">
        <f t="shared" si="23"/>
        <v>-2.735786098099931E-3</v>
      </c>
      <c r="T208" s="5">
        <v>44772</v>
      </c>
      <c r="U208" s="1">
        <v>-2.735786098099931E-3</v>
      </c>
    </row>
    <row r="209" spans="3:21" x14ac:dyDescent="0.2">
      <c r="C209" s="5">
        <v>44773</v>
      </c>
      <c r="D209" s="6">
        <v>0.99975999999999998</v>
      </c>
      <c r="E209" s="6">
        <v>23317.439999999999</v>
      </c>
      <c r="F209" s="6">
        <v>23301</v>
      </c>
      <c r="G209" s="6">
        <v>23334.94</v>
      </c>
      <c r="H209" s="6">
        <v>23320.5</v>
      </c>
      <c r="I209" s="5">
        <v>44773</v>
      </c>
      <c r="J209" s="7">
        <f t="shared" si="20"/>
        <v>1.3123224504925539E-4</v>
      </c>
      <c r="K209" s="5">
        <v>44773</v>
      </c>
      <c r="L209" s="8">
        <f t="shared" si="18"/>
        <v>1.4565898459293031E-3</v>
      </c>
      <c r="M209" s="5">
        <v>44773</v>
      </c>
      <c r="N209" s="9">
        <f t="shared" si="19"/>
        <v>1.5878220909785585E-3</v>
      </c>
      <c r="O209" s="5">
        <v>44773</v>
      </c>
      <c r="P209">
        <f t="shared" si="21"/>
        <v>0.99938118546694354</v>
      </c>
      <c r="Q209" s="6">
        <f t="shared" si="22"/>
        <v>1.0002400576138273</v>
      </c>
      <c r="R209">
        <f t="shared" si="23"/>
        <v>-8.5903488240289983E-4</v>
      </c>
      <c r="T209" s="5">
        <v>44773</v>
      </c>
      <c r="U209" s="1">
        <v>-8.5903488240289983E-4</v>
      </c>
    </row>
    <row r="210" spans="3:21" x14ac:dyDescent="0.2">
      <c r="C210" s="5">
        <v>44774</v>
      </c>
      <c r="D210" s="6">
        <v>0.99970000000000003</v>
      </c>
      <c r="E210" s="6">
        <v>23323.87</v>
      </c>
      <c r="F210" s="6">
        <v>23259</v>
      </c>
      <c r="G210" s="6">
        <v>23291.16</v>
      </c>
      <c r="H210" s="6">
        <v>23269</v>
      </c>
      <c r="I210" s="5">
        <v>44774</v>
      </c>
      <c r="J210" s="7">
        <f t="shared" si="20"/>
        <v>-2.3525255457177126E-3</v>
      </c>
      <c r="K210" s="5">
        <v>44774</v>
      </c>
      <c r="L210" s="8">
        <f t="shared" si="18"/>
        <v>1.382690571391713E-3</v>
      </c>
      <c r="M210" s="5">
        <v>44774</v>
      </c>
      <c r="N210" s="9">
        <f t="shared" si="19"/>
        <v>-9.6983497432599959E-4</v>
      </c>
      <c r="O210" s="5">
        <v>44774</v>
      </c>
      <c r="P210">
        <f t="shared" si="21"/>
        <v>0.99904856606540859</v>
      </c>
      <c r="Q210" s="6">
        <f t="shared" si="22"/>
        <v>1.000300090027008</v>
      </c>
      <c r="R210">
        <f t="shared" si="23"/>
        <v>-1.2519318441521034E-3</v>
      </c>
      <c r="T210" s="5">
        <v>44774</v>
      </c>
      <c r="U210" s="1">
        <v>-1.2519318441521034E-3</v>
      </c>
    </row>
    <row r="211" spans="3:21" x14ac:dyDescent="0.2">
      <c r="C211" s="5">
        <v>44775</v>
      </c>
      <c r="D211" s="6">
        <v>0.99972000000000005</v>
      </c>
      <c r="E211" s="6">
        <v>22993.29</v>
      </c>
      <c r="F211" s="6">
        <v>22972.5</v>
      </c>
      <c r="G211" s="6">
        <v>22988.01</v>
      </c>
      <c r="H211" s="6">
        <v>22971</v>
      </c>
      <c r="I211" s="5">
        <v>44775</v>
      </c>
      <c r="J211" s="7">
        <f t="shared" si="20"/>
        <v>-9.6941325056139739E-4</v>
      </c>
      <c r="K211" s="5">
        <v>44775</v>
      </c>
      <c r="L211" s="8">
        <f t="shared" si="18"/>
        <v>6.7515507672209817E-4</v>
      </c>
      <c r="M211" s="5">
        <v>44775</v>
      </c>
      <c r="N211" s="9">
        <f t="shared" si="19"/>
        <v>-2.9425817383929923E-4</v>
      </c>
      <c r="O211" s="5">
        <v>44775</v>
      </c>
      <c r="P211">
        <f t="shared" si="21"/>
        <v>0.99926004904295762</v>
      </c>
      <c r="Q211" s="6">
        <f t="shared" si="22"/>
        <v>1.0002800784219581</v>
      </c>
      <c r="R211">
        <f t="shared" si="23"/>
        <v>-1.0202640631934658E-3</v>
      </c>
      <c r="T211" s="5">
        <v>44775</v>
      </c>
      <c r="U211" s="1">
        <v>-1.0202640631934658E-3</v>
      </c>
    </row>
    <row r="212" spans="3:21" x14ac:dyDescent="0.2">
      <c r="C212" s="5">
        <v>44776</v>
      </c>
      <c r="D212" s="6">
        <v>1.0000199999999999</v>
      </c>
      <c r="E212" s="6">
        <v>22832.880000000001</v>
      </c>
      <c r="F212" s="6">
        <v>22814.5</v>
      </c>
      <c r="G212" s="6">
        <v>22847.93</v>
      </c>
      <c r="H212" s="6">
        <v>22833.5</v>
      </c>
      <c r="I212" s="5">
        <v>44776</v>
      </c>
      <c r="J212" s="7">
        <f t="shared" si="20"/>
        <v>2.7153823783902047E-5</v>
      </c>
      <c r="K212" s="5">
        <v>44776</v>
      </c>
      <c r="L212" s="8">
        <f t="shared" si="18"/>
        <v>1.4652961932104711E-3</v>
      </c>
      <c r="M212" s="5">
        <v>44776</v>
      </c>
      <c r="N212" s="9">
        <f t="shared" si="19"/>
        <v>1.4924500169943731E-3</v>
      </c>
      <c r="O212" s="5">
        <v>44776</v>
      </c>
      <c r="P212">
        <f t="shared" si="21"/>
        <v>0.99936843293900146</v>
      </c>
      <c r="Q212" s="6">
        <f t="shared" si="22"/>
        <v>0.99998000039999213</v>
      </c>
      <c r="R212">
        <f t="shared" si="23"/>
        <v>-6.1176678348462974E-4</v>
      </c>
      <c r="T212" s="5">
        <v>44776</v>
      </c>
      <c r="U212" s="1">
        <v>-6.1176678348462974E-4</v>
      </c>
    </row>
    <row r="213" spans="3:21" x14ac:dyDescent="0.2">
      <c r="C213" s="5">
        <v>44777</v>
      </c>
      <c r="D213" s="6">
        <v>0.99978</v>
      </c>
      <c r="E213" s="6">
        <v>22614</v>
      </c>
      <c r="F213" s="6">
        <v>22611</v>
      </c>
      <c r="G213" s="6">
        <v>22685.67</v>
      </c>
      <c r="H213" s="6">
        <v>22632.5</v>
      </c>
      <c r="I213" s="5">
        <v>44777</v>
      </c>
      <c r="J213" s="7">
        <f t="shared" si="20"/>
        <v>8.1807729724949147E-4</v>
      </c>
      <c r="K213" s="5">
        <v>44777</v>
      </c>
      <c r="L213" s="8">
        <f t="shared" si="18"/>
        <v>3.3023749502453783E-3</v>
      </c>
      <c r="M213" s="5">
        <v>44777</v>
      </c>
      <c r="N213" s="9">
        <f t="shared" si="19"/>
        <v>4.1204522474948702E-3</v>
      </c>
      <c r="O213" s="5">
        <v>44777</v>
      </c>
      <c r="P213">
        <f t="shared" si="21"/>
        <v>0.99765622968155676</v>
      </c>
      <c r="Q213" s="6">
        <f t="shared" si="22"/>
        <v>1.0002200484106503</v>
      </c>
      <c r="R213">
        <f t="shared" si="23"/>
        <v>-2.5665454508500842E-3</v>
      </c>
      <c r="T213" s="5">
        <v>44777</v>
      </c>
      <c r="U213" s="1">
        <v>-2.5665454508500842E-3</v>
      </c>
    </row>
    <row r="214" spans="3:21" x14ac:dyDescent="0.2">
      <c r="C214" s="5">
        <v>44778</v>
      </c>
      <c r="D214" s="6">
        <v>0.99988999999999995</v>
      </c>
      <c r="E214" s="6">
        <v>23307.95</v>
      </c>
      <c r="F214" s="6">
        <v>23302.5</v>
      </c>
      <c r="G214" s="6">
        <v>23327.040000000001</v>
      </c>
      <c r="H214" s="6">
        <v>23310</v>
      </c>
      <c r="I214" s="5">
        <v>44778</v>
      </c>
      <c r="J214" s="7">
        <f t="shared" si="20"/>
        <v>8.7952822963807304E-5</v>
      </c>
      <c r="K214" s="5">
        <v>44778</v>
      </c>
      <c r="L214" s="8">
        <f t="shared" si="18"/>
        <v>1.0531058899260111E-3</v>
      </c>
      <c r="M214" s="5">
        <v>44778</v>
      </c>
      <c r="N214" s="9">
        <f t="shared" si="19"/>
        <v>1.1410587128898183E-3</v>
      </c>
      <c r="O214" s="5">
        <v>44778</v>
      </c>
      <c r="P214">
        <f t="shared" si="21"/>
        <v>0.99926951726408497</v>
      </c>
      <c r="Q214" s="6">
        <f t="shared" si="22"/>
        <v>1.0001100121013311</v>
      </c>
      <c r="R214">
        <f t="shared" si="23"/>
        <v>-8.4075571887338811E-4</v>
      </c>
      <c r="T214" s="5">
        <v>44778</v>
      </c>
      <c r="U214" s="1">
        <v>-8.4075571887338811E-4</v>
      </c>
    </row>
    <row r="215" spans="3:21" x14ac:dyDescent="0.2">
      <c r="C215" s="5">
        <v>44779</v>
      </c>
      <c r="D215" s="6">
        <v>0.99977000000000005</v>
      </c>
      <c r="E215" s="6">
        <v>22944.48</v>
      </c>
      <c r="F215" s="6">
        <v>22949.5</v>
      </c>
      <c r="G215" s="6">
        <v>22960.37</v>
      </c>
      <c r="H215" s="6">
        <v>22981.5</v>
      </c>
      <c r="I215" s="5">
        <v>44779</v>
      </c>
      <c r="J215" s="7">
        <f t="shared" si="20"/>
        <v>1.613459969456725E-3</v>
      </c>
      <c r="K215" s="5">
        <v>44779</v>
      </c>
      <c r="L215" s="8">
        <f t="shared" si="18"/>
        <v>4.7364866336952794E-4</v>
      </c>
      <c r="M215" s="5">
        <v>44779</v>
      </c>
      <c r="N215" s="9">
        <f t="shared" si="19"/>
        <v>2.0871086328262531E-3</v>
      </c>
      <c r="O215" s="5">
        <v>44779</v>
      </c>
      <c r="P215">
        <f t="shared" si="21"/>
        <v>1.0009202813369298</v>
      </c>
      <c r="Q215" s="6">
        <f t="shared" si="22"/>
        <v>1.0002300529121697</v>
      </c>
      <c r="R215">
        <f t="shared" si="23"/>
        <v>6.8983168362554757E-4</v>
      </c>
      <c r="T215" s="5">
        <v>44779</v>
      </c>
      <c r="U215" s="1">
        <v>6.8983168362554757E-4</v>
      </c>
    </row>
    <row r="216" spans="3:21" x14ac:dyDescent="0.2">
      <c r="C216" s="5">
        <v>44780</v>
      </c>
      <c r="D216" s="6">
        <v>1</v>
      </c>
      <c r="E216" s="6">
        <v>23171.74</v>
      </c>
      <c r="F216" s="6">
        <v>23166</v>
      </c>
      <c r="G216" s="6">
        <v>23186.63</v>
      </c>
      <c r="H216" s="6">
        <v>23163.5</v>
      </c>
      <c r="I216" s="5">
        <v>44780</v>
      </c>
      <c r="J216" s="7">
        <f t="shared" si="20"/>
        <v>-3.5560557817417249E-4</v>
      </c>
      <c r="K216" s="5">
        <v>44780</v>
      </c>
      <c r="L216" s="8">
        <f t="shared" si="18"/>
        <v>8.9052922386260113E-4</v>
      </c>
      <c r="M216" s="5">
        <v>44780</v>
      </c>
      <c r="N216" s="9">
        <f t="shared" si="19"/>
        <v>5.3492364568842859E-4</v>
      </c>
      <c r="O216" s="5">
        <v>44780</v>
      </c>
      <c r="P216">
        <f t="shared" si="21"/>
        <v>0.99900244235578861</v>
      </c>
      <c r="Q216" s="6">
        <f t="shared" si="22"/>
        <v>1</v>
      </c>
      <c r="R216">
        <f t="shared" si="23"/>
        <v>-9.9805553598285301E-4</v>
      </c>
      <c r="T216" s="5">
        <v>44780</v>
      </c>
      <c r="U216" s="1">
        <v>-9.9805553598285301E-4</v>
      </c>
    </row>
    <row r="217" spans="3:21" x14ac:dyDescent="0.2">
      <c r="C217" s="5">
        <v>44781</v>
      </c>
      <c r="D217" s="6">
        <v>0.99960000000000004</v>
      </c>
      <c r="E217" s="6">
        <v>23776.06</v>
      </c>
      <c r="F217" s="6">
        <v>23807.5</v>
      </c>
      <c r="G217" s="6">
        <v>23845.33</v>
      </c>
      <c r="H217" s="6">
        <v>23799.5</v>
      </c>
      <c r="I217" s="5">
        <v>44781</v>
      </c>
      <c r="J217" s="7">
        <f t="shared" si="20"/>
        <v>9.8586561440367707E-4</v>
      </c>
      <c r="K217" s="5">
        <v>44781</v>
      </c>
      <c r="L217" s="8">
        <f t="shared" si="18"/>
        <v>1.5889950645805626E-3</v>
      </c>
      <c r="M217" s="5">
        <v>44781</v>
      </c>
      <c r="N217" s="9">
        <f t="shared" si="19"/>
        <v>2.5748606789842395E-3</v>
      </c>
      <c r="O217" s="5">
        <v>44781</v>
      </c>
      <c r="P217">
        <f t="shared" si="21"/>
        <v>0.99807803037324283</v>
      </c>
      <c r="Q217" s="6">
        <f t="shared" si="22"/>
        <v>1.0004001600640255</v>
      </c>
      <c r="R217">
        <f t="shared" si="23"/>
        <v>-2.3238990017008239E-3</v>
      </c>
      <c r="T217" s="5">
        <v>44781</v>
      </c>
      <c r="U217" s="1">
        <v>-2.3238990017008239E-3</v>
      </c>
    </row>
    <row r="218" spans="3:21" x14ac:dyDescent="0.2">
      <c r="C218" s="5">
        <v>44782</v>
      </c>
      <c r="D218" s="6">
        <v>1.0000800000000001</v>
      </c>
      <c r="E218" s="6">
        <v>23147.05</v>
      </c>
      <c r="F218" s="6">
        <v>23139.5</v>
      </c>
      <c r="G218" s="6">
        <v>23183.91</v>
      </c>
      <c r="H218" s="6">
        <v>23135.5</v>
      </c>
      <c r="I218" s="5">
        <v>44782</v>
      </c>
      <c r="J218" s="7">
        <f t="shared" si="20"/>
        <v>-4.9898367178535807E-4</v>
      </c>
      <c r="K218" s="5">
        <v>44782</v>
      </c>
      <c r="L218" s="8">
        <f t="shared" si="18"/>
        <v>1.9192290239633464E-3</v>
      </c>
      <c r="M218" s="5">
        <v>44782</v>
      </c>
      <c r="N218" s="9">
        <f t="shared" si="19"/>
        <v>1.4202453521779883E-3</v>
      </c>
      <c r="O218" s="5">
        <v>44782</v>
      </c>
      <c r="P218">
        <f t="shared" si="21"/>
        <v>0.9979119139092586</v>
      </c>
      <c r="Q218" s="6">
        <f t="shared" si="22"/>
        <v>0.99992000639948797</v>
      </c>
      <c r="R218">
        <f t="shared" si="23"/>
        <v>-2.0102723818496561E-3</v>
      </c>
      <c r="T218" s="5">
        <v>44782</v>
      </c>
      <c r="U218" s="1">
        <v>-2.0102723818496561E-3</v>
      </c>
    </row>
    <row r="219" spans="3:21" x14ac:dyDescent="0.2">
      <c r="C219" s="5">
        <v>44783</v>
      </c>
      <c r="D219" s="6">
        <v>0.99983</v>
      </c>
      <c r="E219" s="6">
        <v>23955.18</v>
      </c>
      <c r="F219" s="6">
        <v>23951.5</v>
      </c>
      <c r="G219" s="6">
        <v>23982.87</v>
      </c>
      <c r="H219" s="6">
        <v>23954.5</v>
      </c>
      <c r="I219" s="5">
        <v>44783</v>
      </c>
      <c r="J219" s="7">
        <f t="shared" si="20"/>
        <v>-2.8386344832319816E-5</v>
      </c>
      <c r="K219" s="5">
        <v>44783</v>
      </c>
      <c r="L219" s="8">
        <f t="shared" si="18"/>
        <v>1.3097300795356858E-3</v>
      </c>
      <c r="M219" s="5">
        <v>44783</v>
      </c>
      <c r="N219" s="9">
        <f t="shared" si="19"/>
        <v>1.281343734703366E-3</v>
      </c>
      <c r="O219" s="5">
        <v>44783</v>
      </c>
      <c r="P219">
        <f t="shared" si="21"/>
        <v>0.99881707235205797</v>
      </c>
      <c r="Q219" s="6">
        <f t="shared" si="22"/>
        <v>1.0001700289049138</v>
      </c>
      <c r="R219">
        <f t="shared" si="23"/>
        <v>-1.3536423107439357E-3</v>
      </c>
      <c r="T219" s="5">
        <v>44783</v>
      </c>
      <c r="U219" s="1">
        <v>-1.3536423107439357E-3</v>
      </c>
    </row>
    <row r="220" spans="3:21" x14ac:dyDescent="0.2">
      <c r="C220" s="5">
        <v>44784</v>
      </c>
      <c r="D220" s="6">
        <v>0.99988999999999995</v>
      </c>
      <c r="E220" s="6">
        <v>23943.62</v>
      </c>
      <c r="F220" s="6">
        <v>23937.5</v>
      </c>
      <c r="G220" s="6">
        <v>23983.79</v>
      </c>
      <c r="H220" s="6">
        <v>23939</v>
      </c>
      <c r="I220" s="5">
        <v>44784</v>
      </c>
      <c r="J220" s="7">
        <f t="shared" si="20"/>
        <v>-1.9295327941217666E-4</v>
      </c>
      <c r="K220" s="5">
        <v>44784</v>
      </c>
      <c r="L220" s="8">
        <f t="shared" si="18"/>
        <v>1.9337859007833263E-3</v>
      </c>
      <c r="M220" s="5">
        <v>44784</v>
      </c>
      <c r="N220" s="9">
        <f t="shared" si="19"/>
        <v>1.7408326213711497E-3</v>
      </c>
      <c r="O220" s="5">
        <v>44784</v>
      </c>
      <c r="P220">
        <f t="shared" si="21"/>
        <v>0.99813248865171011</v>
      </c>
      <c r="Q220" s="6">
        <f t="shared" si="22"/>
        <v>1.0001100121013311</v>
      </c>
      <c r="R220">
        <f t="shared" si="23"/>
        <v>-1.9792633721402242E-3</v>
      </c>
      <c r="T220" s="5">
        <v>44784</v>
      </c>
      <c r="U220" s="1">
        <v>-1.9792633721402242E-3</v>
      </c>
    </row>
    <row r="221" spans="3:21" x14ac:dyDescent="0.2">
      <c r="C221" s="5">
        <v>44785</v>
      </c>
      <c r="D221" s="6">
        <v>1.00007</v>
      </c>
      <c r="E221" s="6">
        <v>24422.97</v>
      </c>
      <c r="F221" s="6">
        <v>24392</v>
      </c>
      <c r="G221" s="6">
        <v>24403.16</v>
      </c>
      <c r="H221" s="6">
        <v>24429.5</v>
      </c>
      <c r="I221" s="5">
        <v>44785</v>
      </c>
      <c r="J221" s="7">
        <f t="shared" si="20"/>
        <v>2.6737124927880742E-4</v>
      </c>
      <c r="K221" s="5">
        <v>44785</v>
      </c>
      <c r="L221" s="8">
        <f t="shared" si="18"/>
        <v>4.5752705805181428E-4</v>
      </c>
      <c r="M221" s="5">
        <v>44785</v>
      </c>
      <c r="N221" s="9">
        <f t="shared" si="19"/>
        <v>7.2489830733062175E-4</v>
      </c>
      <c r="O221" s="5">
        <v>44785</v>
      </c>
      <c r="P221">
        <f t="shared" si="21"/>
        <v>1.001079368409665</v>
      </c>
      <c r="Q221" s="6">
        <f t="shared" si="22"/>
        <v>0.999930004899657</v>
      </c>
      <c r="R221">
        <f t="shared" si="23"/>
        <v>1.1487838605262687E-3</v>
      </c>
      <c r="T221" s="5">
        <v>44785</v>
      </c>
      <c r="U221" s="1">
        <v>1.1487838605262687E-3</v>
      </c>
    </row>
    <row r="222" spans="3:21" x14ac:dyDescent="0.2">
      <c r="C222" s="5">
        <v>44786</v>
      </c>
      <c r="D222" s="6">
        <v>0.99985999999999997</v>
      </c>
      <c r="E222" s="6">
        <v>24457.83</v>
      </c>
      <c r="F222" s="6">
        <v>24421.5</v>
      </c>
      <c r="G222" s="6">
        <v>24463.77</v>
      </c>
      <c r="H222" s="6">
        <v>24453</v>
      </c>
      <c r="I222" s="5">
        <v>44786</v>
      </c>
      <c r="J222" s="7">
        <f t="shared" si="20"/>
        <v>-1.974827693217978E-4</v>
      </c>
      <c r="K222" s="5">
        <v>44786</v>
      </c>
      <c r="L222" s="8">
        <f t="shared" si="18"/>
        <v>1.7308519132731583E-3</v>
      </c>
      <c r="M222" s="5">
        <v>44786</v>
      </c>
      <c r="N222" s="9">
        <f t="shared" si="19"/>
        <v>1.5333691439513605E-3</v>
      </c>
      <c r="O222" s="5">
        <v>44786</v>
      </c>
      <c r="P222">
        <f t="shared" si="21"/>
        <v>0.99955975714290957</v>
      </c>
      <c r="Q222" s="6">
        <f t="shared" si="22"/>
        <v>1.0001400196027443</v>
      </c>
      <c r="R222">
        <f t="shared" si="23"/>
        <v>-5.8034959334291687E-4</v>
      </c>
      <c r="T222" s="5">
        <v>44786</v>
      </c>
      <c r="U222" s="1">
        <v>-5.8034959334291687E-4</v>
      </c>
    </row>
    <row r="223" spans="3:21" x14ac:dyDescent="0.2">
      <c r="C223" s="5">
        <v>44787</v>
      </c>
      <c r="D223" s="6">
        <v>1.0000599999999999</v>
      </c>
      <c r="E223" s="6">
        <v>24304.27</v>
      </c>
      <c r="F223" s="6">
        <v>24297.5</v>
      </c>
      <c r="G223" s="6">
        <v>24334.46</v>
      </c>
      <c r="H223" s="6">
        <v>24307.5</v>
      </c>
      <c r="I223" s="5">
        <v>44787</v>
      </c>
      <c r="J223" s="7">
        <f t="shared" si="20"/>
        <v>1.3289845776069651E-4</v>
      </c>
      <c r="K223" s="5">
        <v>44787</v>
      </c>
      <c r="L223" s="8">
        <f t="shared" si="18"/>
        <v>1.5211441506327453E-3</v>
      </c>
      <c r="M223" s="5">
        <v>44787</v>
      </c>
      <c r="N223" s="9">
        <f t="shared" si="19"/>
        <v>1.6540426083934418E-3</v>
      </c>
      <c r="O223" s="5">
        <v>44787</v>
      </c>
      <c r="P223">
        <f t="shared" si="21"/>
        <v>0.99889210609152612</v>
      </c>
      <c r="Q223" s="6">
        <f t="shared" si="22"/>
        <v>0.99994000359978408</v>
      </c>
      <c r="R223">
        <f t="shared" si="23"/>
        <v>-1.0485098765221112E-3</v>
      </c>
      <c r="T223" s="5">
        <v>44787</v>
      </c>
      <c r="U223" s="1">
        <v>-1.0485098765221112E-3</v>
      </c>
    </row>
    <row r="224" spans="3:21" x14ac:dyDescent="0.2">
      <c r="C224" s="5">
        <v>44788</v>
      </c>
      <c r="D224" s="6">
        <v>0.99982000000000004</v>
      </c>
      <c r="E224" s="6">
        <v>24097.42</v>
      </c>
      <c r="F224" s="6">
        <v>24076.5</v>
      </c>
      <c r="G224" s="6">
        <v>24097.37</v>
      </c>
      <c r="H224" s="6">
        <v>24083.5</v>
      </c>
      <c r="I224" s="5">
        <v>44788</v>
      </c>
      <c r="J224" s="7">
        <f t="shared" si="20"/>
        <v>-5.7765520126213743E-4</v>
      </c>
      <c r="K224" s="5">
        <v>44788</v>
      </c>
      <c r="L224" s="8">
        <f t="shared" si="18"/>
        <v>8.6682034348842154E-4</v>
      </c>
      <c r="M224" s="5">
        <v>44788</v>
      </c>
      <c r="N224" s="9">
        <f t="shared" si="19"/>
        <v>2.8916514222628411E-4</v>
      </c>
      <c r="O224" s="5">
        <v>44788</v>
      </c>
      <c r="P224">
        <f t="shared" si="21"/>
        <v>0.99942441851538155</v>
      </c>
      <c r="Q224" s="6">
        <f t="shared" si="22"/>
        <v>1.000180032405833</v>
      </c>
      <c r="R224">
        <f t="shared" si="23"/>
        <v>-7.5576339717501901E-4</v>
      </c>
      <c r="T224" s="5">
        <v>44788</v>
      </c>
      <c r="U224" s="1">
        <v>-7.5576339717501901E-4</v>
      </c>
    </row>
    <row r="225" spans="3:21" x14ac:dyDescent="0.2">
      <c r="C225" s="5">
        <v>44789</v>
      </c>
      <c r="D225" s="6">
        <v>0.99961999999999995</v>
      </c>
      <c r="E225" s="6">
        <v>23876.39</v>
      </c>
      <c r="F225" s="6">
        <v>23846.5</v>
      </c>
      <c r="G225" s="6">
        <v>23859.5</v>
      </c>
      <c r="H225" s="6">
        <v>23875.5</v>
      </c>
      <c r="I225" s="5">
        <v>44789</v>
      </c>
      <c r="J225" s="7">
        <f t="shared" si="20"/>
        <v>-3.7275316745932608E-5</v>
      </c>
      <c r="K225" s="5">
        <v>44789</v>
      </c>
      <c r="L225" s="8">
        <f t="shared" si="18"/>
        <v>5.4515337680582053E-4</v>
      </c>
      <c r="M225" s="5">
        <v>44789</v>
      </c>
      <c r="N225" s="9">
        <f t="shared" si="19"/>
        <v>5.0787806005988796E-4</v>
      </c>
      <c r="O225" s="5">
        <v>44789</v>
      </c>
      <c r="P225">
        <f t="shared" si="21"/>
        <v>1.0006705924264967</v>
      </c>
      <c r="Q225" s="6">
        <f t="shared" si="22"/>
        <v>1.000380144454893</v>
      </c>
      <c r="R225">
        <f t="shared" si="23"/>
        <v>2.9029546156946514E-4</v>
      </c>
      <c r="T225" s="5">
        <v>44789</v>
      </c>
      <c r="U225" s="1">
        <v>2.9029546156946514E-4</v>
      </c>
    </row>
    <row r="226" spans="3:21" x14ac:dyDescent="0.2">
      <c r="C226" s="5">
        <v>44790</v>
      </c>
      <c r="D226" s="6">
        <v>1.0000500000000001</v>
      </c>
      <c r="E226" s="6">
        <v>23327.59</v>
      </c>
      <c r="F226" s="6">
        <v>23319.5</v>
      </c>
      <c r="G226" s="6">
        <v>23356.880000000001</v>
      </c>
      <c r="H226" s="6">
        <v>23330.5</v>
      </c>
      <c r="I226" s="5">
        <v>44790</v>
      </c>
      <c r="J226" s="7">
        <f t="shared" si="20"/>
        <v>1.2474499080272991E-4</v>
      </c>
      <c r="K226" s="5">
        <v>44790</v>
      </c>
      <c r="L226" s="8">
        <f t="shared" si="18"/>
        <v>1.6029503205472252E-3</v>
      </c>
      <c r="M226" s="5">
        <v>44790</v>
      </c>
      <c r="N226" s="9">
        <f t="shared" si="19"/>
        <v>1.7276953113499552E-3</v>
      </c>
      <c r="O226" s="5">
        <v>44790</v>
      </c>
      <c r="P226">
        <f t="shared" si="21"/>
        <v>0.99887056832933152</v>
      </c>
      <c r="Q226" s="6">
        <f t="shared" si="22"/>
        <v>0.99995000249987487</v>
      </c>
      <c r="R226">
        <f t="shared" si="23"/>
        <v>-1.0800712092235488E-3</v>
      </c>
      <c r="T226" s="5">
        <v>44790</v>
      </c>
      <c r="U226" s="1">
        <v>-1.0800712092235488E-3</v>
      </c>
    </row>
    <row r="227" spans="3:21" x14ac:dyDescent="0.2">
      <c r="C227" s="5">
        <v>44791</v>
      </c>
      <c r="D227" s="6">
        <v>0.99990999999999997</v>
      </c>
      <c r="E227" s="6">
        <v>23194.53</v>
      </c>
      <c r="F227" s="6">
        <v>23183</v>
      </c>
      <c r="G227" s="6">
        <v>23198.85</v>
      </c>
      <c r="H227" s="6">
        <v>23191</v>
      </c>
      <c r="I227" s="5">
        <v>44791</v>
      </c>
      <c r="J227" s="7">
        <f t="shared" si="20"/>
        <v>-1.5219105539102695E-4</v>
      </c>
      <c r="K227" s="5">
        <v>44791</v>
      </c>
      <c r="L227" s="8">
        <f t="shared" si="18"/>
        <v>6.8369063537931007E-4</v>
      </c>
      <c r="M227" s="5">
        <v>44791</v>
      </c>
      <c r="N227" s="9">
        <f t="shared" si="19"/>
        <v>5.3149957998828315E-4</v>
      </c>
      <c r="O227" s="5">
        <v>44791</v>
      </c>
      <c r="P227">
        <f t="shared" si="21"/>
        <v>0.99966162115794543</v>
      </c>
      <c r="Q227" s="6">
        <f t="shared" si="22"/>
        <v>1.0000900081007291</v>
      </c>
      <c r="R227">
        <f t="shared" si="23"/>
        <v>-4.2844015533607352E-4</v>
      </c>
      <c r="T227" s="5">
        <v>44791</v>
      </c>
      <c r="U227" s="1">
        <v>-4.2844015533607352E-4</v>
      </c>
    </row>
    <row r="228" spans="3:21" x14ac:dyDescent="0.2">
      <c r="C228" s="5">
        <v>44792</v>
      </c>
      <c r="D228" s="6">
        <v>0.99997000000000003</v>
      </c>
      <c r="E228" s="6">
        <v>20839.96</v>
      </c>
      <c r="F228" s="6">
        <v>20812.5</v>
      </c>
      <c r="G228" s="6">
        <v>20838.25</v>
      </c>
      <c r="H228" s="6">
        <v>20833.5</v>
      </c>
      <c r="I228" s="5">
        <v>44792</v>
      </c>
      <c r="J228" s="7">
        <f t="shared" si="20"/>
        <v>-3.0998140111589118E-4</v>
      </c>
      <c r="K228" s="5">
        <v>44792</v>
      </c>
      <c r="L228" s="8">
        <f t="shared" si="18"/>
        <v>1.2372372372372372E-3</v>
      </c>
      <c r="M228" s="5">
        <v>44792</v>
      </c>
      <c r="N228" s="9">
        <f t="shared" si="19"/>
        <v>9.2725583612134608E-4</v>
      </c>
      <c r="O228" s="5">
        <v>44792</v>
      </c>
      <c r="P228">
        <f t="shared" si="21"/>
        <v>0.99977205379530421</v>
      </c>
      <c r="Q228" s="6">
        <f t="shared" si="22"/>
        <v>1.0000300009000269</v>
      </c>
      <c r="R228">
        <f t="shared" si="23"/>
        <v>-2.5797263838950047E-4</v>
      </c>
      <c r="T228" s="5">
        <v>44792</v>
      </c>
      <c r="U228" s="1">
        <v>-2.5797263838950047E-4</v>
      </c>
    </row>
    <row r="229" spans="3:21" x14ac:dyDescent="0.2">
      <c r="C229" s="5">
        <v>44793</v>
      </c>
      <c r="D229" s="6">
        <v>0.99936999999999998</v>
      </c>
      <c r="E229" s="6">
        <v>21162.39</v>
      </c>
      <c r="F229" s="6">
        <v>21127</v>
      </c>
      <c r="G229" s="6">
        <v>21155.79</v>
      </c>
      <c r="H229" s="6">
        <v>21124</v>
      </c>
      <c r="I229" s="5">
        <v>44793</v>
      </c>
      <c r="J229" s="7">
        <f t="shared" si="20"/>
        <v>-1.8140673147030849E-3</v>
      </c>
      <c r="K229" s="5">
        <v>44793</v>
      </c>
      <c r="L229" s="8">
        <f t="shared" si="18"/>
        <v>1.3627112226061852E-3</v>
      </c>
      <c r="M229" s="5">
        <v>44793</v>
      </c>
      <c r="N229" s="9">
        <f t="shared" si="19"/>
        <v>-4.5135609209689975E-4</v>
      </c>
      <c r="O229" s="5">
        <v>44793</v>
      </c>
      <c r="P229">
        <f t="shared" si="21"/>
        <v>0.99849733808096974</v>
      </c>
      <c r="Q229" s="6">
        <f t="shared" si="22"/>
        <v>1.0006303971502046</v>
      </c>
      <c r="R229">
        <f t="shared" si="23"/>
        <v>-2.1339905811162334E-3</v>
      </c>
      <c r="T229" s="5">
        <v>44793</v>
      </c>
      <c r="U229" s="1">
        <v>-2.1339905811162334E-3</v>
      </c>
    </row>
    <row r="230" spans="3:21" x14ac:dyDescent="0.2">
      <c r="C230" s="5">
        <v>44794</v>
      </c>
      <c r="D230" s="6">
        <v>0.99936999999999998</v>
      </c>
      <c r="E230" s="6">
        <v>21515.82</v>
      </c>
      <c r="F230" s="6">
        <v>21508.5</v>
      </c>
      <c r="G230" s="6">
        <v>21556.65</v>
      </c>
      <c r="H230" s="6">
        <v>21498.5</v>
      </c>
      <c r="I230" s="5">
        <v>44794</v>
      </c>
      <c r="J230" s="7">
        <f t="shared" si="20"/>
        <v>-8.0498907315638957E-4</v>
      </c>
      <c r="K230" s="5">
        <v>44794</v>
      </c>
      <c r="L230" s="8">
        <f t="shared" si="18"/>
        <v>2.2386498361113725E-3</v>
      </c>
      <c r="M230" s="5">
        <v>44794</v>
      </c>
      <c r="N230" s="9">
        <f t="shared" si="19"/>
        <v>1.4336607629549828E-3</v>
      </c>
      <c r="O230" s="5">
        <v>44794</v>
      </c>
      <c r="P230">
        <f t="shared" si="21"/>
        <v>0.99730245655053074</v>
      </c>
      <c r="Q230" s="6">
        <f t="shared" si="22"/>
        <v>1.0006303971502046</v>
      </c>
      <c r="R230">
        <f t="shared" si="23"/>
        <v>-3.3313869095629839E-3</v>
      </c>
      <c r="T230" s="5">
        <v>44794</v>
      </c>
      <c r="U230" s="1">
        <v>-3.3313869095629839E-3</v>
      </c>
    </row>
    <row r="231" spans="3:21" x14ac:dyDescent="0.2">
      <c r="C231" s="5">
        <v>44795</v>
      </c>
      <c r="D231" s="6">
        <v>0.99973000000000001</v>
      </c>
      <c r="E231" s="6">
        <v>21411.119999999999</v>
      </c>
      <c r="F231" s="6">
        <v>21383.5</v>
      </c>
      <c r="G231" s="6">
        <v>21391.06</v>
      </c>
      <c r="H231" s="6">
        <v>21411</v>
      </c>
      <c r="I231" s="5">
        <v>44795</v>
      </c>
      <c r="J231" s="7">
        <f t="shared" si="20"/>
        <v>-5.6045643571649392E-6</v>
      </c>
      <c r="K231" s="5">
        <v>44795</v>
      </c>
      <c r="L231" s="8">
        <f t="shared" si="18"/>
        <v>3.5354362008096476E-4</v>
      </c>
      <c r="M231" s="5">
        <v>44795</v>
      </c>
      <c r="N231" s="9">
        <f t="shared" si="19"/>
        <v>3.4793905572379983E-4</v>
      </c>
      <c r="O231" s="5">
        <v>44795</v>
      </c>
      <c r="P231">
        <f t="shared" si="21"/>
        <v>1.0009321651194472</v>
      </c>
      <c r="Q231" s="6">
        <f t="shared" si="22"/>
        <v>1.0002700729196883</v>
      </c>
      <c r="R231">
        <f t="shared" si="23"/>
        <v>6.6169446678720004E-4</v>
      </c>
      <c r="T231" s="5">
        <v>44795</v>
      </c>
      <c r="U231" s="1">
        <v>6.6169446678720004E-4</v>
      </c>
    </row>
    <row r="232" spans="3:21" x14ac:dyDescent="0.2">
      <c r="C232" s="5">
        <v>44796</v>
      </c>
      <c r="D232" s="6">
        <v>1.00017</v>
      </c>
      <c r="E232" s="6">
        <v>21518.93</v>
      </c>
      <c r="F232" s="6">
        <v>21512.5</v>
      </c>
      <c r="G232" s="6">
        <v>21527.9</v>
      </c>
      <c r="H232" s="6">
        <v>21514.5</v>
      </c>
      <c r="I232" s="5">
        <v>44796</v>
      </c>
      <c r="J232" s="7">
        <f t="shared" si="20"/>
        <v>-2.0586525445272097E-4</v>
      </c>
      <c r="K232" s="5">
        <v>44796</v>
      </c>
      <c r="L232" s="8">
        <f t="shared" si="18"/>
        <v>7.1586287042423968E-4</v>
      </c>
      <c r="M232" s="5">
        <v>44796</v>
      </c>
      <c r="N232" s="9">
        <f t="shared" si="19"/>
        <v>5.0999761597151868E-4</v>
      </c>
      <c r="O232" s="5">
        <v>44796</v>
      </c>
      <c r="P232">
        <f t="shared" si="21"/>
        <v>0.99937755192099542</v>
      </c>
      <c r="Q232" s="6">
        <f t="shared" si="22"/>
        <v>0.99983002889508787</v>
      </c>
      <c r="R232">
        <f t="shared" si="23"/>
        <v>-4.5265632859767989E-4</v>
      </c>
      <c r="T232" s="5">
        <v>44796</v>
      </c>
      <c r="U232" s="1">
        <v>-4.5265632859767989E-4</v>
      </c>
    </row>
    <row r="233" spans="3:21" x14ac:dyDescent="0.2">
      <c r="C233" s="5">
        <v>44797</v>
      </c>
      <c r="D233" s="6">
        <v>0.99968000000000001</v>
      </c>
      <c r="E233" s="6">
        <v>21374.34</v>
      </c>
      <c r="F233" s="6">
        <v>21353.5</v>
      </c>
      <c r="G233" s="6">
        <v>21378.05</v>
      </c>
      <c r="H233" s="6">
        <v>21356</v>
      </c>
      <c r="I233" s="5">
        <v>44797</v>
      </c>
      <c r="J233" s="7">
        <f t="shared" si="20"/>
        <v>-8.5803818971720981E-4</v>
      </c>
      <c r="K233" s="5">
        <v>44797</v>
      </c>
      <c r="L233" s="8">
        <f t="shared" si="18"/>
        <v>1.1496944294845937E-3</v>
      </c>
      <c r="M233" s="5">
        <v>44797</v>
      </c>
      <c r="N233" s="9">
        <f t="shared" si="19"/>
        <v>2.9165623976738385E-4</v>
      </c>
      <c r="O233" s="5">
        <v>44797</v>
      </c>
      <c r="P233">
        <f t="shared" si="21"/>
        <v>0.99896856822769153</v>
      </c>
      <c r="Q233" s="6">
        <f t="shared" si="22"/>
        <v>1.0003201024327786</v>
      </c>
      <c r="R233">
        <f t="shared" si="23"/>
        <v>-1.3520152750309169E-3</v>
      </c>
      <c r="T233" s="5">
        <v>44797</v>
      </c>
      <c r="U233" s="1">
        <v>-1.3520152750309169E-3</v>
      </c>
    </row>
    <row r="234" spans="3:21" x14ac:dyDescent="0.2">
      <c r="C234" s="5">
        <v>44798</v>
      </c>
      <c r="D234" s="6">
        <v>0.99987999999999999</v>
      </c>
      <c r="E234" s="6">
        <v>21589.21</v>
      </c>
      <c r="F234" s="6">
        <v>21552.5</v>
      </c>
      <c r="G234" s="6">
        <v>21562.15</v>
      </c>
      <c r="H234" s="6">
        <v>21554.5</v>
      </c>
      <c r="I234" s="5">
        <v>44798</v>
      </c>
      <c r="J234" s="7">
        <f t="shared" si="20"/>
        <v>-1.6077475739037755E-3</v>
      </c>
      <c r="K234" s="5">
        <v>44798</v>
      </c>
      <c r="L234" s="8">
        <f t="shared" si="18"/>
        <v>4.4774388122034356E-4</v>
      </c>
      <c r="M234" s="5">
        <v>44798</v>
      </c>
      <c r="N234" s="9">
        <f t="shared" si="19"/>
        <v>-1.160003692683432E-3</v>
      </c>
      <c r="O234" s="5">
        <v>44798</v>
      </c>
      <c r="P234">
        <f t="shared" si="21"/>
        <v>0.9996452116324207</v>
      </c>
      <c r="Q234" s="6">
        <f t="shared" si="22"/>
        <v>1.0001200144017282</v>
      </c>
      <c r="R234">
        <f t="shared" si="23"/>
        <v>-4.7485852043844027E-4</v>
      </c>
      <c r="T234" s="5">
        <v>44798</v>
      </c>
      <c r="U234" s="1">
        <v>-4.7485852043844027E-4</v>
      </c>
    </row>
    <row r="235" spans="3:21" x14ac:dyDescent="0.2">
      <c r="C235" s="5">
        <v>44799</v>
      </c>
      <c r="D235" s="6">
        <v>1.0000800000000001</v>
      </c>
      <c r="E235" s="6">
        <v>20246.75</v>
      </c>
      <c r="F235" s="6">
        <v>20227.5</v>
      </c>
      <c r="G235" s="6">
        <v>20278.650000000001</v>
      </c>
      <c r="H235" s="6">
        <v>20209</v>
      </c>
      <c r="I235" s="5">
        <v>44799</v>
      </c>
      <c r="J235" s="7">
        <f t="shared" si="20"/>
        <v>-1.8644967710867177E-3</v>
      </c>
      <c r="K235" s="5">
        <v>44799</v>
      </c>
      <c r="L235" s="8">
        <f t="shared" si="18"/>
        <v>2.5287356321839799E-3</v>
      </c>
      <c r="M235" s="5">
        <v>44799</v>
      </c>
      <c r="N235" s="9">
        <f t="shared" si="19"/>
        <v>6.6423886109726223E-4</v>
      </c>
      <c r="O235" s="5">
        <v>44799</v>
      </c>
      <c r="P235">
        <f t="shared" si="21"/>
        <v>0.99656535321631357</v>
      </c>
      <c r="Q235" s="6">
        <f t="shared" si="22"/>
        <v>0.99992000639948797</v>
      </c>
      <c r="R235">
        <f t="shared" si="23"/>
        <v>-3.3605619236123981E-3</v>
      </c>
      <c r="T235" s="5">
        <v>44799</v>
      </c>
      <c r="U235" s="1">
        <v>-3.3605619236123981E-3</v>
      </c>
    </row>
    <row r="236" spans="3:21" x14ac:dyDescent="0.2">
      <c r="C236" s="5">
        <v>44800</v>
      </c>
      <c r="D236" s="6">
        <v>0.99992999999999999</v>
      </c>
      <c r="E236" s="6">
        <v>20039.810000000001</v>
      </c>
      <c r="F236" s="6">
        <v>20026.5</v>
      </c>
      <c r="G236" s="6">
        <v>20074.650000000001</v>
      </c>
      <c r="H236" s="6">
        <v>20030</v>
      </c>
      <c r="I236" s="5">
        <v>44800</v>
      </c>
      <c r="J236" s="7">
        <f t="shared" si="20"/>
        <v>-4.8952559929466943E-4</v>
      </c>
      <c r="K236" s="5">
        <v>44800</v>
      </c>
      <c r="L236" s="8">
        <f t="shared" si="18"/>
        <v>2.4043142835743366E-3</v>
      </c>
      <c r="M236" s="5">
        <v>44800</v>
      </c>
      <c r="N236" s="9">
        <f t="shared" si="19"/>
        <v>1.9147886842796672E-3</v>
      </c>
      <c r="O236" s="5">
        <v>44800</v>
      </c>
      <c r="P236">
        <f t="shared" si="21"/>
        <v>0.99777580181970793</v>
      </c>
      <c r="Q236" s="6">
        <f t="shared" si="22"/>
        <v>1.000070004900343</v>
      </c>
      <c r="R236">
        <f t="shared" si="23"/>
        <v>-2.2966778330537939E-3</v>
      </c>
      <c r="T236" s="5">
        <v>44800</v>
      </c>
      <c r="U236" s="1">
        <v>-2.2966778330537939E-3</v>
      </c>
    </row>
    <row r="237" spans="3:21" x14ac:dyDescent="0.2">
      <c r="C237" s="5">
        <v>44801</v>
      </c>
      <c r="D237" s="6">
        <v>0.99987000000000004</v>
      </c>
      <c r="E237" s="6">
        <v>19556.61</v>
      </c>
      <c r="F237" s="6">
        <v>19550.5</v>
      </c>
      <c r="G237" s="6">
        <v>19587.96</v>
      </c>
      <c r="H237" s="6">
        <v>19555</v>
      </c>
      <c r="I237" s="5">
        <v>44801</v>
      </c>
      <c r="J237" s="7">
        <f t="shared" si="20"/>
        <v>-8.2325106447415073E-5</v>
      </c>
      <c r="K237" s="5">
        <v>44801</v>
      </c>
      <c r="L237" s="8">
        <f t="shared" si="18"/>
        <v>1.9160635277869684E-3</v>
      </c>
      <c r="M237" s="5">
        <v>44801</v>
      </c>
      <c r="N237" s="9">
        <f t="shared" si="19"/>
        <v>1.8337384213395532E-3</v>
      </c>
      <c r="O237" s="5">
        <v>44801</v>
      </c>
      <c r="P237">
        <f t="shared" si="21"/>
        <v>0.99831733370907438</v>
      </c>
      <c r="Q237" s="6">
        <f t="shared" si="22"/>
        <v>1.0001300169021972</v>
      </c>
      <c r="R237">
        <f t="shared" si="23"/>
        <v>-1.8140920146693317E-3</v>
      </c>
      <c r="T237" s="5">
        <v>44801</v>
      </c>
      <c r="U237" s="1">
        <v>-1.8140920146693317E-3</v>
      </c>
    </row>
    <row r="238" spans="3:21" x14ac:dyDescent="0.2">
      <c r="C238" s="5">
        <v>44802</v>
      </c>
      <c r="D238" s="6">
        <v>0.99983999999999995</v>
      </c>
      <c r="E238" s="6">
        <v>20287.93</v>
      </c>
      <c r="F238" s="6">
        <v>20276.5</v>
      </c>
      <c r="G238" s="6">
        <v>20313.810000000001</v>
      </c>
      <c r="H238" s="6">
        <v>20274.5</v>
      </c>
      <c r="I238" s="5">
        <v>44802</v>
      </c>
      <c r="J238" s="7">
        <f t="shared" si="20"/>
        <v>-6.6196994962030577E-4</v>
      </c>
      <c r="K238" s="5">
        <v>44802</v>
      </c>
      <c r="L238" s="8">
        <f t="shared" si="18"/>
        <v>1.8400611545385697E-3</v>
      </c>
      <c r="M238" s="5">
        <v>44802</v>
      </c>
      <c r="N238" s="9">
        <f t="shared" si="19"/>
        <v>1.1780912049182638E-3</v>
      </c>
      <c r="O238" s="5">
        <v>44802</v>
      </c>
      <c r="P238">
        <f t="shared" si="21"/>
        <v>0.99806486326297228</v>
      </c>
      <c r="Q238" s="6">
        <f t="shared" si="22"/>
        <v>1.0001600256040968</v>
      </c>
      <c r="R238">
        <f t="shared" si="23"/>
        <v>-2.0970243345372532E-3</v>
      </c>
      <c r="T238" s="5">
        <v>44802</v>
      </c>
      <c r="U238" s="1">
        <v>-2.0970243345372532E-3</v>
      </c>
    </row>
    <row r="239" spans="3:21" x14ac:dyDescent="0.2">
      <c r="C239" s="5">
        <v>44803</v>
      </c>
      <c r="D239" s="6">
        <v>0.99951999999999996</v>
      </c>
      <c r="E239" s="6">
        <v>19776.240000000002</v>
      </c>
      <c r="F239" s="6">
        <v>19802.5</v>
      </c>
      <c r="G239" s="6">
        <v>19826.48</v>
      </c>
      <c r="H239" s="6">
        <v>19811</v>
      </c>
      <c r="I239" s="5">
        <v>44803</v>
      </c>
      <c r="J239" s="7">
        <f t="shared" si="20"/>
        <v>1.7576647532593858E-3</v>
      </c>
      <c r="K239" s="5">
        <v>44803</v>
      </c>
      <c r="L239" s="8">
        <f t="shared" si="18"/>
        <v>1.2109582123469038E-3</v>
      </c>
      <c r="M239" s="5">
        <v>44803</v>
      </c>
      <c r="N239" s="9">
        <f t="shared" si="19"/>
        <v>2.9686229656062896E-3</v>
      </c>
      <c r="O239" s="5">
        <v>44803</v>
      </c>
      <c r="P239">
        <f t="shared" si="21"/>
        <v>0.99921922600481783</v>
      </c>
      <c r="Q239" s="6">
        <f t="shared" si="22"/>
        <v>1.0004802305106451</v>
      </c>
      <c r="R239">
        <f t="shared" si="23"/>
        <v>-1.2611941948234575E-3</v>
      </c>
      <c r="T239" s="5">
        <v>44803</v>
      </c>
      <c r="U239" s="1">
        <v>-1.2611941948234575E-3</v>
      </c>
    </row>
    <row r="240" spans="3:21" x14ac:dyDescent="0.2">
      <c r="C240" s="5">
        <v>44804</v>
      </c>
      <c r="D240" s="6">
        <v>0.99958999999999998</v>
      </c>
      <c r="E240" s="6">
        <v>20048.599999999999</v>
      </c>
      <c r="F240" s="6">
        <v>20041</v>
      </c>
      <c r="G240" s="6">
        <v>20064.919999999998</v>
      </c>
      <c r="H240" s="6">
        <v>20040</v>
      </c>
      <c r="I240" s="5">
        <v>44804</v>
      </c>
      <c r="J240" s="7">
        <f t="shared" si="20"/>
        <v>-4.2895763295185428E-4</v>
      </c>
      <c r="K240" s="5">
        <v>44804</v>
      </c>
      <c r="L240" s="8">
        <f t="shared" si="18"/>
        <v>1.1935532159073026E-3</v>
      </c>
      <c r="M240" s="5">
        <v>44804</v>
      </c>
      <c r="N240" s="9">
        <f t="shared" si="19"/>
        <v>7.6459558295544831E-4</v>
      </c>
      <c r="O240" s="5">
        <v>44804</v>
      </c>
      <c r="P240">
        <f t="shared" si="21"/>
        <v>0.99875803142997843</v>
      </c>
      <c r="Q240" s="6">
        <f t="shared" si="22"/>
        <v>1.0004101681689492</v>
      </c>
      <c r="R240">
        <f t="shared" si="23"/>
        <v>-1.6528245251351058E-3</v>
      </c>
      <c r="T240" s="5">
        <v>44804</v>
      </c>
      <c r="U240" s="1">
        <v>-1.6528245251351058E-3</v>
      </c>
    </row>
    <row r="241" spans="3:21" x14ac:dyDescent="0.2">
      <c r="C241" s="5">
        <v>44805</v>
      </c>
      <c r="D241" s="6">
        <v>0.99965000000000004</v>
      </c>
      <c r="E241" s="6">
        <v>20124.48</v>
      </c>
      <c r="F241" s="6">
        <v>20123</v>
      </c>
      <c r="G241" s="6">
        <v>20119.14</v>
      </c>
      <c r="H241" s="6">
        <v>20128.5</v>
      </c>
      <c r="I241" s="5">
        <v>44805</v>
      </c>
      <c r="J241" s="7">
        <f t="shared" si="20"/>
        <v>1.9975671421077398E-4</v>
      </c>
      <c r="K241" s="5">
        <v>44805</v>
      </c>
      <c r="L241" s="8">
        <f t="shared" si="18"/>
        <v>-1.9182030512351946E-4</v>
      </c>
      <c r="M241" s="5">
        <v>44805</v>
      </c>
      <c r="N241" s="9">
        <f t="shared" si="19"/>
        <v>7.9364090872545228E-6</v>
      </c>
      <c r="O241" s="5">
        <v>44805</v>
      </c>
      <c r="P241">
        <f t="shared" si="21"/>
        <v>1.0004652286330331</v>
      </c>
      <c r="Q241" s="6">
        <f t="shared" si="22"/>
        <v>1.0003501225428899</v>
      </c>
      <c r="R241">
        <f t="shared" si="23"/>
        <v>1.1505918344984533E-4</v>
      </c>
      <c r="T241" s="5">
        <v>44805</v>
      </c>
      <c r="U241" s="1">
        <v>1.1505918344984533E-4</v>
      </c>
    </row>
    <row r="242" spans="3:21" x14ac:dyDescent="0.2">
      <c r="C242" s="5">
        <v>44806</v>
      </c>
      <c r="D242" s="6">
        <v>0.99927999999999995</v>
      </c>
      <c r="E242" s="6">
        <v>19973.599999999999</v>
      </c>
      <c r="F242" s="6">
        <v>19941.5</v>
      </c>
      <c r="G242" s="6">
        <v>19972.12</v>
      </c>
      <c r="H242" s="6">
        <v>19947.5</v>
      </c>
      <c r="I242" s="5">
        <v>44806</v>
      </c>
      <c r="J242" s="7">
        <f t="shared" si="20"/>
        <v>-1.3067248768373527E-3</v>
      </c>
      <c r="K242" s="5">
        <v>44806</v>
      </c>
      <c r="L242" s="8">
        <f t="shared" si="18"/>
        <v>1.5354913120878058E-3</v>
      </c>
      <c r="M242" s="5">
        <v>44806</v>
      </c>
      <c r="N242" s="9">
        <f t="shared" si="19"/>
        <v>2.2876643525045312E-4</v>
      </c>
      <c r="O242" s="5">
        <v>44806</v>
      </c>
      <c r="P242">
        <f t="shared" si="21"/>
        <v>0.99876728159053718</v>
      </c>
      <c r="Q242" s="6">
        <f t="shared" si="22"/>
        <v>1.0007205187735171</v>
      </c>
      <c r="R242">
        <f t="shared" si="23"/>
        <v>-1.9537381562733714E-3</v>
      </c>
      <c r="T242" s="5">
        <v>44806</v>
      </c>
      <c r="U242" s="1">
        <v>-1.9537381562733714E-3</v>
      </c>
    </row>
    <row r="243" spans="3:21" x14ac:dyDescent="0.2">
      <c r="C243" s="5">
        <v>44807</v>
      </c>
      <c r="D243" s="6">
        <v>0.99997000000000003</v>
      </c>
      <c r="E243" s="6">
        <v>19838.39</v>
      </c>
      <c r="F243" s="6">
        <v>19821</v>
      </c>
      <c r="G243" s="6">
        <v>19839.169999999998</v>
      </c>
      <c r="H243" s="6">
        <v>19814.5</v>
      </c>
      <c r="I243" s="5">
        <v>44807</v>
      </c>
      <c r="J243" s="7">
        <f t="shared" si="20"/>
        <v>-1.2042307868733006E-3</v>
      </c>
      <c r="K243" s="5">
        <v>44807</v>
      </c>
      <c r="L243" s="8">
        <f t="shared" si="18"/>
        <v>9.1670450532254949E-4</v>
      </c>
      <c r="M243" s="5">
        <v>44807</v>
      </c>
      <c r="N243" s="9">
        <f t="shared" si="19"/>
        <v>-2.8752628155075111E-4</v>
      </c>
      <c r="O243" s="5">
        <v>44807</v>
      </c>
      <c r="P243">
        <f t="shared" si="21"/>
        <v>0.99875650039795028</v>
      </c>
      <c r="Q243" s="6">
        <f t="shared" si="22"/>
        <v>1.0000300009000269</v>
      </c>
      <c r="R243">
        <f t="shared" si="23"/>
        <v>-1.2742738392246828E-3</v>
      </c>
      <c r="T243" s="5">
        <v>44807</v>
      </c>
      <c r="U243" s="1">
        <v>-1.2742738392246828E-3</v>
      </c>
    </row>
    <row r="244" spans="3:21" x14ac:dyDescent="0.2">
      <c r="C244" s="5">
        <v>44808</v>
      </c>
      <c r="D244" s="6">
        <v>1</v>
      </c>
      <c r="E244" s="6">
        <v>20002.419999999998</v>
      </c>
      <c r="F244" s="6">
        <v>19995.5</v>
      </c>
      <c r="G244" s="6">
        <v>19980.27</v>
      </c>
      <c r="H244" s="6">
        <v>19989</v>
      </c>
      <c r="I244" s="5">
        <v>44808</v>
      </c>
      <c r="J244" s="7">
        <f t="shared" si="20"/>
        <v>-6.7091881882283522E-4</v>
      </c>
      <c r="K244" s="5">
        <v>44808</v>
      </c>
      <c r="L244" s="8">
        <f t="shared" si="18"/>
        <v>-7.6167137605959157E-4</v>
      </c>
      <c r="M244" s="5">
        <v>44808</v>
      </c>
      <c r="N244" s="9">
        <f t="shared" si="19"/>
        <v>-1.4325901948824267E-3</v>
      </c>
      <c r="O244" s="5">
        <v>44808</v>
      </c>
      <c r="P244">
        <f t="shared" si="21"/>
        <v>1.0004369310324635</v>
      </c>
      <c r="Q244" s="6">
        <f t="shared" si="22"/>
        <v>1</v>
      </c>
      <c r="R244">
        <f t="shared" si="23"/>
        <v>4.3683560589542606E-4</v>
      </c>
      <c r="T244" s="5">
        <v>44808</v>
      </c>
      <c r="U244" s="1">
        <v>4.3683560589542606E-4</v>
      </c>
    </row>
    <row r="245" spans="3:21" x14ac:dyDescent="0.2">
      <c r="C245" s="5">
        <v>44809</v>
      </c>
      <c r="D245" s="6">
        <v>0.99995000000000001</v>
      </c>
      <c r="E245" s="6">
        <v>19789.689999999999</v>
      </c>
      <c r="F245" s="6">
        <v>19784.5</v>
      </c>
      <c r="G245" s="6">
        <v>19811.05</v>
      </c>
      <c r="H245" s="6">
        <v>19784.5</v>
      </c>
      <c r="I245" s="5">
        <v>44809</v>
      </c>
      <c r="J245" s="7">
        <f t="shared" si="20"/>
        <v>-2.6225777159716453E-4</v>
      </c>
      <c r="K245" s="5">
        <v>44809</v>
      </c>
      <c r="L245" s="8">
        <f t="shared" si="18"/>
        <v>1.3419596148499721E-3</v>
      </c>
      <c r="M245" s="5">
        <v>44809</v>
      </c>
      <c r="N245" s="9">
        <f t="shared" si="19"/>
        <v>1.0797018432528076E-3</v>
      </c>
      <c r="O245" s="5">
        <v>44809</v>
      </c>
      <c r="P245">
        <f t="shared" si="21"/>
        <v>0.99865983882732112</v>
      </c>
      <c r="Q245" s="6">
        <f t="shared" si="22"/>
        <v>1.0000500025001251</v>
      </c>
      <c r="R245">
        <f t="shared" si="23"/>
        <v>-1.3910612418364075E-3</v>
      </c>
      <c r="T245" s="5">
        <v>44809</v>
      </c>
      <c r="U245" s="1">
        <v>-1.3910612418364075E-3</v>
      </c>
    </row>
    <row r="246" spans="3:21" x14ac:dyDescent="0.2">
      <c r="C246" s="5">
        <v>44810</v>
      </c>
      <c r="D246" s="6">
        <v>1</v>
      </c>
      <c r="E246" s="6">
        <v>18794.07</v>
      </c>
      <c r="F246" s="6">
        <v>18775.5</v>
      </c>
      <c r="G246" s="6">
        <v>18810.03</v>
      </c>
      <c r="H246" s="6">
        <v>18784</v>
      </c>
      <c r="I246" s="5">
        <v>44810</v>
      </c>
      <c r="J246" s="7">
        <f t="shared" si="20"/>
        <v>-5.3580730517656416E-4</v>
      </c>
      <c r="K246" s="5">
        <v>44810</v>
      </c>
      <c r="L246" s="8">
        <f t="shared" si="18"/>
        <v>1.8390988255971258E-3</v>
      </c>
      <c r="M246" s="5">
        <v>44810</v>
      </c>
      <c r="N246" s="9">
        <f t="shared" si="19"/>
        <v>1.3032915204205615E-3</v>
      </c>
      <c r="O246" s="5">
        <v>44810</v>
      </c>
      <c r="P246">
        <f t="shared" si="21"/>
        <v>0.99861616382323692</v>
      </c>
      <c r="Q246" s="6">
        <f t="shared" si="22"/>
        <v>1</v>
      </c>
      <c r="R246">
        <f t="shared" si="23"/>
        <v>-1.3847945623129021E-3</v>
      </c>
      <c r="T246" s="5">
        <v>44810</v>
      </c>
      <c r="U246" s="1">
        <v>-1.3847945623129021E-3</v>
      </c>
    </row>
    <row r="247" spans="3:21" x14ac:dyDescent="0.2">
      <c r="C247" s="5">
        <v>44811</v>
      </c>
      <c r="D247" s="6">
        <v>1.0002899999999999</v>
      </c>
      <c r="E247" s="6">
        <v>19291.43</v>
      </c>
      <c r="F247" s="6">
        <v>19286</v>
      </c>
      <c r="G247" s="6">
        <v>19315.72</v>
      </c>
      <c r="H247" s="6">
        <v>19279</v>
      </c>
      <c r="I247" s="5">
        <v>44811</v>
      </c>
      <c r="J247" s="7">
        <f t="shared" si="20"/>
        <v>-6.4432755892125627E-4</v>
      </c>
      <c r="K247" s="5">
        <v>44811</v>
      </c>
      <c r="L247" s="8">
        <f t="shared" si="18"/>
        <v>1.5410142071969907E-3</v>
      </c>
      <c r="M247" s="5">
        <v>44811</v>
      </c>
      <c r="N247" s="9">
        <f t="shared" si="19"/>
        <v>8.9668664827573447E-4</v>
      </c>
      <c r="O247" s="5">
        <v>44811</v>
      </c>
      <c r="P247">
        <f t="shared" si="21"/>
        <v>0.99809895774012036</v>
      </c>
      <c r="Q247" s="6">
        <f t="shared" si="22"/>
        <v>0.99971008407561812</v>
      </c>
      <c r="R247">
        <f t="shared" si="23"/>
        <v>-1.612893575956797E-3</v>
      </c>
      <c r="T247" s="5">
        <v>44811</v>
      </c>
      <c r="U247" s="1">
        <v>-1.612893575956797E-3</v>
      </c>
    </row>
    <row r="248" spans="3:21" x14ac:dyDescent="0.2">
      <c r="C248" s="5">
        <v>44812</v>
      </c>
      <c r="D248" s="6">
        <v>1</v>
      </c>
      <c r="E248" s="6">
        <v>19320.68</v>
      </c>
      <c r="F248" s="6">
        <v>19308</v>
      </c>
      <c r="G248" s="6">
        <v>19328.349999999999</v>
      </c>
      <c r="H248" s="6">
        <v>19320.5</v>
      </c>
      <c r="I248" s="5">
        <v>44812</v>
      </c>
      <c r="J248" s="7">
        <f t="shared" si="20"/>
        <v>-9.3164422784441863E-6</v>
      </c>
      <c r="K248" s="5">
        <v>44812</v>
      </c>
      <c r="L248" s="8">
        <f t="shared" si="18"/>
        <v>1.0539672674538298E-3</v>
      </c>
      <c r="M248" s="5">
        <v>44812</v>
      </c>
      <c r="N248" s="9">
        <f t="shared" si="19"/>
        <v>1.0446508251753855E-3</v>
      </c>
      <c r="O248" s="5">
        <v>44812</v>
      </c>
      <c r="P248">
        <f t="shared" si="21"/>
        <v>0.99959386083136959</v>
      </c>
      <c r="Q248" s="6">
        <f t="shared" si="22"/>
        <v>1</v>
      </c>
      <c r="R248">
        <f t="shared" si="23"/>
        <v>-4.0622166548012035E-4</v>
      </c>
      <c r="T248" s="5">
        <v>44812</v>
      </c>
      <c r="U248" s="1">
        <v>-4.0622166548012035E-4</v>
      </c>
    </row>
    <row r="249" spans="3:21" x14ac:dyDescent="0.2">
      <c r="C249" s="5">
        <v>44813</v>
      </c>
      <c r="D249" s="6">
        <v>1.00004</v>
      </c>
      <c r="E249" s="6">
        <v>21369.61</v>
      </c>
      <c r="F249" s="6">
        <v>21361.5</v>
      </c>
      <c r="G249" s="6">
        <v>21314.2</v>
      </c>
      <c r="H249" s="6">
        <v>21369.5</v>
      </c>
      <c r="I249" s="5">
        <v>44813</v>
      </c>
      <c r="J249" s="7">
        <f t="shared" si="20"/>
        <v>-5.1474968425058799E-6</v>
      </c>
      <c r="K249" s="5">
        <v>44813</v>
      </c>
      <c r="L249" s="8">
        <f t="shared" si="18"/>
        <v>-2.2142639795894141E-3</v>
      </c>
      <c r="M249" s="5">
        <v>44813</v>
      </c>
      <c r="N249" s="9">
        <f t="shared" si="19"/>
        <v>-2.2194114764319201E-3</v>
      </c>
      <c r="O249" s="5">
        <v>44813</v>
      </c>
      <c r="P249">
        <f t="shared" si="21"/>
        <v>1.002594514455152</v>
      </c>
      <c r="Q249" s="6">
        <f t="shared" si="22"/>
        <v>0.99996000159993592</v>
      </c>
      <c r="R249">
        <f t="shared" si="23"/>
        <v>2.6311537129022795E-3</v>
      </c>
      <c r="T249" s="5">
        <v>44813</v>
      </c>
      <c r="U249" s="1">
        <v>2.6311537129022795E-3</v>
      </c>
    </row>
    <row r="250" spans="3:21" x14ac:dyDescent="0.2">
      <c r="C250" s="5">
        <v>44814</v>
      </c>
      <c r="D250" s="6">
        <v>1.00004</v>
      </c>
      <c r="E250" s="6">
        <v>21650.51</v>
      </c>
      <c r="F250" s="6">
        <v>21641</v>
      </c>
      <c r="G250" s="6">
        <v>21606.27</v>
      </c>
      <c r="H250" s="6">
        <v>21652</v>
      </c>
      <c r="I250" s="5">
        <v>44814</v>
      </c>
      <c r="J250" s="7">
        <f t="shared" si="20"/>
        <v>6.8820549723844877E-5</v>
      </c>
      <c r="K250" s="5">
        <v>44814</v>
      </c>
      <c r="L250" s="8">
        <f t="shared" si="18"/>
        <v>-1.6048241763319422E-3</v>
      </c>
      <c r="M250" s="5">
        <v>44814</v>
      </c>
      <c r="N250" s="9">
        <f t="shared" si="19"/>
        <v>-1.5360036266080974E-3</v>
      </c>
      <c r="O250" s="5">
        <v>44814</v>
      </c>
      <c r="P250">
        <f t="shared" si="21"/>
        <v>1.0021165152522855</v>
      </c>
      <c r="Q250" s="6">
        <f t="shared" si="22"/>
        <v>0.99996000159993592</v>
      </c>
      <c r="R250">
        <f t="shared" si="23"/>
        <v>2.1542777892985315E-3</v>
      </c>
      <c r="T250" s="5">
        <v>44814</v>
      </c>
      <c r="U250" s="1">
        <v>2.1542777892985315E-3</v>
      </c>
    </row>
    <row r="251" spans="3:21" x14ac:dyDescent="0.2">
      <c r="C251" s="5">
        <v>44815</v>
      </c>
      <c r="D251" s="6">
        <v>0.99999000000000005</v>
      </c>
      <c r="E251" s="6">
        <v>21830.25</v>
      </c>
      <c r="F251" s="6">
        <v>21827.5</v>
      </c>
      <c r="G251" s="6">
        <v>21809.32</v>
      </c>
      <c r="H251" s="6">
        <v>21810</v>
      </c>
      <c r="I251" s="5">
        <v>44815</v>
      </c>
      <c r="J251" s="7">
        <f t="shared" si="20"/>
        <v>-9.2761191465970383E-4</v>
      </c>
      <c r="K251" s="5">
        <v>44815</v>
      </c>
      <c r="L251" s="8">
        <f t="shared" si="18"/>
        <v>-8.3289428473257545E-4</v>
      </c>
      <c r="M251" s="5">
        <v>44815</v>
      </c>
      <c r="N251" s="9">
        <f t="shared" si="19"/>
        <v>-1.7605061993922794E-3</v>
      </c>
      <c r="O251" s="5">
        <v>44815</v>
      </c>
      <c r="P251">
        <f t="shared" si="21"/>
        <v>1.0000311793306715</v>
      </c>
      <c r="Q251" s="6">
        <f t="shared" si="22"/>
        <v>1.000010000100001</v>
      </c>
      <c r="R251">
        <f t="shared" si="23"/>
        <v>2.1178794605960857E-5</v>
      </c>
      <c r="T251" s="5">
        <v>44815</v>
      </c>
      <c r="U251" s="1">
        <v>2.1178794605960857E-5</v>
      </c>
    </row>
    <row r="252" spans="3:21" x14ac:dyDescent="0.2">
      <c r="C252" s="5">
        <v>44816</v>
      </c>
      <c r="D252" s="6">
        <v>0.99995000000000001</v>
      </c>
      <c r="E252" s="6">
        <v>22403.83</v>
      </c>
      <c r="F252" s="6">
        <v>22393.5</v>
      </c>
      <c r="G252" s="6">
        <v>22402.07</v>
      </c>
      <c r="H252" s="6">
        <v>22372.5</v>
      </c>
      <c r="I252" s="5">
        <v>44816</v>
      </c>
      <c r="J252" s="7">
        <f t="shared" si="20"/>
        <v>-1.3984216091624398E-3</v>
      </c>
      <c r="K252" s="5">
        <v>44816</v>
      </c>
      <c r="L252" s="8">
        <f t="shared" si="18"/>
        <v>3.8270033715139256E-4</v>
      </c>
      <c r="M252" s="5">
        <v>44816</v>
      </c>
      <c r="N252" s="9">
        <f t="shared" si="19"/>
        <v>-1.0157212720110472E-3</v>
      </c>
      <c r="O252" s="5">
        <v>44816</v>
      </c>
      <c r="P252">
        <f t="shared" si="21"/>
        <v>0.99868003269340733</v>
      </c>
      <c r="Q252" s="6">
        <f t="shared" si="22"/>
        <v>1.0000500025001251</v>
      </c>
      <c r="R252">
        <f t="shared" si="23"/>
        <v>-1.370840480838438E-3</v>
      </c>
      <c r="T252" s="5">
        <v>44816</v>
      </c>
      <c r="U252" s="1">
        <v>-1.370840480838438E-3</v>
      </c>
    </row>
    <row r="253" spans="3:21" x14ac:dyDescent="0.2">
      <c r="C253" s="5">
        <v>44817</v>
      </c>
      <c r="D253" s="6">
        <v>1.00004</v>
      </c>
      <c r="E253" s="6">
        <v>20169.97</v>
      </c>
      <c r="F253" s="6">
        <v>20157</v>
      </c>
      <c r="G253" s="6">
        <v>20195.13</v>
      </c>
      <c r="H253" s="6">
        <v>20153.5</v>
      </c>
      <c r="I253" s="5">
        <v>44817</v>
      </c>
      <c r="J253" s="7">
        <f t="shared" si="20"/>
        <v>-8.1656046092290491E-4</v>
      </c>
      <c r="K253" s="5">
        <v>44817</v>
      </c>
      <c r="L253" s="8">
        <f t="shared" si="18"/>
        <v>1.8916505432356511E-3</v>
      </c>
      <c r="M253" s="5">
        <v>44817</v>
      </c>
      <c r="N253" s="9">
        <f t="shared" si="19"/>
        <v>1.0750900823127461E-3</v>
      </c>
      <c r="O253" s="5">
        <v>44817</v>
      </c>
      <c r="P253">
        <f t="shared" si="21"/>
        <v>0.99793861193267885</v>
      </c>
      <c r="Q253" s="6">
        <f t="shared" si="22"/>
        <v>0.99996000159993592</v>
      </c>
      <c r="R253">
        <f t="shared" si="23"/>
        <v>-2.0235164520364373E-3</v>
      </c>
      <c r="T253" s="5">
        <v>44817</v>
      </c>
      <c r="U253" s="1">
        <v>-2.0235164520364373E-3</v>
      </c>
    </row>
    <row r="254" spans="3:21" x14ac:dyDescent="0.2">
      <c r="C254" s="5">
        <v>44818</v>
      </c>
      <c r="D254" s="6">
        <v>0.99987999999999999</v>
      </c>
      <c r="E254" s="6">
        <v>20233.080000000002</v>
      </c>
      <c r="F254" s="6">
        <v>20220.5</v>
      </c>
      <c r="G254" s="6">
        <v>20233.5</v>
      </c>
      <c r="H254" s="6">
        <v>20237.5</v>
      </c>
      <c r="I254" s="5">
        <v>44818</v>
      </c>
      <c r="J254" s="7">
        <f t="shared" si="20"/>
        <v>2.1845413550474044E-4</v>
      </c>
      <c r="K254" s="5">
        <v>44818</v>
      </c>
      <c r="L254" s="8">
        <f t="shared" si="18"/>
        <v>6.4291189634282041E-4</v>
      </c>
      <c r="M254" s="5">
        <v>44818</v>
      </c>
      <c r="N254" s="9">
        <f t="shared" si="19"/>
        <v>8.6136603184756085E-4</v>
      </c>
      <c r="O254" s="5">
        <v>44818</v>
      </c>
      <c r="P254">
        <f t="shared" si="21"/>
        <v>1.0001976919465243</v>
      </c>
      <c r="Q254" s="6">
        <f t="shared" si="22"/>
        <v>1.0001200144017282</v>
      </c>
      <c r="R254">
        <f t="shared" si="23"/>
        <v>7.7665207470562495E-5</v>
      </c>
      <c r="T254" s="5">
        <v>44818</v>
      </c>
      <c r="U254" s="1">
        <v>7.7665207470562495E-5</v>
      </c>
    </row>
    <row r="255" spans="3:21" x14ac:dyDescent="0.2">
      <c r="C255" s="5">
        <v>44819</v>
      </c>
      <c r="D255" s="6">
        <v>0.99950000000000006</v>
      </c>
      <c r="E255" s="6">
        <v>19693.97</v>
      </c>
      <c r="F255" s="6">
        <v>19693.5</v>
      </c>
      <c r="G255" s="6">
        <v>19721.66</v>
      </c>
      <c r="H255" s="6">
        <v>19708.5</v>
      </c>
      <c r="I255" s="5">
        <v>44819</v>
      </c>
      <c r="J255" s="7">
        <f t="shared" si="20"/>
        <v>7.3778928270931839E-4</v>
      </c>
      <c r="K255" s="5">
        <v>44819</v>
      </c>
      <c r="L255" s="8">
        <f t="shared" si="18"/>
        <v>1.4299134232106966E-3</v>
      </c>
      <c r="M255" s="5">
        <v>44819</v>
      </c>
      <c r="N255" s="9">
        <f t="shared" si="19"/>
        <v>2.1677027059200148E-3</v>
      </c>
      <c r="O255" s="5">
        <v>44819</v>
      </c>
      <c r="P255">
        <f t="shared" si="21"/>
        <v>0.99933271337199803</v>
      </c>
      <c r="Q255" s="6">
        <f t="shared" si="22"/>
        <v>1.0005002501250624</v>
      </c>
      <c r="R255">
        <f t="shared" si="23"/>
        <v>-1.1676344044969039E-3</v>
      </c>
      <c r="T255" s="5">
        <v>44819</v>
      </c>
      <c r="U255" s="1">
        <v>-1.1676344044969039E-3</v>
      </c>
    </row>
    <row r="256" spans="3:21" x14ac:dyDescent="0.2">
      <c r="C256" s="5">
        <v>44820</v>
      </c>
      <c r="D256" s="6">
        <v>1.0002</v>
      </c>
      <c r="E256" s="6">
        <v>19800.330000000002</v>
      </c>
      <c r="F256" s="6">
        <v>19786.5</v>
      </c>
      <c r="G256" s="6">
        <v>19826.95</v>
      </c>
      <c r="H256" s="6">
        <v>19813.5</v>
      </c>
      <c r="I256" s="5">
        <v>44820</v>
      </c>
      <c r="J256" s="7">
        <f t="shared" si="20"/>
        <v>6.6514042947760229E-4</v>
      </c>
      <c r="K256" s="5">
        <v>44820</v>
      </c>
      <c r="L256" s="8">
        <f t="shared" si="18"/>
        <v>2.0443231496222541E-3</v>
      </c>
      <c r="M256" s="5">
        <v>44820</v>
      </c>
      <c r="N256" s="9">
        <f t="shared" si="19"/>
        <v>2.7094635790998562E-3</v>
      </c>
      <c r="O256" s="5">
        <v>44820</v>
      </c>
      <c r="P256">
        <f t="shared" si="21"/>
        <v>0.99932163040709743</v>
      </c>
      <c r="Q256" s="6">
        <f t="shared" si="22"/>
        <v>0.99980003999200162</v>
      </c>
      <c r="R256">
        <f t="shared" si="23"/>
        <v>-4.7861978700012279E-4</v>
      </c>
      <c r="T256" s="5">
        <v>44820</v>
      </c>
      <c r="U256" s="1">
        <v>-4.7861978700012279E-4</v>
      </c>
    </row>
    <row r="257" spans="3:21" x14ac:dyDescent="0.2">
      <c r="C257" s="5">
        <v>44821</v>
      </c>
      <c r="D257" s="6">
        <v>0.99997000000000003</v>
      </c>
      <c r="E257" s="6">
        <v>20112.87</v>
      </c>
      <c r="F257" s="6">
        <v>20110.5</v>
      </c>
      <c r="G257" s="6">
        <v>20135.169999999998</v>
      </c>
      <c r="H257" s="6">
        <v>20120</v>
      </c>
      <c r="I257" s="5">
        <v>44821</v>
      </c>
      <c r="J257" s="7">
        <f t="shared" si="20"/>
        <v>3.5449938273359393E-4</v>
      </c>
      <c r="K257" s="5">
        <v>44821</v>
      </c>
      <c r="L257" s="8">
        <f t="shared" si="18"/>
        <v>1.226722358966622E-3</v>
      </c>
      <c r="M257" s="5">
        <v>44821</v>
      </c>
      <c r="N257" s="9">
        <f t="shared" si="19"/>
        <v>1.5812217417002158E-3</v>
      </c>
      <c r="O257" s="5">
        <v>44821</v>
      </c>
      <c r="P257">
        <f t="shared" si="21"/>
        <v>0.99924659190858589</v>
      </c>
      <c r="Q257" s="6">
        <f t="shared" si="22"/>
        <v>1.0000300009000269</v>
      </c>
      <c r="R257">
        <f t="shared" si="23"/>
        <v>-7.8369249593044916E-4</v>
      </c>
      <c r="T257" s="5">
        <v>44821</v>
      </c>
      <c r="U257" s="1">
        <v>-7.8369249593044916E-4</v>
      </c>
    </row>
    <row r="258" spans="3:21" x14ac:dyDescent="0.2">
      <c r="C258" s="5">
        <v>44822</v>
      </c>
      <c r="D258" s="6">
        <v>1.00004</v>
      </c>
      <c r="E258" s="6">
        <v>19416.02</v>
      </c>
      <c r="F258" s="6">
        <v>19406</v>
      </c>
      <c r="G258" s="6">
        <v>19431.91</v>
      </c>
      <c r="H258" s="6">
        <v>19419</v>
      </c>
      <c r="I258" s="5">
        <v>44822</v>
      </c>
      <c r="J258" s="7">
        <f t="shared" si="20"/>
        <v>1.5348150650852045E-4</v>
      </c>
      <c r="K258" s="5">
        <v>44822</v>
      </c>
      <c r="L258" s="8">
        <f t="shared" si="18"/>
        <v>1.3351540760589433E-3</v>
      </c>
      <c r="M258" s="5">
        <v>44822</v>
      </c>
      <c r="N258" s="9">
        <f t="shared" si="19"/>
        <v>1.4886355825674638E-3</v>
      </c>
      <c r="O258" s="5">
        <v>44822</v>
      </c>
      <c r="P258">
        <f t="shared" si="21"/>
        <v>0.99933562887024485</v>
      </c>
      <c r="Q258" s="6">
        <f t="shared" si="22"/>
        <v>0.99996000159993592</v>
      </c>
      <c r="R258">
        <f t="shared" si="23"/>
        <v>-6.2459272203014779E-4</v>
      </c>
      <c r="T258" s="5">
        <v>44822</v>
      </c>
      <c r="U258" s="1">
        <v>-6.2459272203014779E-4</v>
      </c>
    </row>
    <row r="259" spans="3:21" x14ac:dyDescent="0.2">
      <c r="C259" s="5">
        <v>44823</v>
      </c>
      <c r="D259" s="6">
        <v>1.0001100000000001</v>
      </c>
      <c r="E259" s="6">
        <v>19531.7</v>
      </c>
      <c r="F259" s="6">
        <v>19529.5</v>
      </c>
      <c r="G259" s="6">
        <v>19557.439999999999</v>
      </c>
      <c r="H259" s="6">
        <v>19532</v>
      </c>
      <c r="I259" s="5">
        <v>44823</v>
      </c>
      <c r="J259" s="7">
        <f t="shared" si="20"/>
        <v>1.5359646113716288E-5</v>
      </c>
      <c r="K259" s="5">
        <v>44823</v>
      </c>
      <c r="L259" s="8">
        <f t="shared" si="18"/>
        <v>1.4306561867942697E-3</v>
      </c>
      <c r="M259" s="5">
        <v>44823</v>
      </c>
      <c r="N259" s="9">
        <f t="shared" si="19"/>
        <v>1.446015832907986E-3</v>
      </c>
      <c r="O259" s="5">
        <v>44823</v>
      </c>
      <c r="P259">
        <f t="shared" si="21"/>
        <v>0.99869921625734248</v>
      </c>
      <c r="Q259" s="6">
        <f t="shared" si="22"/>
        <v>0.99989001209866912</v>
      </c>
      <c r="R259">
        <f t="shared" si="23"/>
        <v>-1.1916365457616419E-3</v>
      </c>
      <c r="T259" s="5">
        <v>44823</v>
      </c>
      <c r="U259" s="1">
        <v>-1.1916365457616419E-3</v>
      </c>
    </row>
    <row r="260" spans="3:21" x14ac:dyDescent="0.2">
      <c r="C260" s="5">
        <v>44824</v>
      </c>
      <c r="D260" s="6">
        <v>1.0000199999999999</v>
      </c>
      <c r="E260" s="6">
        <v>18880.72</v>
      </c>
      <c r="F260" s="6">
        <v>18869</v>
      </c>
      <c r="G260" s="6">
        <v>18889.29</v>
      </c>
      <c r="H260" s="6">
        <v>18875</v>
      </c>
      <c r="I260" s="5">
        <v>44824</v>
      </c>
      <c r="J260" s="7">
        <f t="shared" si="20"/>
        <v>-3.02954548343557E-4</v>
      </c>
      <c r="K260" s="5">
        <v>44824</v>
      </c>
      <c r="L260" s="8">
        <f t="shared" si="18"/>
        <v>1.0753087074037242E-3</v>
      </c>
      <c r="M260" s="5">
        <v>44824</v>
      </c>
      <c r="N260" s="9">
        <f t="shared" si="19"/>
        <v>7.7235415906016722E-4</v>
      </c>
      <c r="O260" s="5">
        <v>44824</v>
      </c>
      <c r="P260">
        <f t="shared" si="21"/>
        <v>0.99924348665301865</v>
      </c>
      <c r="Q260" s="6">
        <f t="shared" si="22"/>
        <v>0.99998000039999213</v>
      </c>
      <c r="R260">
        <f t="shared" si="23"/>
        <v>-7.3679984760344284E-4</v>
      </c>
      <c r="T260" s="5">
        <v>44824</v>
      </c>
      <c r="U260" s="1">
        <v>-7.3679984760344284E-4</v>
      </c>
    </row>
    <row r="261" spans="3:21" x14ac:dyDescent="0.2">
      <c r="C261" s="5">
        <v>44825</v>
      </c>
      <c r="D261" s="6">
        <v>1.0000199999999999</v>
      </c>
      <c r="E261" s="6">
        <v>18461.68</v>
      </c>
      <c r="F261" s="6">
        <v>18448.5</v>
      </c>
      <c r="G261" s="6">
        <v>18476.28</v>
      </c>
      <c r="H261" s="6">
        <v>18440.5</v>
      </c>
      <c r="I261" s="5">
        <v>44825</v>
      </c>
      <c r="J261" s="7">
        <f t="shared" si="20"/>
        <v>-1.1472412044841148E-3</v>
      </c>
      <c r="K261" s="5">
        <v>44825</v>
      </c>
      <c r="L261" s="8">
        <f t="shared" si="18"/>
        <v>1.5058134807707313E-3</v>
      </c>
      <c r="M261" s="5">
        <v>44825</v>
      </c>
      <c r="N261" s="9">
        <f t="shared" si="19"/>
        <v>3.5857227628661656E-4</v>
      </c>
      <c r="O261" s="5">
        <v>44825</v>
      </c>
      <c r="P261">
        <f t="shared" si="21"/>
        <v>0.99806346299146809</v>
      </c>
      <c r="Q261" s="6">
        <f t="shared" si="22"/>
        <v>0.99998000039999213</v>
      </c>
      <c r="R261">
        <f t="shared" si="23"/>
        <v>-1.9184147206280579E-3</v>
      </c>
      <c r="T261" s="5">
        <v>44825</v>
      </c>
      <c r="U261" s="1">
        <v>-1.9184147206280579E-3</v>
      </c>
    </row>
    <row r="262" spans="3:21" x14ac:dyDescent="0.2">
      <c r="C262" s="5">
        <v>44826</v>
      </c>
      <c r="D262" s="6">
        <v>0.99997000000000003</v>
      </c>
      <c r="E262" s="6">
        <v>19398.669999999998</v>
      </c>
      <c r="F262" s="6">
        <v>19395.5</v>
      </c>
      <c r="G262" s="6">
        <v>19389.080000000002</v>
      </c>
      <c r="H262" s="6">
        <v>19399</v>
      </c>
      <c r="I262" s="5">
        <v>44826</v>
      </c>
      <c r="J262" s="7">
        <f t="shared" si="20"/>
        <v>1.7011475529082471E-5</v>
      </c>
      <c r="K262" s="5">
        <v>44826</v>
      </c>
      <c r="L262" s="8">
        <f t="shared" si="18"/>
        <v>-3.3100461447233914E-4</v>
      </c>
      <c r="M262" s="5">
        <v>44826</v>
      </c>
      <c r="N262" s="9">
        <f t="shared" si="19"/>
        <v>-3.1399313894325668E-4</v>
      </c>
      <c r="O262" s="5">
        <v>44826</v>
      </c>
      <c r="P262">
        <f t="shared" si="21"/>
        <v>1.0005116281948394</v>
      </c>
      <c r="Q262" s="6">
        <f t="shared" si="22"/>
        <v>1.0000300009000269</v>
      </c>
      <c r="R262">
        <f t="shared" si="23"/>
        <v>4.8149690775037567E-4</v>
      </c>
      <c r="T262" s="5">
        <v>44826</v>
      </c>
      <c r="U262" s="1">
        <v>4.8149690775037567E-4</v>
      </c>
    </row>
    <row r="263" spans="3:21" x14ac:dyDescent="0.2">
      <c r="C263" s="5">
        <v>44827</v>
      </c>
      <c r="D263" s="6">
        <v>0.99997000000000003</v>
      </c>
      <c r="E263" s="6">
        <v>19285.919999999998</v>
      </c>
      <c r="F263" s="6">
        <v>19281</v>
      </c>
      <c r="G263" s="6">
        <v>19266.259999999998</v>
      </c>
      <c r="H263" s="6">
        <v>19284</v>
      </c>
      <c r="I263" s="5">
        <v>44827</v>
      </c>
      <c r="J263" s="7">
        <f t="shared" si="20"/>
        <v>-9.9554493640866183E-5</v>
      </c>
      <c r="K263" s="5">
        <v>44827</v>
      </c>
      <c r="L263" s="8">
        <f t="shared" si="18"/>
        <v>-7.6448316996014735E-4</v>
      </c>
      <c r="M263" s="5">
        <v>44827</v>
      </c>
      <c r="N263" s="9">
        <f t="shared" si="19"/>
        <v>-8.6403766360101356E-4</v>
      </c>
      <c r="O263" s="5">
        <v>44827</v>
      </c>
      <c r="P263">
        <f t="shared" si="21"/>
        <v>1.000920780680838</v>
      </c>
      <c r="Q263" s="6">
        <f t="shared" si="22"/>
        <v>1.0000300009000269</v>
      </c>
      <c r="R263">
        <f t="shared" si="23"/>
        <v>8.9035657234233642E-4</v>
      </c>
      <c r="T263" s="5">
        <v>44827</v>
      </c>
      <c r="U263" s="1">
        <v>8.9035657234233642E-4</v>
      </c>
    </row>
    <row r="264" spans="3:21" x14ac:dyDescent="0.2">
      <c r="C264" s="5">
        <v>44828</v>
      </c>
      <c r="D264" s="6">
        <v>0.99997999999999998</v>
      </c>
      <c r="E264" s="6">
        <v>18924.04</v>
      </c>
      <c r="F264" s="6">
        <v>18915.5</v>
      </c>
      <c r="G264" s="6">
        <v>18907.509999999998</v>
      </c>
      <c r="H264" s="6">
        <v>18909</v>
      </c>
      <c r="I264" s="5">
        <v>44828</v>
      </c>
      <c r="J264" s="7">
        <f t="shared" si="20"/>
        <v>-7.9475629939488993E-4</v>
      </c>
      <c r="K264" s="5">
        <v>44828</v>
      </c>
      <c r="L264" s="8">
        <f t="shared" si="18"/>
        <v>-4.2240490602953138E-4</v>
      </c>
      <c r="M264" s="5">
        <v>44828</v>
      </c>
      <c r="N264" s="9">
        <f t="shared" si="19"/>
        <v>-1.2171612054244214E-3</v>
      </c>
      <c r="O264" s="5">
        <v>44828</v>
      </c>
      <c r="P264">
        <f t="shared" si="21"/>
        <v>1.0000788046654479</v>
      </c>
      <c r="Q264" s="6">
        <f t="shared" si="22"/>
        <v>1.0000200004000079</v>
      </c>
      <c r="R264">
        <f t="shared" si="23"/>
        <v>5.8801360520801169E-5</v>
      </c>
      <c r="T264" s="5">
        <v>44828</v>
      </c>
      <c r="U264" s="1">
        <v>5.8801360520801169E-5</v>
      </c>
    </row>
    <row r="265" spans="3:21" x14ac:dyDescent="0.2">
      <c r="C265" s="5">
        <v>44829</v>
      </c>
      <c r="D265" s="6">
        <v>1.0000199999999999</v>
      </c>
      <c r="E265" s="6">
        <v>18807.22</v>
      </c>
      <c r="F265" s="6">
        <v>18805</v>
      </c>
      <c r="G265" s="6">
        <v>18806.82</v>
      </c>
      <c r="H265" s="6">
        <v>18801.5</v>
      </c>
      <c r="I265" s="5">
        <v>44829</v>
      </c>
      <c r="J265" s="7">
        <f t="shared" si="20"/>
        <v>-3.0413851701639922E-4</v>
      </c>
      <c r="K265" s="5">
        <v>44829</v>
      </c>
      <c r="L265" s="8">
        <f t="shared" si="18"/>
        <v>9.6782770539734594E-5</v>
      </c>
      <c r="M265" s="5">
        <v>44829</v>
      </c>
      <c r="N265" s="9">
        <f t="shared" si="19"/>
        <v>-2.0735574647666463E-4</v>
      </c>
      <c r="O265" s="5">
        <v>44829</v>
      </c>
      <c r="P265">
        <f t="shared" si="21"/>
        <v>0.99971712389441703</v>
      </c>
      <c r="Q265" s="6">
        <f t="shared" si="22"/>
        <v>0.99998000039999213</v>
      </c>
      <c r="R265">
        <f t="shared" si="23"/>
        <v>-2.6291632257270458E-4</v>
      </c>
      <c r="T265" s="5">
        <v>44829</v>
      </c>
      <c r="U265" s="1">
        <v>-2.6291632257270458E-4</v>
      </c>
    </row>
    <row r="266" spans="3:21" x14ac:dyDescent="0.2">
      <c r="C266" s="5">
        <v>44830</v>
      </c>
      <c r="D266" s="6">
        <v>0.99997000000000003</v>
      </c>
      <c r="E266" s="6">
        <v>19225.73</v>
      </c>
      <c r="F266" s="6">
        <v>19222</v>
      </c>
      <c r="G266" s="6">
        <v>19219.72</v>
      </c>
      <c r="H266" s="6">
        <v>19203.5</v>
      </c>
      <c r="I266" s="5">
        <v>44830</v>
      </c>
      <c r="J266" s="7">
        <f t="shared" si="20"/>
        <v>-1.1562629871531309E-3</v>
      </c>
      <c r="K266" s="5">
        <v>44830</v>
      </c>
      <c r="L266" s="8">
        <f t="shared" si="18"/>
        <v>-1.1861408802407845E-4</v>
      </c>
      <c r="M266" s="5">
        <v>44830</v>
      </c>
      <c r="N266" s="9">
        <f t="shared" si="19"/>
        <v>-1.2748770751772093E-3</v>
      </c>
      <c r="O266" s="5">
        <v>44830</v>
      </c>
      <c r="P266">
        <f t="shared" si="21"/>
        <v>0.99915607511451776</v>
      </c>
      <c r="Q266" s="6">
        <f t="shared" si="22"/>
        <v>1.0000300009000269</v>
      </c>
      <c r="R266">
        <f t="shared" si="23"/>
        <v>-8.7428164057452471E-4</v>
      </c>
      <c r="T266" s="5">
        <v>44830</v>
      </c>
      <c r="U266" s="1">
        <v>-8.7428164057452471E-4</v>
      </c>
    </row>
    <row r="267" spans="3:21" x14ac:dyDescent="0.2">
      <c r="C267" s="5">
        <v>44831</v>
      </c>
      <c r="D267" s="6">
        <v>1</v>
      </c>
      <c r="E267" s="6">
        <v>19073.169999999998</v>
      </c>
      <c r="F267" s="6">
        <v>19068</v>
      </c>
      <c r="G267" s="6">
        <v>19083.72</v>
      </c>
      <c r="H267" s="6">
        <v>19077</v>
      </c>
      <c r="I267" s="5">
        <v>44831</v>
      </c>
      <c r="J267" s="7">
        <f t="shared" si="20"/>
        <v>2.0080563430209801E-4</v>
      </c>
      <c r="K267" s="5">
        <v>44831</v>
      </c>
      <c r="L267" s="8">
        <f t="shared" ref="L267:L330" si="24">(G267-F267)/F267</f>
        <v>8.2441787287608373E-4</v>
      </c>
      <c r="M267" s="5">
        <v>44831</v>
      </c>
      <c r="N267" s="9">
        <f t="shared" ref="N267:N330" si="25">J267+L267</f>
        <v>1.0252235071781819E-3</v>
      </c>
      <c r="O267" s="5">
        <v>44831</v>
      </c>
      <c r="P267">
        <f t="shared" si="21"/>
        <v>0.99964786739692257</v>
      </c>
      <c r="Q267" s="6">
        <f t="shared" si="22"/>
        <v>1</v>
      </c>
      <c r="R267">
        <f t="shared" si="23"/>
        <v>-3.5219461632085189E-4</v>
      </c>
      <c r="T267" s="5">
        <v>44831</v>
      </c>
      <c r="U267" s="1">
        <v>-3.5219461632085189E-4</v>
      </c>
    </row>
    <row r="268" spans="3:21" x14ac:dyDescent="0.2">
      <c r="C268" s="5">
        <v>44832</v>
      </c>
      <c r="D268" s="6">
        <v>1</v>
      </c>
      <c r="E268" s="6">
        <v>19406.439999999999</v>
      </c>
      <c r="F268" s="6">
        <v>19408.5</v>
      </c>
      <c r="G268" s="6">
        <v>19407.95</v>
      </c>
      <c r="H268" s="6">
        <v>19396</v>
      </c>
      <c r="I268" s="5">
        <v>44832</v>
      </c>
      <c r="J268" s="7">
        <f t="shared" ref="J268:J331" si="26">(H268-E268)/E268</f>
        <v>-5.3796574745283991E-4</v>
      </c>
      <c r="K268" s="5">
        <v>44832</v>
      </c>
      <c r="L268" s="8">
        <f t="shared" si="24"/>
        <v>-2.8338099286357648E-5</v>
      </c>
      <c r="M268" s="5">
        <v>44832</v>
      </c>
      <c r="N268" s="9">
        <f t="shared" si="25"/>
        <v>-5.6630384673919752E-4</v>
      </c>
      <c r="O268" s="5">
        <v>44832</v>
      </c>
      <c r="P268">
        <f t="shared" ref="P268:P331" si="27">(1/G268)*H268</f>
        <v>0.99938427293969734</v>
      </c>
      <c r="Q268" s="6">
        <f t="shared" ref="Q268:Q331" si="28">1/D268</f>
        <v>1</v>
      </c>
      <c r="R268">
        <f t="shared" ref="R268:R331" si="29">LN(P268/Q268)</f>
        <v>-6.1591669805644987E-4</v>
      </c>
      <c r="T268" s="5">
        <v>44832</v>
      </c>
      <c r="U268" s="1">
        <v>-6.1591669805644987E-4</v>
      </c>
    </row>
    <row r="269" spans="3:21" x14ac:dyDescent="0.2">
      <c r="C269" s="5">
        <v>44833</v>
      </c>
      <c r="D269" s="6">
        <v>0.99999000000000005</v>
      </c>
      <c r="E269" s="6">
        <v>19586.77</v>
      </c>
      <c r="F269" s="6">
        <v>19580.5</v>
      </c>
      <c r="G269" s="6">
        <v>19590.82</v>
      </c>
      <c r="H269" s="6">
        <v>19577.5</v>
      </c>
      <c r="I269" s="5">
        <v>44833</v>
      </c>
      <c r="J269" s="7">
        <f t="shared" si="26"/>
        <v>-4.7327864676005468E-4</v>
      </c>
      <c r="K269" s="5">
        <v>44833</v>
      </c>
      <c r="L269" s="8">
        <f t="shared" si="24"/>
        <v>5.2705497816703912E-4</v>
      </c>
      <c r="M269" s="5">
        <v>44833</v>
      </c>
      <c r="N269" s="9">
        <f t="shared" si="25"/>
        <v>5.3776331406984437E-5</v>
      </c>
      <c r="O269" s="5">
        <v>44833</v>
      </c>
      <c r="P269">
        <f t="shared" si="27"/>
        <v>0.99932008971548925</v>
      </c>
      <c r="Q269" s="6">
        <f t="shared" si="28"/>
        <v>1.000010000100001</v>
      </c>
      <c r="R269">
        <f t="shared" si="29"/>
        <v>-6.901415783311845E-4</v>
      </c>
      <c r="T269" s="5">
        <v>44833</v>
      </c>
      <c r="U269" s="1">
        <v>-6.901415783311845E-4</v>
      </c>
    </row>
    <row r="270" spans="3:21" x14ac:dyDescent="0.2">
      <c r="C270" s="5">
        <v>44834</v>
      </c>
      <c r="D270" s="6">
        <v>0.99992999999999999</v>
      </c>
      <c r="E270" s="6">
        <v>19424.78</v>
      </c>
      <c r="F270" s="6">
        <v>19411</v>
      </c>
      <c r="G270" s="6">
        <v>19432.599999999999</v>
      </c>
      <c r="H270" s="6">
        <v>19412</v>
      </c>
      <c r="I270" s="5">
        <v>44834</v>
      </c>
      <c r="J270" s="7">
        <f t="shared" si="26"/>
        <v>-6.5792250928962059E-4</v>
      </c>
      <c r="K270" s="5">
        <v>44834</v>
      </c>
      <c r="L270" s="8">
        <f t="shared" si="24"/>
        <v>1.1127711091648315E-3</v>
      </c>
      <c r="M270" s="5">
        <v>44834</v>
      </c>
      <c r="N270" s="9">
        <f t="shared" si="25"/>
        <v>4.5484859987521091E-4</v>
      </c>
      <c r="O270" s="5">
        <v>44834</v>
      </c>
      <c r="P270">
        <f t="shared" si="27"/>
        <v>0.99893992569187873</v>
      </c>
      <c r="Q270" s="6">
        <f t="shared" si="28"/>
        <v>1.000070004900343</v>
      </c>
      <c r="R270">
        <f t="shared" si="29"/>
        <v>-1.130639034409833E-3</v>
      </c>
      <c r="T270" s="5">
        <v>44834</v>
      </c>
      <c r="U270" s="1">
        <v>-1.130639034409833E-3</v>
      </c>
    </row>
    <row r="271" spans="3:21" x14ac:dyDescent="0.2">
      <c r="C271" s="5">
        <v>44835</v>
      </c>
      <c r="D271" s="6">
        <v>0.99997000000000003</v>
      </c>
      <c r="E271" s="6">
        <v>19310.45</v>
      </c>
      <c r="F271" s="6">
        <v>19301</v>
      </c>
      <c r="G271" s="6">
        <v>19328.13</v>
      </c>
      <c r="H271" s="6">
        <v>19289</v>
      </c>
      <c r="I271" s="5">
        <v>44835</v>
      </c>
      <c r="J271" s="7">
        <f t="shared" si="26"/>
        <v>-1.1107975215492506E-3</v>
      </c>
      <c r="K271" s="5">
        <v>44835</v>
      </c>
      <c r="L271" s="8">
        <f t="shared" si="24"/>
        <v>1.4056266514688885E-3</v>
      </c>
      <c r="M271" s="5">
        <v>44835</v>
      </c>
      <c r="N271" s="9">
        <f t="shared" si="25"/>
        <v>2.9482912991963791E-4</v>
      </c>
      <c r="O271" s="5">
        <v>44835</v>
      </c>
      <c r="P271">
        <f t="shared" si="27"/>
        <v>0.99797548961022087</v>
      </c>
      <c r="Q271" s="6">
        <f t="shared" si="28"/>
        <v>1.0000300009000269</v>
      </c>
      <c r="R271">
        <f t="shared" si="29"/>
        <v>-2.0565629310683657E-3</v>
      </c>
      <c r="T271" s="5">
        <v>44835</v>
      </c>
      <c r="U271" s="1">
        <v>-2.0565629310683657E-3</v>
      </c>
    </row>
    <row r="272" spans="3:21" x14ac:dyDescent="0.2">
      <c r="C272" s="5">
        <v>44836</v>
      </c>
      <c r="D272" s="6">
        <v>1</v>
      </c>
      <c r="E272" s="6">
        <v>19059.68</v>
      </c>
      <c r="F272" s="6">
        <v>19045</v>
      </c>
      <c r="G272" s="6">
        <v>19071.37</v>
      </c>
      <c r="H272" s="6">
        <v>19045</v>
      </c>
      <c r="I272" s="5">
        <v>44836</v>
      </c>
      <c r="J272" s="7">
        <f t="shared" si="26"/>
        <v>-7.7021230157066074E-4</v>
      </c>
      <c r="K272" s="5">
        <v>44836</v>
      </c>
      <c r="L272" s="8">
        <f t="shared" si="24"/>
        <v>1.3846153846153312E-3</v>
      </c>
      <c r="M272" s="5">
        <v>44836</v>
      </c>
      <c r="N272" s="9">
        <f t="shared" si="25"/>
        <v>6.1440308304467044E-4</v>
      </c>
      <c r="O272" s="5">
        <v>44836</v>
      </c>
      <c r="P272">
        <f t="shared" si="27"/>
        <v>0.99861729912428954</v>
      </c>
      <c r="Q272" s="6">
        <f t="shared" si="28"/>
        <v>1</v>
      </c>
      <c r="R272">
        <f t="shared" si="29"/>
        <v>-1.383657688658745E-3</v>
      </c>
      <c r="T272" s="5">
        <v>44836</v>
      </c>
      <c r="U272" s="1">
        <v>-1.383657688658745E-3</v>
      </c>
    </row>
    <row r="273" spans="3:21" x14ac:dyDescent="0.2">
      <c r="C273" s="5">
        <v>44837</v>
      </c>
      <c r="D273" s="6">
        <v>1.0000100000000001</v>
      </c>
      <c r="E273" s="6">
        <v>19627.45</v>
      </c>
      <c r="F273" s="6">
        <v>19625.5</v>
      </c>
      <c r="G273" s="6">
        <v>19628.099999999999</v>
      </c>
      <c r="H273" s="6">
        <v>19610.5</v>
      </c>
      <c r="I273" s="5">
        <v>44837</v>
      </c>
      <c r="J273" s="7">
        <f t="shared" si="26"/>
        <v>-8.6358645672263731E-4</v>
      </c>
      <c r="K273" s="5">
        <v>44837</v>
      </c>
      <c r="L273" s="8">
        <f t="shared" si="24"/>
        <v>1.3248070112855951E-4</v>
      </c>
      <c r="M273" s="5">
        <v>44837</v>
      </c>
      <c r="N273" s="9">
        <f t="shared" si="25"/>
        <v>-7.3110575559407777E-4</v>
      </c>
      <c r="O273" s="5">
        <v>44837</v>
      </c>
      <c r="P273">
        <f t="shared" si="27"/>
        <v>0.99910332635354415</v>
      </c>
      <c r="Q273" s="6">
        <f t="shared" si="28"/>
        <v>0.99999000009999894</v>
      </c>
      <c r="R273">
        <f t="shared" si="29"/>
        <v>-8.8707594874690209E-4</v>
      </c>
      <c r="T273" s="5">
        <v>44837</v>
      </c>
      <c r="U273" s="1">
        <v>-8.8707594874690209E-4</v>
      </c>
    </row>
    <row r="274" spans="3:21" x14ac:dyDescent="0.2">
      <c r="C274" s="5">
        <v>44838</v>
      </c>
      <c r="D274" s="6">
        <v>0.99997000000000003</v>
      </c>
      <c r="E274" s="6">
        <v>20341.97</v>
      </c>
      <c r="F274" s="6">
        <v>20335</v>
      </c>
      <c r="G274" s="6">
        <v>20349.13</v>
      </c>
      <c r="H274" s="6">
        <v>20325.5</v>
      </c>
      <c r="I274" s="5">
        <v>44838</v>
      </c>
      <c r="J274" s="7">
        <f t="shared" si="26"/>
        <v>-8.0965609525533483E-4</v>
      </c>
      <c r="K274" s="5">
        <v>44838</v>
      </c>
      <c r="L274" s="8">
        <f t="shared" si="24"/>
        <v>6.9486107696095493E-4</v>
      </c>
      <c r="M274" s="5">
        <v>44838</v>
      </c>
      <c r="N274" s="9">
        <f t="shared" si="25"/>
        <v>-1.147950182943799E-4</v>
      </c>
      <c r="O274" s="5">
        <v>44838</v>
      </c>
      <c r="P274">
        <f t="shared" si="27"/>
        <v>0.99883877099414076</v>
      </c>
      <c r="Q274" s="6">
        <f t="shared" si="28"/>
        <v>1.0000300009000269</v>
      </c>
      <c r="R274">
        <f t="shared" si="29"/>
        <v>-1.1919042046793144E-3</v>
      </c>
      <c r="T274" s="5">
        <v>44838</v>
      </c>
      <c r="U274" s="1">
        <v>-1.1919042046793144E-3</v>
      </c>
    </row>
    <row r="275" spans="3:21" x14ac:dyDescent="0.2">
      <c r="C275" s="5">
        <v>44839</v>
      </c>
      <c r="D275" s="6">
        <v>0.99980000000000002</v>
      </c>
      <c r="E275" s="6">
        <v>20169.63</v>
      </c>
      <c r="F275" s="6">
        <v>20156</v>
      </c>
      <c r="G275" s="6">
        <v>20159.07</v>
      </c>
      <c r="H275" s="6">
        <v>20161</v>
      </c>
      <c r="I275" s="5">
        <v>44839</v>
      </c>
      <c r="J275" s="7">
        <f t="shared" si="26"/>
        <v>-4.2787101201167391E-4</v>
      </c>
      <c r="K275" s="5">
        <v>44839</v>
      </c>
      <c r="L275" s="8">
        <f t="shared" si="24"/>
        <v>1.5231196666003717E-4</v>
      </c>
      <c r="M275" s="5">
        <v>44839</v>
      </c>
      <c r="N275" s="9">
        <f t="shared" si="25"/>
        <v>-2.7555904535163671E-4</v>
      </c>
      <c r="O275" s="5">
        <v>44839</v>
      </c>
      <c r="P275">
        <f t="shared" si="27"/>
        <v>1.0000957385434943</v>
      </c>
      <c r="Q275" s="6">
        <f t="shared" si="28"/>
        <v>1.0002000400080016</v>
      </c>
      <c r="R275">
        <f t="shared" si="29"/>
        <v>-1.0428604181453695E-4</v>
      </c>
      <c r="T275" s="5">
        <v>44839</v>
      </c>
      <c r="U275" s="1">
        <v>-1.0428604181453695E-4</v>
      </c>
    </row>
    <row r="276" spans="3:21" x14ac:dyDescent="0.2">
      <c r="C276" s="5">
        <v>44840</v>
      </c>
      <c r="D276" s="6">
        <v>0.99992999999999999</v>
      </c>
      <c r="E276" s="6">
        <v>19967.68</v>
      </c>
      <c r="F276" s="6">
        <v>19955</v>
      </c>
      <c r="G276" s="6">
        <v>19957.43</v>
      </c>
      <c r="H276" s="6">
        <v>19966.5</v>
      </c>
      <c r="I276" s="5">
        <v>44840</v>
      </c>
      <c r="J276" s="7">
        <f t="shared" si="26"/>
        <v>-5.9095498325308246E-5</v>
      </c>
      <c r="K276" s="5">
        <v>44840</v>
      </c>
      <c r="L276" s="8">
        <f t="shared" si="24"/>
        <v>1.2177399148084645E-4</v>
      </c>
      <c r="M276" s="5">
        <v>44840</v>
      </c>
      <c r="N276" s="9">
        <f t="shared" si="25"/>
        <v>6.2678493155538201E-5</v>
      </c>
      <c r="O276" s="5">
        <v>44840</v>
      </c>
      <c r="P276">
        <f t="shared" si="27"/>
        <v>1.0004544673337199</v>
      </c>
      <c r="Q276" s="6">
        <f t="shared" si="28"/>
        <v>1.000070004900343</v>
      </c>
      <c r="R276">
        <f t="shared" si="29"/>
        <v>3.8436164460482845E-4</v>
      </c>
      <c r="T276" s="5">
        <v>44840</v>
      </c>
      <c r="U276" s="1">
        <v>3.8436164460482845E-4</v>
      </c>
    </row>
    <row r="277" spans="3:21" x14ac:dyDescent="0.2">
      <c r="C277" s="5">
        <v>44841</v>
      </c>
      <c r="D277" s="6">
        <v>0.99992999999999999</v>
      </c>
      <c r="E277" s="6">
        <v>19534.25</v>
      </c>
      <c r="F277" s="6">
        <v>19520.5</v>
      </c>
      <c r="G277" s="6">
        <v>19542.689999999999</v>
      </c>
      <c r="H277" s="6">
        <v>19530</v>
      </c>
      <c r="I277" s="5">
        <v>44841</v>
      </c>
      <c r="J277" s="7">
        <f t="shared" si="26"/>
        <v>-2.1756658177303967E-4</v>
      </c>
      <c r="K277" s="5">
        <v>44841</v>
      </c>
      <c r="L277" s="8">
        <f t="shared" si="24"/>
        <v>1.1367536692194714E-3</v>
      </c>
      <c r="M277" s="5">
        <v>44841</v>
      </c>
      <c r="N277" s="9">
        <f t="shared" si="25"/>
        <v>9.1918708744643174E-4</v>
      </c>
      <c r="O277" s="5">
        <v>44841</v>
      </c>
      <c r="P277">
        <f t="shared" si="27"/>
        <v>0.99935065234110565</v>
      </c>
      <c r="Q277" s="6">
        <f t="shared" si="28"/>
        <v>1.000070004900343</v>
      </c>
      <c r="R277">
        <f t="shared" si="29"/>
        <v>-7.1956102651060964E-4</v>
      </c>
      <c r="T277" s="5">
        <v>44841</v>
      </c>
      <c r="U277" s="1">
        <v>-7.1956102651060964E-4</v>
      </c>
    </row>
    <row r="278" spans="3:21" x14ac:dyDescent="0.2">
      <c r="C278" s="5">
        <v>44842</v>
      </c>
      <c r="D278" s="6">
        <v>0.99995000000000001</v>
      </c>
      <c r="E278" s="6">
        <v>19420.98</v>
      </c>
      <c r="F278" s="6">
        <v>19411.5</v>
      </c>
      <c r="G278" s="6">
        <v>19440.11</v>
      </c>
      <c r="H278" s="6">
        <v>19409.5</v>
      </c>
      <c r="I278" s="5">
        <v>44842</v>
      </c>
      <c r="J278" s="7">
        <f t="shared" si="26"/>
        <v>-5.9111332177879609E-4</v>
      </c>
      <c r="K278" s="5">
        <v>44842</v>
      </c>
      <c r="L278" s="8">
        <f t="shared" si="24"/>
        <v>1.4738685830564657E-3</v>
      </c>
      <c r="M278" s="5">
        <v>44842</v>
      </c>
      <c r="N278" s="9">
        <f t="shared" si="25"/>
        <v>8.8275526127766957E-4</v>
      </c>
      <c r="O278" s="5">
        <v>44842</v>
      </c>
      <c r="P278">
        <f t="shared" si="27"/>
        <v>0.99842542043229177</v>
      </c>
      <c r="Q278" s="6">
        <f t="shared" si="28"/>
        <v>1.0000500025001251</v>
      </c>
      <c r="R278">
        <f t="shared" si="29"/>
        <v>-1.6258217709816079E-3</v>
      </c>
      <c r="T278" s="5">
        <v>44842</v>
      </c>
      <c r="U278" s="1">
        <v>-1.6258217709816079E-3</v>
      </c>
    </row>
    <row r="279" spans="3:21" x14ac:dyDescent="0.2">
      <c r="C279" s="5">
        <v>44843</v>
      </c>
      <c r="D279" s="6">
        <v>0.99995000000000001</v>
      </c>
      <c r="E279" s="6">
        <v>19440.12</v>
      </c>
      <c r="F279" s="6">
        <v>19435.5</v>
      </c>
      <c r="G279" s="6">
        <v>19444.11</v>
      </c>
      <c r="H279" s="6">
        <v>19441.5</v>
      </c>
      <c r="I279" s="5">
        <v>44843</v>
      </c>
      <c r="J279" s="7">
        <f t="shared" si="26"/>
        <v>7.0987216128347901E-5</v>
      </c>
      <c r="K279" s="5">
        <v>44843</v>
      </c>
      <c r="L279" s="8">
        <f t="shared" si="24"/>
        <v>4.4300378173963014E-4</v>
      </c>
      <c r="M279" s="5">
        <v>44843</v>
      </c>
      <c r="N279" s="9">
        <f t="shared" si="25"/>
        <v>5.13990997867978E-4</v>
      </c>
      <c r="O279" s="5">
        <v>44843</v>
      </c>
      <c r="P279">
        <f t="shared" si="27"/>
        <v>0.99986576911980019</v>
      </c>
      <c r="Q279" s="6">
        <f t="shared" si="28"/>
        <v>1.0000500025001251</v>
      </c>
      <c r="R279">
        <f t="shared" si="29"/>
        <v>-1.8424114001247969E-4</v>
      </c>
      <c r="T279" s="5">
        <v>44843</v>
      </c>
      <c r="U279" s="1">
        <v>-1.8424114001247969E-4</v>
      </c>
    </row>
    <row r="280" spans="3:21" x14ac:dyDescent="0.2">
      <c r="C280" s="5">
        <v>44844</v>
      </c>
      <c r="D280" s="6">
        <v>1.00003</v>
      </c>
      <c r="E280" s="6">
        <v>19130.82</v>
      </c>
      <c r="F280" s="6">
        <v>19121</v>
      </c>
      <c r="G280" s="6">
        <v>19139.2</v>
      </c>
      <c r="H280" s="6">
        <v>19130</v>
      </c>
      <c r="I280" s="5">
        <v>44844</v>
      </c>
      <c r="J280" s="7">
        <f t="shared" si="26"/>
        <v>-4.2862773263232258E-5</v>
      </c>
      <c r="K280" s="5">
        <v>44844</v>
      </c>
      <c r="L280" s="8">
        <f t="shared" si="24"/>
        <v>9.5183306312435169E-4</v>
      </c>
      <c r="M280" s="5">
        <v>44844</v>
      </c>
      <c r="N280" s="9">
        <f t="shared" si="25"/>
        <v>9.0897028986111942E-4</v>
      </c>
      <c r="O280" s="5">
        <v>44844</v>
      </c>
      <c r="P280">
        <f t="shared" si="27"/>
        <v>0.99951931115198123</v>
      </c>
      <c r="Q280" s="6">
        <f t="shared" si="28"/>
        <v>0.99997000089997301</v>
      </c>
      <c r="R280">
        <f t="shared" si="29"/>
        <v>-4.508048659303937E-4</v>
      </c>
      <c r="T280" s="5">
        <v>44844</v>
      </c>
      <c r="U280" s="1">
        <v>-4.508048659303937E-4</v>
      </c>
    </row>
    <row r="281" spans="3:21" x14ac:dyDescent="0.2">
      <c r="C281" s="5">
        <v>44845</v>
      </c>
      <c r="D281" s="6">
        <v>1.00004</v>
      </c>
      <c r="E281" s="6">
        <v>19058.27</v>
      </c>
      <c r="F281" s="6">
        <v>19051.5</v>
      </c>
      <c r="G281" s="6">
        <v>19068.68</v>
      </c>
      <c r="H281" s="6">
        <v>19046.5</v>
      </c>
      <c r="I281" s="5">
        <v>44845</v>
      </c>
      <c r="J281" s="7">
        <f t="shared" si="26"/>
        <v>-6.1757966489090757E-4</v>
      </c>
      <c r="K281" s="5">
        <v>44845</v>
      </c>
      <c r="L281" s="8">
        <f t="shared" si="24"/>
        <v>9.0176626512349632E-4</v>
      </c>
      <c r="M281" s="5">
        <v>44845</v>
      </c>
      <c r="N281" s="9">
        <f t="shared" si="25"/>
        <v>2.8418660023258875E-4</v>
      </c>
      <c r="O281" s="5">
        <v>44845</v>
      </c>
      <c r="P281">
        <f t="shared" si="27"/>
        <v>0.99883683611031282</v>
      </c>
      <c r="Q281" s="6">
        <f t="shared" si="28"/>
        <v>0.99996000159993592</v>
      </c>
      <c r="R281">
        <f t="shared" si="29"/>
        <v>-1.1238416898085167E-3</v>
      </c>
      <c r="T281" s="5">
        <v>44845</v>
      </c>
      <c r="U281" s="1">
        <v>-1.1238416898085167E-3</v>
      </c>
    </row>
    <row r="282" spans="3:21" x14ac:dyDescent="0.2">
      <c r="C282" s="5">
        <v>44846</v>
      </c>
      <c r="D282" s="6">
        <v>0.99997000000000003</v>
      </c>
      <c r="E282" s="6">
        <v>19158.86</v>
      </c>
      <c r="F282" s="6">
        <v>19148</v>
      </c>
      <c r="G282" s="6">
        <v>19148.66</v>
      </c>
      <c r="H282" s="6">
        <v>19145</v>
      </c>
      <c r="I282" s="5">
        <v>44846</v>
      </c>
      <c r="J282" s="7">
        <f t="shared" si="26"/>
        <v>-7.2342508896670161E-4</v>
      </c>
      <c r="K282" s="5">
        <v>44846</v>
      </c>
      <c r="L282" s="8">
        <f t="shared" si="24"/>
        <v>3.4468351786079721E-5</v>
      </c>
      <c r="M282" s="5">
        <v>44846</v>
      </c>
      <c r="N282" s="9">
        <f t="shared" si="25"/>
        <v>-6.8895673718062189E-4</v>
      </c>
      <c r="O282" s="5">
        <v>44846</v>
      </c>
      <c r="P282">
        <f t="shared" si="27"/>
        <v>0.99980886391005952</v>
      </c>
      <c r="Q282" s="6">
        <f t="shared" si="28"/>
        <v>1.0000300009000269</v>
      </c>
      <c r="R282">
        <f t="shared" si="29"/>
        <v>-2.2115480877975336E-4</v>
      </c>
      <c r="T282" s="5">
        <v>44846</v>
      </c>
      <c r="U282" s="1">
        <v>-2.2115480877975336E-4</v>
      </c>
    </row>
    <row r="283" spans="3:21" x14ac:dyDescent="0.2">
      <c r="C283" s="5">
        <v>44847</v>
      </c>
      <c r="D283" s="6">
        <v>0.99994000000000005</v>
      </c>
      <c r="E283" s="6">
        <v>19382.38</v>
      </c>
      <c r="F283" s="6">
        <v>19371.5</v>
      </c>
      <c r="G283" s="6">
        <v>19395.259999999998</v>
      </c>
      <c r="H283" s="6">
        <v>19367</v>
      </c>
      <c r="I283" s="5">
        <v>44847</v>
      </c>
      <c r="J283" s="7">
        <f t="shared" si="26"/>
        <v>-7.9350420330222694E-4</v>
      </c>
      <c r="K283" s="5">
        <v>44847</v>
      </c>
      <c r="L283" s="8">
        <f t="shared" si="24"/>
        <v>1.2265441499108691E-3</v>
      </c>
      <c r="M283" s="5">
        <v>44847</v>
      </c>
      <c r="N283" s="9">
        <f t="shared" si="25"/>
        <v>4.3303994660864214E-4</v>
      </c>
      <c r="O283" s="5">
        <v>44847</v>
      </c>
      <c r="P283">
        <f t="shared" si="27"/>
        <v>0.9985429429664775</v>
      </c>
      <c r="Q283" s="6">
        <f t="shared" si="28"/>
        <v>1.0000600036002159</v>
      </c>
      <c r="R283">
        <f t="shared" si="29"/>
        <v>-1.5181213734399551E-3</v>
      </c>
      <c r="T283" s="5">
        <v>44847</v>
      </c>
      <c r="U283" s="1">
        <v>-1.5181213734399551E-3</v>
      </c>
    </row>
    <row r="284" spans="3:21" x14ac:dyDescent="0.2">
      <c r="C284" s="5">
        <v>44848</v>
      </c>
      <c r="D284" s="6">
        <v>0.99995999999999996</v>
      </c>
      <c r="E284" s="6">
        <v>19177.060000000001</v>
      </c>
      <c r="F284" s="6">
        <v>19167.5</v>
      </c>
      <c r="G284" s="6">
        <v>19181.419999999998</v>
      </c>
      <c r="H284" s="6">
        <v>19170.5</v>
      </c>
      <c r="I284" s="5">
        <v>44848</v>
      </c>
      <c r="J284" s="7">
        <f t="shared" si="26"/>
        <v>-3.4207537547472391E-4</v>
      </c>
      <c r="K284" s="5">
        <v>44848</v>
      </c>
      <c r="L284" s="8">
        <f t="shared" si="24"/>
        <v>7.2622929437841423E-4</v>
      </c>
      <c r="M284" s="5">
        <v>44848</v>
      </c>
      <c r="N284" s="9">
        <f t="shared" si="25"/>
        <v>3.8415391890369031E-4</v>
      </c>
      <c r="O284" s="5">
        <v>44848</v>
      </c>
      <c r="P284">
        <f t="shared" si="27"/>
        <v>0.99943069908275828</v>
      </c>
      <c r="Q284" s="6">
        <f t="shared" si="28"/>
        <v>1.0000400016000641</v>
      </c>
      <c r="R284">
        <f t="shared" si="29"/>
        <v>-6.0946383056080121E-4</v>
      </c>
      <c r="T284" s="5">
        <v>44848</v>
      </c>
      <c r="U284" s="1">
        <v>-6.0946383056080121E-4</v>
      </c>
    </row>
    <row r="285" spans="3:21" x14ac:dyDescent="0.2">
      <c r="C285" s="5">
        <v>44849</v>
      </c>
      <c r="D285" s="6">
        <v>0.99997000000000003</v>
      </c>
      <c r="E285" s="6">
        <v>19068.36</v>
      </c>
      <c r="F285" s="6">
        <v>19059.5</v>
      </c>
      <c r="G285" s="6">
        <v>19086.77</v>
      </c>
      <c r="H285" s="6">
        <v>19067.5</v>
      </c>
      <c r="I285" s="5">
        <v>44849</v>
      </c>
      <c r="J285" s="7">
        <f t="shared" si="26"/>
        <v>-4.5100889641300147E-5</v>
      </c>
      <c r="K285" s="5">
        <v>44849</v>
      </c>
      <c r="L285" s="8">
        <f t="shared" si="24"/>
        <v>1.4307825493848441E-3</v>
      </c>
      <c r="M285" s="5">
        <v>44849</v>
      </c>
      <c r="N285" s="9">
        <f t="shared" si="25"/>
        <v>1.3856816597435438E-3</v>
      </c>
      <c r="O285" s="5">
        <v>44849</v>
      </c>
      <c r="P285">
        <f t="shared" si="27"/>
        <v>0.99899040015675766</v>
      </c>
      <c r="Q285" s="6">
        <f t="shared" si="28"/>
        <v>1.0000300009000269</v>
      </c>
      <c r="R285">
        <f t="shared" si="29"/>
        <v>-1.0401102824585898E-3</v>
      </c>
      <c r="T285" s="5">
        <v>44849</v>
      </c>
      <c r="U285" s="1">
        <v>-1.0401102824585898E-3</v>
      </c>
    </row>
    <row r="286" spans="3:21" x14ac:dyDescent="0.2">
      <c r="C286" s="5">
        <v>44850</v>
      </c>
      <c r="D286" s="6">
        <v>0.99997000000000003</v>
      </c>
      <c r="E286" s="6">
        <v>19267.240000000002</v>
      </c>
      <c r="F286" s="6">
        <v>19252</v>
      </c>
      <c r="G286" s="6">
        <v>19260.03</v>
      </c>
      <c r="H286" s="6">
        <v>19253.5</v>
      </c>
      <c r="I286" s="5">
        <v>44850</v>
      </c>
      <c r="J286" s="7">
        <f t="shared" si="26"/>
        <v>-7.1312756783024444E-4</v>
      </c>
      <c r="K286" s="5">
        <v>44850</v>
      </c>
      <c r="L286" s="8">
        <f t="shared" si="24"/>
        <v>4.170995221275107E-4</v>
      </c>
      <c r="M286" s="5">
        <v>44850</v>
      </c>
      <c r="N286" s="9">
        <f t="shared" si="25"/>
        <v>-2.9602804570273374E-4</v>
      </c>
      <c r="O286" s="5">
        <v>44850</v>
      </c>
      <c r="P286">
        <f t="shared" si="27"/>
        <v>0.99966095587597747</v>
      </c>
      <c r="Q286" s="6">
        <f t="shared" si="28"/>
        <v>1.0000300009000269</v>
      </c>
      <c r="R286">
        <f t="shared" si="29"/>
        <v>-3.69102062484903E-4</v>
      </c>
      <c r="T286" s="5">
        <v>44850</v>
      </c>
      <c r="U286" s="1">
        <v>-3.69102062484903E-4</v>
      </c>
    </row>
    <row r="287" spans="3:21" x14ac:dyDescent="0.2">
      <c r="C287" s="5">
        <v>44851</v>
      </c>
      <c r="D287" s="6">
        <v>0.99995000000000001</v>
      </c>
      <c r="E287" s="6">
        <v>19548.37</v>
      </c>
      <c r="F287" s="6">
        <v>19536</v>
      </c>
      <c r="G287" s="6">
        <v>19562.63</v>
      </c>
      <c r="H287" s="6">
        <v>19547</v>
      </c>
      <c r="I287" s="5">
        <v>44851</v>
      </c>
      <c r="J287" s="7">
        <f t="shared" si="26"/>
        <v>-7.0082569544109382E-5</v>
      </c>
      <c r="K287" s="5">
        <v>44851</v>
      </c>
      <c r="L287" s="8">
        <f t="shared" si="24"/>
        <v>1.3631244881245402E-3</v>
      </c>
      <c r="M287" s="5">
        <v>44851</v>
      </c>
      <c r="N287" s="9">
        <f t="shared" si="25"/>
        <v>1.2930419185804309E-3</v>
      </c>
      <c r="O287" s="5">
        <v>44851</v>
      </c>
      <c r="P287">
        <f t="shared" si="27"/>
        <v>0.9992010276736818</v>
      </c>
      <c r="Q287" s="6">
        <f t="shared" si="28"/>
        <v>1.0000500025001251</v>
      </c>
      <c r="R287">
        <f t="shared" si="29"/>
        <v>-8.4929292486084066E-4</v>
      </c>
      <c r="T287" s="5">
        <v>44851</v>
      </c>
      <c r="U287" s="1">
        <v>-8.4929292486084066E-4</v>
      </c>
    </row>
    <row r="288" spans="3:21" x14ac:dyDescent="0.2">
      <c r="C288" s="5">
        <v>44852</v>
      </c>
      <c r="D288" s="6">
        <v>0.99992000000000003</v>
      </c>
      <c r="E288" s="6">
        <v>19330.75</v>
      </c>
      <c r="F288" s="6">
        <v>19319.5</v>
      </c>
      <c r="G288" s="6">
        <v>19341.77</v>
      </c>
      <c r="H288" s="6">
        <v>19321</v>
      </c>
      <c r="I288" s="5">
        <v>44852</v>
      </c>
      <c r="J288" s="7">
        <f t="shared" si="26"/>
        <v>-5.0437774012906901E-4</v>
      </c>
      <c r="K288" s="5">
        <v>44852</v>
      </c>
      <c r="L288" s="8">
        <f t="shared" si="24"/>
        <v>1.1527213437200982E-3</v>
      </c>
      <c r="M288" s="5">
        <v>44852</v>
      </c>
      <c r="N288" s="9">
        <f t="shared" si="25"/>
        <v>6.4834360359102916E-4</v>
      </c>
      <c r="O288" s="5">
        <v>44852</v>
      </c>
      <c r="P288">
        <f t="shared" si="27"/>
        <v>0.99892615825749143</v>
      </c>
      <c r="Q288" s="6">
        <f t="shared" si="28"/>
        <v>1.000080006400512</v>
      </c>
      <c r="R288">
        <f t="shared" si="29"/>
        <v>-1.1544219238177388E-3</v>
      </c>
      <c r="T288" s="5">
        <v>44852</v>
      </c>
      <c r="U288" s="1">
        <v>-1.1544219238177388E-3</v>
      </c>
    </row>
    <row r="289" spans="3:21" x14ac:dyDescent="0.2">
      <c r="C289" s="5">
        <v>44853</v>
      </c>
      <c r="D289" s="6">
        <v>0.99999000000000005</v>
      </c>
      <c r="E289" s="6">
        <v>19127.830000000002</v>
      </c>
      <c r="F289" s="6">
        <v>19118.5</v>
      </c>
      <c r="G289" s="6">
        <v>19130</v>
      </c>
      <c r="H289" s="6">
        <v>19126.5</v>
      </c>
      <c r="I289" s="5">
        <v>44853</v>
      </c>
      <c r="J289" s="7">
        <f t="shared" si="26"/>
        <v>-6.9532194713239616E-5</v>
      </c>
      <c r="K289" s="5">
        <v>44853</v>
      </c>
      <c r="L289" s="8">
        <f t="shared" si="24"/>
        <v>6.0151162486596756E-4</v>
      </c>
      <c r="M289" s="5">
        <v>44853</v>
      </c>
      <c r="N289" s="9">
        <f t="shared" si="25"/>
        <v>5.3197943015272791E-4</v>
      </c>
      <c r="O289" s="5">
        <v>44853</v>
      </c>
      <c r="P289">
        <f t="shared" si="27"/>
        <v>0.99981704129639315</v>
      </c>
      <c r="Q289" s="6">
        <f t="shared" si="28"/>
        <v>1.000010000100001</v>
      </c>
      <c r="R289">
        <f t="shared" si="29"/>
        <v>-1.9297549259247599E-4</v>
      </c>
      <c r="T289" s="5">
        <v>44853</v>
      </c>
      <c r="U289" s="1">
        <v>-1.9297549259247599E-4</v>
      </c>
    </row>
    <row r="290" spans="3:21" x14ac:dyDescent="0.2">
      <c r="C290" s="5">
        <v>44854</v>
      </c>
      <c r="D290" s="6">
        <v>0.99995000000000001</v>
      </c>
      <c r="E290" s="6">
        <v>19043.759999999998</v>
      </c>
      <c r="F290" s="6">
        <v>19039</v>
      </c>
      <c r="G290" s="6">
        <v>19052.990000000002</v>
      </c>
      <c r="H290" s="6">
        <v>19038.5</v>
      </c>
      <c r="I290" s="5">
        <v>44854</v>
      </c>
      <c r="J290" s="7">
        <f t="shared" si="26"/>
        <v>-2.7620595932727567E-4</v>
      </c>
      <c r="K290" s="5">
        <v>44854</v>
      </c>
      <c r="L290" s="8">
        <f t="shared" si="24"/>
        <v>7.3480750039401233E-4</v>
      </c>
      <c r="M290" s="5">
        <v>44854</v>
      </c>
      <c r="N290" s="9">
        <f t="shared" si="25"/>
        <v>4.5860154106673666E-4</v>
      </c>
      <c r="O290" s="5">
        <v>44854</v>
      </c>
      <c r="P290">
        <f t="shared" si="27"/>
        <v>0.99923948944496366</v>
      </c>
      <c r="Q290" s="6">
        <f t="shared" si="28"/>
        <v>1.0000500025001251</v>
      </c>
      <c r="R290">
        <f t="shared" si="29"/>
        <v>-8.1080113993441095E-4</v>
      </c>
      <c r="T290" s="5">
        <v>44854</v>
      </c>
      <c r="U290" s="1">
        <v>-8.1080113993441095E-4</v>
      </c>
    </row>
    <row r="291" spans="3:21" x14ac:dyDescent="0.2">
      <c r="C291" s="5">
        <v>44855</v>
      </c>
      <c r="D291" s="6">
        <v>1.00007</v>
      </c>
      <c r="E291" s="6">
        <v>19165.310000000001</v>
      </c>
      <c r="F291" s="6">
        <v>19154</v>
      </c>
      <c r="G291" s="6">
        <v>19176.060000000001</v>
      </c>
      <c r="H291" s="6">
        <v>19152.5</v>
      </c>
      <c r="I291" s="5">
        <v>44855</v>
      </c>
      <c r="J291" s="7">
        <f t="shared" si="26"/>
        <v>-6.6839513683844976E-4</v>
      </c>
      <c r="K291" s="5">
        <v>44855</v>
      </c>
      <c r="L291" s="8">
        <f t="shared" si="24"/>
        <v>1.1517176568863585E-3</v>
      </c>
      <c r="M291" s="5">
        <v>44855</v>
      </c>
      <c r="N291" s="9">
        <f t="shared" si="25"/>
        <v>4.8332252004790871E-4</v>
      </c>
      <c r="O291" s="5">
        <v>44855</v>
      </c>
      <c r="P291">
        <f t="shared" si="27"/>
        <v>0.99877138473701055</v>
      </c>
      <c r="Q291" s="6">
        <f t="shared" si="28"/>
        <v>0.999930004899657</v>
      </c>
      <c r="R291">
        <f t="shared" si="29"/>
        <v>-1.1593730793739644E-3</v>
      </c>
      <c r="T291" s="5">
        <v>44855</v>
      </c>
      <c r="U291" s="1">
        <v>-1.1593730793739644E-3</v>
      </c>
    </row>
    <row r="292" spans="3:21" x14ac:dyDescent="0.2">
      <c r="C292" s="5">
        <v>44856</v>
      </c>
      <c r="D292" s="6">
        <v>0.99992999999999999</v>
      </c>
      <c r="E292" s="6">
        <v>19203.72</v>
      </c>
      <c r="F292" s="6">
        <v>19195</v>
      </c>
      <c r="G292" s="6">
        <v>19207.47</v>
      </c>
      <c r="H292" s="6">
        <v>19195.5</v>
      </c>
      <c r="I292" s="5">
        <v>44856</v>
      </c>
      <c r="J292" s="7">
        <f t="shared" si="26"/>
        <v>-4.2804206684960848E-4</v>
      </c>
      <c r="K292" s="5">
        <v>44856</v>
      </c>
      <c r="L292" s="8">
        <f t="shared" si="24"/>
        <v>6.4964834592347819E-4</v>
      </c>
      <c r="M292" s="5">
        <v>44856</v>
      </c>
      <c r="N292" s="9">
        <f t="shared" si="25"/>
        <v>2.216062790738697E-4</v>
      </c>
      <c r="O292" s="5">
        <v>44856</v>
      </c>
      <c r="P292">
        <f t="shared" si="27"/>
        <v>0.99937680496181958</v>
      </c>
      <c r="Q292" s="6">
        <f t="shared" si="28"/>
        <v>1.000070004900343</v>
      </c>
      <c r="R292">
        <f t="shared" si="29"/>
        <v>-6.933917550374731E-4</v>
      </c>
      <c r="T292" s="5">
        <v>44856</v>
      </c>
      <c r="U292" s="1">
        <v>-6.933917550374731E-4</v>
      </c>
    </row>
    <row r="293" spans="3:21" x14ac:dyDescent="0.2">
      <c r="C293" s="5">
        <v>44857</v>
      </c>
      <c r="D293" s="6">
        <v>1.0000199999999999</v>
      </c>
      <c r="E293" s="6">
        <v>19573.400000000001</v>
      </c>
      <c r="F293" s="6">
        <v>19560</v>
      </c>
      <c r="G293" s="6">
        <v>19561.87</v>
      </c>
      <c r="H293" s="6">
        <v>19559.5</v>
      </c>
      <c r="I293" s="5">
        <v>44857</v>
      </c>
      <c r="J293" s="7">
        <f t="shared" si="26"/>
        <v>-7.1014744500196459E-4</v>
      </c>
      <c r="K293" s="5">
        <v>44857</v>
      </c>
      <c r="L293" s="8">
        <f t="shared" si="24"/>
        <v>9.5603271983588008E-5</v>
      </c>
      <c r="M293" s="5">
        <v>44857</v>
      </c>
      <c r="N293" s="9">
        <f t="shared" si="25"/>
        <v>-6.1454417301837661E-4</v>
      </c>
      <c r="O293" s="5">
        <v>44857</v>
      </c>
      <c r="P293">
        <f t="shared" si="27"/>
        <v>0.99987884593855303</v>
      </c>
      <c r="Q293" s="6">
        <f t="shared" si="28"/>
        <v>0.99998000039999213</v>
      </c>
      <c r="R293">
        <f t="shared" si="29"/>
        <v>-1.011616011905927E-4</v>
      </c>
      <c r="T293" s="5">
        <v>44857</v>
      </c>
      <c r="U293" s="1">
        <v>-1.011616011905927E-4</v>
      </c>
    </row>
    <row r="294" spans="3:21" x14ac:dyDescent="0.2">
      <c r="C294" s="5">
        <v>44858</v>
      </c>
      <c r="D294" s="6">
        <v>0.99995000000000001</v>
      </c>
      <c r="E294" s="6">
        <v>19329.490000000002</v>
      </c>
      <c r="F294" s="6">
        <v>19322</v>
      </c>
      <c r="G294" s="6">
        <v>19326.68</v>
      </c>
      <c r="H294" s="6">
        <v>19327.5</v>
      </c>
      <c r="I294" s="5">
        <v>44858</v>
      </c>
      <c r="J294" s="7">
        <f t="shared" si="26"/>
        <v>-1.0295150053113665E-4</v>
      </c>
      <c r="K294" s="5">
        <v>44858</v>
      </c>
      <c r="L294" s="8">
        <f t="shared" si="24"/>
        <v>2.4221095124729795E-4</v>
      </c>
      <c r="M294" s="5">
        <v>44858</v>
      </c>
      <c r="N294" s="9">
        <f t="shared" si="25"/>
        <v>1.3925945071616131E-4</v>
      </c>
      <c r="O294" s="5">
        <v>44858</v>
      </c>
      <c r="P294">
        <f t="shared" si="27"/>
        <v>1.0000424283943232</v>
      </c>
      <c r="Q294" s="6">
        <f t="shared" si="28"/>
        <v>1.0000500025001251</v>
      </c>
      <c r="R294">
        <f t="shared" si="29"/>
        <v>-7.5737557774039816E-6</v>
      </c>
      <c r="T294" s="5">
        <v>44858</v>
      </c>
      <c r="U294" s="1">
        <v>-7.5737557774039816E-6</v>
      </c>
    </row>
    <row r="295" spans="3:21" x14ac:dyDescent="0.2">
      <c r="C295" s="5">
        <v>44859</v>
      </c>
      <c r="D295" s="6">
        <v>1.00024</v>
      </c>
      <c r="E295" s="6">
        <v>20089.3</v>
      </c>
      <c r="F295" s="6">
        <v>20077</v>
      </c>
      <c r="G295" s="6">
        <v>20071.97</v>
      </c>
      <c r="H295" s="6">
        <v>20066.5</v>
      </c>
      <c r="I295" s="5">
        <v>44859</v>
      </c>
      <c r="J295" s="7">
        <f t="shared" si="26"/>
        <v>-1.1349325262701674E-3</v>
      </c>
      <c r="K295" s="5">
        <v>44859</v>
      </c>
      <c r="L295" s="8">
        <f t="shared" si="24"/>
        <v>-2.5053543856148007E-4</v>
      </c>
      <c r="M295" s="5">
        <v>44859</v>
      </c>
      <c r="N295" s="9">
        <f t="shared" si="25"/>
        <v>-1.3854679648316473E-3</v>
      </c>
      <c r="O295" s="5">
        <v>44859</v>
      </c>
      <c r="P295">
        <f t="shared" si="27"/>
        <v>0.99972748066084183</v>
      </c>
      <c r="Q295" s="6">
        <f t="shared" si="28"/>
        <v>0.99976005758617925</v>
      </c>
      <c r="R295">
        <f t="shared" si="29"/>
        <v>-3.2585274693821116E-5</v>
      </c>
      <c r="T295" s="5">
        <v>44859</v>
      </c>
      <c r="U295" s="1">
        <v>-3.2585274693821116E-5</v>
      </c>
    </row>
    <row r="296" spans="3:21" x14ac:dyDescent="0.2">
      <c r="C296" s="5">
        <v>44860</v>
      </c>
      <c r="D296" s="6">
        <v>1.0000500000000001</v>
      </c>
      <c r="E296" s="6">
        <v>20771.53</v>
      </c>
      <c r="F296" s="6">
        <v>20765</v>
      </c>
      <c r="G296" s="6">
        <v>20770.41</v>
      </c>
      <c r="H296" s="6">
        <v>20781</v>
      </c>
      <c r="I296" s="5">
        <v>44860</v>
      </c>
      <c r="J296" s="7">
        <f t="shared" si="26"/>
        <v>4.5591249176161623E-4</v>
      </c>
      <c r="K296" s="5">
        <v>44860</v>
      </c>
      <c r="L296" s="8">
        <f t="shared" si="24"/>
        <v>2.6053455333493157E-4</v>
      </c>
      <c r="M296" s="5">
        <v>44860</v>
      </c>
      <c r="N296" s="9">
        <f t="shared" si="25"/>
        <v>7.1644704509654785E-4</v>
      </c>
      <c r="O296" s="5">
        <v>44860</v>
      </c>
      <c r="P296">
        <f t="shared" si="27"/>
        <v>1.0005098599401745</v>
      </c>
      <c r="Q296" s="6">
        <f t="shared" si="28"/>
        <v>0.99995000249987487</v>
      </c>
      <c r="R296">
        <f t="shared" si="29"/>
        <v>5.5972875580069927E-4</v>
      </c>
      <c r="T296" s="5">
        <v>44860</v>
      </c>
      <c r="U296" s="1">
        <v>5.5972875580069927E-4</v>
      </c>
    </row>
    <row r="297" spans="3:21" x14ac:dyDescent="0.2">
      <c r="C297" s="5">
        <v>44861</v>
      </c>
      <c r="D297" s="6">
        <v>0.99997999999999998</v>
      </c>
      <c r="E297" s="6">
        <v>20295.86</v>
      </c>
      <c r="F297" s="6">
        <v>20293.5</v>
      </c>
      <c r="G297" s="6">
        <v>20300.47</v>
      </c>
      <c r="H297" s="6">
        <v>20302</v>
      </c>
      <c r="I297" s="5">
        <v>44861</v>
      </c>
      <c r="J297" s="7">
        <f t="shared" si="26"/>
        <v>3.0252475135320294E-4</v>
      </c>
      <c r="K297" s="5">
        <v>44861</v>
      </c>
      <c r="L297" s="8">
        <f t="shared" si="24"/>
        <v>3.4345972848454749E-4</v>
      </c>
      <c r="M297" s="5">
        <v>44861</v>
      </c>
      <c r="N297" s="9">
        <f t="shared" si="25"/>
        <v>6.4598447983775043E-4</v>
      </c>
      <c r="O297" s="5">
        <v>44861</v>
      </c>
      <c r="P297">
        <f t="shared" si="27"/>
        <v>1.0000753677131613</v>
      </c>
      <c r="Q297" s="6">
        <f t="shared" si="28"/>
        <v>1.0000200004000079</v>
      </c>
      <c r="R297">
        <f t="shared" si="29"/>
        <v>5.5364673155348649E-5</v>
      </c>
      <c r="T297" s="5">
        <v>44861</v>
      </c>
      <c r="U297" s="1">
        <v>5.5364673155348649E-5</v>
      </c>
    </row>
    <row r="298" spans="3:21" x14ac:dyDescent="0.2">
      <c r="C298" s="5">
        <v>44862</v>
      </c>
      <c r="D298" s="6">
        <v>1.0000500000000001</v>
      </c>
      <c r="E298" s="6">
        <v>20596.82</v>
      </c>
      <c r="F298" s="6">
        <v>20590.5</v>
      </c>
      <c r="G298" s="6">
        <v>20609.349999999999</v>
      </c>
      <c r="H298" s="6">
        <v>20591</v>
      </c>
      <c r="I298" s="5">
        <v>44862</v>
      </c>
      <c r="J298" s="7">
        <f t="shared" si="26"/>
        <v>-2.8256789154829283E-4</v>
      </c>
      <c r="K298" s="5">
        <v>44862</v>
      </c>
      <c r="L298" s="8">
        <f t="shared" si="24"/>
        <v>9.1547072679141084E-4</v>
      </c>
      <c r="M298" s="5">
        <v>44862</v>
      </c>
      <c r="N298" s="9">
        <f t="shared" si="25"/>
        <v>6.3290283524311802E-4</v>
      </c>
      <c r="O298" s="5">
        <v>44862</v>
      </c>
      <c r="P298">
        <f t="shared" si="27"/>
        <v>0.99910962742638665</v>
      </c>
      <c r="Q298" s="6">
        <f t="shared" si="28"/>
        <v>0.99995000249987487</v>
      </c>
      <c r="R298">
        <f t="shared" si="29"/>
        <v>-8.4077044067363031E-4</v>
      </c>
      <c r="T298" s="5">
        <v>44862</v>
      </c>
      <c r="U298" s="1">
        <v>-8.4077044067363031E-4</v>
      </c>
    </row>
    <row r="299" spans="3:21" x14ac:dyDescent="0.2">
      <c r="C299" s="5">
        <v>44863</v>
      </c>
      <c r="D299" s="6">
        <v>1.0002500000000001</v>
      </c>
      <c r="E299" s="6">
        <v>20817.39</v>
      </c>
      <c r="F299" s="6">
        <v>20814.5</v>
      </c>
      <c r="G299" s="6">
        <v>20805.45</v>
      </c>
      <c r="H299" s="6">
        <v>20797.5</v>
      </c>
      <c r="I299" s="5">
        <v>44863</v>
      </c>
      <c r="J299" s="7">
        <f t="shared" si="26"/>
        <v>-9.5545118768488354E-4</v>
      </c>
      <c r="K299" s="5">
        <v>44863</v>
      </c>
      <c r="L299" s="8">
        <f t="shared" si="24"/>
        <v>-4.347930529198046E-4</v>
      </c>
      <c r="M299" s="5">
        <v>44863</v>
      </c>
      <c r="N299" s="9">
        <f t="shared" si="25"/>
        <v>-1.3902442406046882E-3</v>
      </c>
      <c r="O299" s="5">
        <v>44863</v>
      </c>
      <c r="P299">
        <f t="shared" si="27"/>
        <v>0.99961788858207812</v>
      </c>
      <c r="Q299" s="6">
        <f t="shared" si="28"/>
        <v>0.99975006248437881</v>
      </c>
      <c r="R299">
        <f t="shared" si="29"/>
        <v>-1.3221568588491381E-4</v>
      </c>
      <c r="T299" s="5">
        <v>44863</v>
      </c>
      <c r="U299" s="1">
        <v>-1.3221568588491381E-4</v>
      </c>
    </row>
    <row r="300" spans="3:21" x14ac:dyDescent="0.2">
      <c r="C300" s="5">
        <v>44864</v>
      </c>
      <c r="D300" s="6">
        <v>1.00007</v>
      </c>
      <c r="E300" s="6">
        <v>20629.59</v>
      </c>
      <c r="F300" s="6">
        <v>20620.5</v>
      </c>
      <c r="G300" s="6">
        <v>20639.02</v>
      </c>
      <c r="H300" s="6">
        <v>20611</v>
      </c>
      <c r="I300" s="5">
        <v>44864</v>
      </c>
      <c r="J300" s="7">
        <f t="shared" si="26"/>
        <v>-9.0113279032691125E-4</v>
      </c>
      <c r="K300" s="5">
        <v>44864</v>
      </c>
      <c r="L300" s="8">
        <f t="shared" si="24"/>
        <v>8.9813535074321365E-4</v>
      </c>
      <c r="M300" s="5">
        <v>44864</v>
      </c>
      <c r="N300" s="9">
        <f t="shared" si="25"/>
        <v>-2.997439583697593E-6</v>
      </c>
      <c r="O300" s="5">
        <v>44864</v>
      </c>
      <c r="P300">
        <f t="shared" si="27"/>
        <v>0.99864237739970207</v>
      </c>
      <c r="Q300" s="6">
        <f t="shared" si="28"/>
        <v>0.999930004899657</v>
      </c>
      <c r="R300">
        <f t="shared" si="29"/>
        <v>-1.2885474546919771E-3</v>
      </c>
      <c r="T300" s="5">
        <v>44864</v>
      </c>
      <c r="U300" s="1">
        <v>-1.2885474546919771E-3</v>
      </c>
    </row>
    <row r="301" spans="3:21" x14ac:dyDescent="0.2">
      <c r="C301" s="5">
        <v>44865</v>
      </c>
      <c r="D301" s="6">
        <v>0.99992999999999999</v>
      </c>
      <c r="E301" s="6">
        <v>20493.46</v>
      </c>
      <c r="F301" s="6">
        <v>20484</v>
      </c>
      <c r="G301" s="6">
        <v>20494.41</v>
      </c>
      <c r="H301" s="6">
        <v>20488</v>
      </c>
      <c r="I301" s="5">
        <v>44865</v>
      </c>
      <c r="J301" s="7">
        <f t="shared" si="26"/>
        <v>-2.6642645995352308E-4</v>
      </c>
      <c r="K301" s="5">
        <v>44865</v>
      </c>
      <c r="L301" s="8">
        <f t="shared" si="24"/>
        <v>5.0820152314000463E-4</v>
      </c>
      <c r="M301" s="5">
        <v>44865</v>
      </c>
      <c r="N301" s="9">
        <f t="shared" si="25"/>
        <v>2.4177506318648155E-4</v>
      </c>
      <c r="O301" s="5">
        <v>44865</v>
      </c>
      <c r="P301">
        <f t="shared" si="27"/>
        <v>0.99968723178661889</v>
      </c>
      <c r="Q301" s="6">
        <f t="shared" si="28"/>
        <v>1.000070004900343</v>
      </c>
      <c r="R301">
        <f t="shared" si="29"/>
        <v>-3.8281958567428078E-4</v>
      </c>
      <c r="T301" s="5">
        <v>44865</v>
      </c>
      <c r="U301" s="1">
        <v>-3.8281958567428078E-4</v>
      </c>
    </row>
    <row r="302" spans="3:21" x14ac:dyDescent="0.2">
      <c r="C302" s="5">
        <v>44866</v>
      </c>
      <c r="D302" s="6">
        <v>0.99995000000000001</v>
      </c>
      <c r="E302" s="6">
        <v>20480.439999999999</v>
      </c>
      <c r="F302" s="6">
        <v>20468</v>
      </c>
      <c r="G302" s="6">
        <v>20496.29</v>
      </c>
      <c r="H302" s="6">
        <v>20468.5</v>
      </c>
      <c r="I302" s="5">
        <v>44866</v>
      </c>
      <c r="J302" s="7">
        <f t="shared" si="26"/>
        <v>-5.8299528721056241E-4</v>
      </c>
      <c r="K302" s="5">
        <v>44866</v>
      </c>
      <c r="L302" s="8">
        <f t="shared" si="24"/>
        <v>1.3821575141685007E-3</v>
      </c>
      <c r="M302" s="5">
        <v>44866</v>
      </c>
      <c r="N302" s="9">
        <f t="shared" si="25"/>
        <v>7.991622269579383E-4</v>
      </c>
      <c r="O302" s="5">
        <v>44866</v>
      </c>
      <c r="P302">
        <f t="shared" si="27"/>
        <v>0.998644144867193</v>
      </c>
      <c r="Q302" s="6">
        <f t="shared" si="28"/>
        <v>1.0000500025001251</v>
      </c>
      <c r="R302">
        <f t="shared" si="29"/>
        <v>-1.4067763861074895E-3</v>
      </c>
      <c r="T302" s="5">
        <v>44866</v>
      </c>
      <c r="U302" s="1">
        <v>-1.4067763861074895E-3</v>
      </c>
    </row>
    <row r="303" spans="3:21" x14ac:dyDescent="0.2">
      <c r="C303" s="5">
        <v>44867</v>
      </c>
      <c r="D303" s="6">
        <v>0.99995000000000001</v>
      </c>
      <c r="E303" s="6">
        <v>20149.53</v>
      </c>
      <c r="F303" s="6">
        <v>20140.5</v>
      </c>
      <c r="G303" s="6">
        <v>20156.150000000001</v>
      </c>
      <c r="H303" s="6">
        <v>20148.5</v>
      </c>
      <c r="I303" s="5">
        <v>44867</v>
      </c>
      <c r="J303" s="7">
        <f t="shared" si="26"/>
        <v>-5.1117817636383375E-5</v>
      </c>
      <c r="K303" s="5">
        <v>44867</v>
      </c>
      <c r="L303" s="8">
        <f t="shared" si="24"/>
        <v>7.7704128497313647E-4</v>
      </c>
      <c r="M303" s="5">
        <v>44867</v>
      </c>
      <c r="N303" s="9">
        <f t="shared" si="25"/>
        <v>7.2592346733675313E-4</v>
      </c>
      <c r="O303" s="5">
        <v>44867</v>
      </c>
      <c r="P303">
        <f t="shared" si="27"/>
        <v>0.99962046323330589</v>
      </c>
      <c r="Q303" s="6">
        <f t="shared" si="28"/>
        <v>1.0000500025001251</v>
      </c>
      <c r="R303">
        <f t="shared" si="29"/>
        <v>-4.2961005904357892E-4</v>
      </c>
      <c r="T303" s="5">
        <v>44867</v>
      </c>
      <c r="U303" s="1">
        <v>-4.2961005904357892E-4</v>
      </c>
    </row>
    <row r="304" spans="3:21" x14ac:dyDescent="0.2">
      <c r="C304" s="5">
        <v>44868</v>
      </c>
      <c r="D304" s="6">
        <v>0.99997000000000003</v>
      </c>
      <c r="E304" s="6">
        <v>20210.27</v>
      </c>
      <c r="F304" s="6">
        <v>20201</v>
      </c>
      <c r="G304" s="6">
        <v>20217.310000000001</v>
      </c>
      <c r="H304" s="6">
        <v>20201</v>
      </c>
      <c r="I304" s="5">
        <v>44868</v>
      </c>
      <c r="J304" s="7">
        <f t="shared" si="26"/>
        <v>-4.5867769208429357E-4</v>
      </c>
      <c r="K304" s="5">
        <v>44868</v>
      </c>
      <c r="L304" s="8">
        <f t="shared" si="24"/>
        <v>8.0738577298160037E-4</v>
      </c>
      <c r="M304" s="5">
        <v>44868</v>
      </c>
      <c r="N304" s="9">
        <f t="shared" si="25"/>
        <v>3.4870808089730679E-4</v>
      </c>
      <c r="O304" s="5">
        <v>44868</v>
      </c>
      <c r="P304">
        <f t="shared" si="27"/>
        <v>0.99919326557291743</v>
      </c>
      <c r="Q304" s="6">
        <f t="shared" si="28"/>
        <v>1.0000300009000269</v>
      </c>
      <c r="R304">
        <f t="shared" si="29"/>
        <v>-8.3706046242849614E-4</v>
      </c>
      <c r="T304" s="5">
        <v>44868</v>
      </c>
      <c r="U304" s="1">
        <v>-8.3706046242849614E-4</v>
      </c>
    </row>
    <row r="305" spans="3:21" x14ac:dyDescent="0.2">
      <c r="C305" s="5">
        <v>44869</v>
      </c>
      <c r="D305" s="6">
        <v>1.00003</v>
      </c>
      <c r="E305" s="6">
        <v>21146.49</v>
      </c>
      <c r="F305" s="6">
        <v>21141</v>
      </c>
      <c r="G305" s="6">
        <v>21172.12</v>
      </c>
      <c r="H305" s="6">
        <v>21133</v>
      </c>
      <c r="I305" s="5">
        <v>44869</v>
      </c>
      <c r="J305" s="7">
        <f t="shared" si="26"/>
        <v>-6.3793092848986289E-4</v>
      </c>
      <c r="K305" s="5">
        <v>44869</v>
      </c>
      <c r="L305" s="8">
        <f t="shared" si="24"/>
        <v>1.472021191050517E-3</v>
      </c>
      <c r="M305" s="5">
        <v>44869</v>
      </c>
      <c r="N305" s="9">
        <f t="shared" si="25"/>
        <v>8.340902625606541E-4</v>
      </c>
      <c r="O305" s="5">
        <v>44869</v>
      </c>
      <c r="P305">
        <f t="shared" si="27"/>
        <v>0.99815228706430914</v>
      </c>
      <c r="Q305" s="6">
        <f t="shared" si="28"/>
        <v>0.99997000089997301</v>
      </c>
      <c r="R305">
        <f t="shared" si="29"/>
        <v>-1.8194225128703076E-3</v>
      </c>
      <c r="T305" s="5">
        <v>44869</v>
      </c>
      <c r="U305" s="1">
        <v>-1.8194225128703076E-3</v>
      </c>
    </row>
    <row r="306" spans="3:21" x14ac:dyDescent="0.2">
      <c r="C306" s="5">
        <v>44870</v>
      </c>
      <c r="D306" s="6">
        <v>0.99997999999999998</v>
      </c>
      <c r="E306" s="6">
        <v>21297.63</v>
      </c>
      <c r="F306" s="6">
        <v>21295</v>
      </c>
      <c r="G306" s="6">
        <v>21333.119999999999</v>
      </c>
      <c r="H306" s="6">
        <v>21281.5</v>
      </c>
      <c r="I306" s="5">
        <v>44870</v>
      </c>
      <c r="J306" s="7">
        <f t="shared" si="26"/>
        <v>-7.5736126507977737E-4</v>
      </c>
      <c r="K306" s="5">
        <v>44870</v>
      </c>
      <c r="L306" s="8">
        <f t="shared" si="24"/>
        <v>1.7900915707912176E-3</v>
      </c>
      <c r="M306" s="5">
        <v>44870</v>
      </c>
      <c r="N306" s="9">
        <f t="shared" si="25"/>
        <v>1.0327303057114403E-3</v>
      </c>
      <c r="O306" s="5">
        <v>44870</v>
      </c>
      <c r="P306">
        <f t="shared" si="27"/>
        <v>0.99758028830288303</v>
      </c>
      <c r="Q306" s="6">
        <f t="shared" si="28"/>
        <v>1.0000200004000079</v>
      </c>
      <c r="R306">
        <f t="shared" si="29"/>
        <v>-2.4426441305294574E-3</v>
      </c>
      <c r="T306" s="5">
        <v>44870</v>
      </c>
      <c r="U306" s="1">
        <v>-2.4426441305294574E-3</v>
      </c>
    </row>
    <row r="307" spans="3:21" x14ac:dyDescent="0.2">
      <c r="C307" s="5">
        <v>44871</v>
      </c>
      <c r="D307" s="6">
        <v>1.0000199999999999</v>
      </c>
      <c r="E307" s="6">
        <v>20912.62</v>
      </c>
      <c r="F307" s="6">
        <v>20903.5</v>
      </c>
      <c r="G307" s="6">
        <v>20956.84</v>
      </c>
      <c r="H307" s="6">
        <v>20913</v>
      </c>
      <c r="I307" s="5">
        <v>44871</v>
      </c>
      <c r="J307" s="7">
        <f t="shared" si="26"/>
        <v>1.8170846120716518E-5</v>
      </c>
      <c r="K307" s="5">
        <v>44871</v>
      </c>
      <c r="L307" s="8">
        <f t="shared" si="24"/>
        <v>2.5517257875475471E-3</v>
      </c>
      <c r="M307" s="5">
        <v>44871</v>
      </c>
      <c r="N307" s="9">
        <f t="shared" si="25"/>
        <v>2.5698966336682636E-3</v>
      </c>
      <c r="O307" s="5">
        <v>44871</v>
      </c>
      <c r="P307">
        <f t="shared" si="27"/>
        <v>0.99790808156191491</v>
      </c>
      <c r="Q307" s="6">
        <f t="shared" si="28"/>
        <v>0.99998000039999213</v>
      </c>
      <c r="R307">
        <f t="shared" si="29"/>
        <v>-2.074109755751256E-3</v>
      </c>
      <c r="T307" s="5">
        <v>44871</v>
      </c>
      <c r="U307" s="1">
        <v>-2.074109755751256E-3</v>
      </c>
    </row>
    <row r="308" spans="3:21" x14ac:dyDescent="0.2">
      <c r="C308" s="5">
        <v>44872</v>
      </c>
      <c r="D308" s="6">
        <v>0.99999000000000005</v>
      </c>
      <c r="E308" s="6">
        <v>20593.54</v>
      </c>
      <c r="F308" s="6">
        <v>20585.5</v>
      </c>
      <c r="G308" s="6">
        <v>20615.189999999999</v>
      </c>
      <c r="H308" s="6">
        <v>20597.5</v>
      </c>
      <c r="I308" s="5">
        <v>44872</v>
      </c>
      <c r="J308" s="7">
        <f t="shared" si="26"/>
        <v>1.9229331139760948E-4</v>
      </c>
      <c r="K308" s="5">
        <v>44872</v>
      </c>
      <c r="L308" s="8">
        <f t="shared" si="24"/>
        <v>1.4422773311310723E-3</v>
      </c>
      <c r="M308" s="5">
        <v>44872</v>
      </c>
      <c r="N308" s="9">
        <f t="shared" si="25"/>
        <v>1.6345706425286819E-3</v>
      </c>
      <c r="O308" s="5">
        <v>44872</v>
      </c>
      <c r="P308">
        <f t="shared" si="27"/>
        <v>0.99914189488430627</v>
      </c>
      <c r="Q308" s="6">
        <f t="shared" si="28"/>
        <v>1.000010000100001</v>
      </c>
      <c r="R308">
        <f t="shared" si="29"/>
        <v>-8.6847354864470164E-4</v>
      </c>
      <c r="T308" s="5">
        <v>44872</v>
      </c>
      <c r="U308" s="1">
        <v>-8.6847354864470164E-4</v>
      </c>
    </row>
    <row r="309" spans="3:21" x14ac:dyDescent="0.2">
      <c r="C309" s="5">
        <v>44873</v>
      </c>
      <c r="D309" s="6">
        <v>0.99992999999999999</v>
      </c>
      <c r="E309" s="6">
        <v>18542.18</v>
      </c>
      <c r="F309" s="6">
        <v>18536.5</v>
      </c>
      <c r="G309" s="6">
        <v>18630.66</v>
      </c>
      <c r="H309" s="6">
        <v>18529.5</v>
      </c>
      <c r="I309" s="5">
        <v>44873</v>
      </c>
      <c r="J309" s="7">
        <f t="shared" si="26"/>
        <v>-6.8384623598736994E-4</v>
      </c>
      <c r="K309" s="5">
        <v>44873</v>
      </c>
      <c r="L309" s="8">
        <f t="shared" si="24"/>
        <v>5.0797076039165888E-3</v>
      </c>
      <c r="M309" s="5">
        <v>44873</v>
      </c>
      <c r="N309" s="9">
        <f t="shared" si="25"/>
        <v>4.3958613679292192E-3</v>
      </c>
      <c r="O309" s="5">
        <v>44873</v>
      </c>
      <c r="P309">
        <f t="shared" si="27"/>
        <v>0.99457024066780242</v>
      </c>
      <c r="Q309" s="6">
        <f t="shared" si="28"/>
        <v>1.000070004900343</v>
      </c>
      <c r="R309">
        <f t="shared" si="29"/>
        <v>-5.5145565043374558E-3</v>
      </c>
      <c r="T309" s="5">
        <v>44873</v>
      </c>
      <c r="U309" s="1">
        <v>-5.5145565043374558E-3</v>
      </c>
    </row>
    <row r="310" spans="3:21" x14ac:dyDescent="0.2">
      <c r="C310" s="5">
        <v>44874</v>
      </c>
      <c r="D310" s="6">
        <v>0.99819999999999998</v>
      </c>
      <c r="E310" s="6">
        <v>15883.59</v>
      </c>
      <c r="F310" s="6">
        <v>15866</v>
      </c>
      <c r="G310" s="6">
        <v>15988.56</v>
      </c>
      <c r="H310" s="6">
        <v>15850.5</v>
      </c>
      <c r="I310" s="5">
        <v>44874</v>
      </c>
      <c r="J310" s="7">
        <f t="shared" si="26"/>
        <v>-2.0832821799102183E-3</v>
      </c>
      <c r="K310" s="5">
        <v>44874</v>
      </c>
      <c r="L310" s="8">
        <f t="shared" si="24"/>
        <v>7.7246943148871483E-3</v>
      </c>
      <c r="M310" s="5">
        <v>44874</v>
      </c>
      <c r="N310" s="9">
        <f t="shared" si="25"/>
        <v>5.64141213497693E-3</v>
      </c>
      <c r="O310" s="5">
        <v>44874</v>
      </c>
      <c r="P310">
        <f t="shared" si="27"/>
        <v>0.99136507602936097</v>
      </c>
      <c r="Q310" s="6">
        <f t="shared" si="28"/>
        <v>1.0018032458425166</v>
      </c>
      <c r="R310">
        <f t="shared" si="29"/>
        <v>-1.0474042884944091E-2</v>
      </c>
      <c r="T310" s="5">
        <v>44874</v>
      </c>
      <c r="U310" s="1">
        <v>-1.0474042884944091E-2</v>
      </c>
    </row>
    <row r="311" spans="3:21" x14ac:dyDescent="0.2">
      <c r="C311" s="5">
        <v>44875</v>
      </c>
      <c r="D311" s="6">
        <v>0.99987999999999999</v>
      </c>
      <c r="E311" s="6">
        <v>17552.189999999999</v>
      </c>
      <c r="F311" s="6">
        <v>17555.5</v>
      </c>
      <c r="G311" s="6">
        <v>17633.14</v>
      </c>
      <c r="H311" s="6">
        <v>17491</v>
      </c>
      <c r="I311" s="5">
        <v>44875</v>
      </c>
      <c r="J311" s="7">
        <f t="shared" si="26"/>
        <v>-3.4861746596862669E-3</v>
      </c>
      <c r="K311" s="5">
        <v>44875</v>
      </c>
      <c r="L311" s="8">
        <f t="shared" si="24"/>
        <v>4.4225456409671855E-3</v>
      </c>
      <c r="M311" s="5">
        <v>44875</v>
      </c>
      <c r="N311" s="9">
        <f t="shared" si="25"/>
        <v>9.3637098128091867E-4</v>
      </c>
      <c r="O311" s="5">
        <v>44875</v>
      </c>
      <c r="P311">
        <f t="shared" si="27"/>
        <v>0.99193904205376915</v>
      </c>
      <c r="Q311" s="6">
        <f t="shared" si="28"/>
        <v>1.0001200144017282</v>
      </c>
      <c r="R311">
        <f t="shared" si="29"/>
        <v>-8.2136303285121979E-3</v>
      </c>
      <c r="T311" s="5">
        <v>44875</v>
      </c>
      <c r="U311" s="1">
        <v>-8.2136303285121979E-3</v>
      </c>
    </row>
    <row r="312" spans="3:21" x14ac:dyDescent="0.2">
      <c r="C312" s="5">
        <v>44876</v>
      </c>
      <c r="D312" s="6">
        <v>0.99888999999999994</v>
      </c>
      <c r="E312" s="6">
        <v>17019</v>
      </c>
      <c r="F312" s="6">
        <v>16998</v>
      </c>
      <c r="G312" s="6">
        <v>17143.23</v>
      </c>
      <c r="H312" s="6">
        <v>16974.5</v>
      </c>
      <c r="I312" s="5">
        <v>44876</v>
      </c>
      <c r="J312" s="7">
        <f t="shared" si="26"/>
        <v>-2.6147247194312239E-3</v>
      </c>
      <c r="K312" s="5">
        <v>44876</v>
      </c>
      <c r="L312" s="8">
        <f t="shared" si="24"/>
        <v>8.5439463466289896E-3</v>
      </c>
      <c r="M312" s="5">
        <v>44876</v>
      </c>
      <c r="N312" s="9">
        <f t="shared" si="25"/>
        <v>5.9292216271977661E-3</v>
      </c>
      <c r="O312" s="5">
        <v>44876</v>
      </c>
      <c r="P312">
        <f t="shared" si="27"/>
        <v>0.99015763073819818</v>
      </c>
      <c r="Q312" s="6">
        <f t="shared" si="28"/>
        <v>1.0011112334691508</v>
      </c>
      <c r="R312">
        <f t="shared" si="29"/>
        <v>-1.1001742066512726E-2</v>
      </c>
      <c r="T312" s="5">
        <v>44876</v>
      </c>
      <c r="U312" s="1">
        <v>-1.1001742066512726E-2</v>
      </c>
    </row>
    <row r="313" spans="3:21" x14ac:dyDescent="0.2">
      <c r="C313" s="5">
        <v>44877</v>
      </c>
      <c r="D313" s="6">
        <v>1.00078</v>
      </c>
      <c r="E313" s="6">
        <v>16781.64</v>
      </c>
      <c r="F313" s="6">
        <v>16773</v>
      </c>
      <c r="G313" s="6">
        <v>16930.41</v>
      </c>
      <c r="H313" s="6">
        <v>16751.5</v>
      </c>
      <c r="I313" s="5">
        <v>44877</v>
      </c>
      <c r="J313" s="7">
        <f t="shared" si="26"/>
        <v>-1.7960104018438852E-3</v>
      </c>
      <c r="K313" s="5">
        <v>44877</v>
      </c>
      <c r="L313" s="8">
        <f t="shared" si="24"/>
        <v>9.3847254516186644E-3</v>
      </c>
      <c r="M313" s="5">
        <v>44877</v>
      </c>
      <c r="N313" s="9">
        <f t="shared" si="25"/>
        <v>7.5887150497747791E-3</v>
      </c>
      <c r="O313" s="5">
        <v>44877</v>
      </c>
      <c r="P313">
        <f t="shared" si="27"/>
        <v>0.98943262449048786</v>
      </c>
      <c r="Q313" s="6">
        <f t="shared" si="28"/>
        <v>0.99922060792581791</v>
      </c>
      <c r="R313">
        <f t="shared" si="29"/>
        <v>-9.8439107590208592E-3</v>
      </c>
      <c r="T313" s="5">
        <v>44877</v>
      </c>
      <c r="U313" s="1">
        <v>-9.8439107590208592E-3</v>
      </c>
    </row>
    <row r="314" spans="3:21" x14ac:dyDescent="0.2">
      <c r="C314" s="5">
        <v>44878</v>
      </c>
      <c r="D314" s="6">
        <v>0.99985999999999997</v>
      </c>
      <c r="E314" s="6">
        <v>16305.36</v>
      </c>
      <c r="F314" s="6">
        <v>16300.5</v>
      </c>
      <c r="G314" s="6">
        <v>16351.21</v>
      </c>
      <c r="H314" s="6">
        <v>16294.5</v>
      </c>
      <c r="I314" s="5">
        <v>44878</v>
      </c>
      <c r="J314" s="7">
        <f t="shared" si="26"/>
        <v>-6.6603865232049957E-4</v>
      </c>
      <c r="K314" s="5">
        <v>44878</v>
      </c>
      <c r="L314" s="8">
        <f t="shared" si="24"/>
        <v>3.1109475169472794E-3</v>
      </c>
      <c r="M314" s="5">
        <v>44878</v>
      </c>
      <c r="N314" s="9">
        <f t="shared" si="25"/>
        <v>2.4449088646267799E-3</v>
      </c>
      <c r="O314" s="5">
        <v>44878</v>
      </c>
      <c r="P314">
        <f t="shared" si="27"/>
        <v>0.99653175514227998</v>
      </c>
      <c r="Q314" s="6">
        <f t="shared" si="28"/>
        <v>1.0001400196027443</v>
      </c>
      <c r="R314">
        <f t="shared" si="29"/>
        <v>-3.6142829622893796E-3</v>
      </c>
      <c r="T314" s="5">
        <v>44878</v>
      </c>
      <c r="U314" s="1">
        <v>-3.6142829622893796E-3</v>
      </c>
    </row>
    <row r="315" spans="3:21" x14ac:dyDescent="0.2">
      <c r="C315" s="5">
        <v>44879</v>
      </c>
      <c r="D315" s="6">
        <v>1.00003</v>
      </c>
      <c r="E315" s="6">
        <v>16595.47</v>
      </c>
      <c r="F315" s="6">
        <v>16575.5</v>
      </c>
      <c r="G315" s="6">
        <v>16610.38</v>
      </c>
      <c r="H315" s="6">
        <v>16572</v>
      </c>
      <c r="I315" s="5">
        <v>44879</v>
      </c>
      <c r="J315" s="7">
        <f t="shared" si="26"/>
        <v>-1.4142413562255943E-3</v>
      </c>
      <c r="K315" s="5">
        <v>44879</v>
      </c>
      <c r="L315" s="8">
        <f t="shared" si="24"/>
        <v>2.1043105788664607E-3</v>
      </c>
      <c r="M315" s="5">
        <v>44879</v>
      </c>
      <c r="N315" s="9">
        <f t="shared" si="25"/>
        <v>6.9006922264086643E-4</v>
      </c>
      <c r="O315" s="5">
        <v>44879</v>
      </c>
      <c r="P315">
        <f t="shared" si="27"/>
        <v>0.99768939663029976</v>
      </c>
      <c r="Q315" s="6">
        <f t="shared" si="28"/>
        <v>0.99997000089997301</v>
      </c>
      <c r="R315">
        <f t="shared" si="29"/>
        <v>-2.2832773828138546E-3</v>
      </c>
      <c r="T315" s="5">
        <v>44879</v>
      </c>
      <c r="U315" s="1">
        <v>-2.2832773828138546E-3</v>
      </c>
    </row>
    <row r="316" spans="3:21" x14ac:dyDescent="0.2">
      <c r="C316" s="5">
        <v>44880</v>
      </c>
      <c r="D316" s="6">
        <v>0.99965999999999999</v>
      </c>
      <c r="E316" s="6">
        <v>16872.419999999998</v>
      </c>
      <c r="F316" s="6">
        <v>16861.5</v>
      </c>
      <c r="G316" s="6">
        <v>16885.2</v>
      </c>
      <c r="H316" s="6">
        <v>16860.5</v>
      </c>
      <c r="I316" s="5">
        <v>44880</v>
      </c>
      <c r="J316" s="7">
        <f t="shared" si="26"/>
        <v>-7.0647838306527782E-4</v>
      </c>
      <c r="K316" s="5">
        <v>44880</v>
      </c>
      <c r="L316" s="8">
        <f t="shared" si="24"/>
        <v>1.4055688995641389E-3</v>
      </c>
      <c r="M316" s="5">
        <v>44880</v>
      </c>
      <c r="N316" s="9">
        <f t="shared" si="25"/>
        <v>6.9909051649886113E-4</v>
      </c>
      <c r="O316" s="5">
        <v>44880</v>
      </c>
      <c r="P316">
        <f t="shared" si="27"/>
        <v>0.99853718048942264</v>
      </c>
      <c r="Q316" s="6">
        <f t="shared" si="28"/>
        <v>1.0003401156393175</v>
      </c>
      <c r="R316">
        <f t="shared" si="29"/>
        <v>-1.803948288688824E-3</v>
      </c>
      <c r="T316" s="5">
        <v>44880</v>
      </c>
      <c r="U316" s="1">
        <v>-1.803948288688824E-3</v>
      </c>
    </row>
    <row r="317" spans="3:21" x14ac:dyDescent="0.2">
      <c r="C317" s="5">
        <v>44881</v>
      </c>
      <c r="D317" s="6">
        <v>0.99968999999999997</v>
      </c>
      <c r="E317" s="6">
        <v>16649.259999999998</v>
      </c>
      <c r="F317" s="6">
        <v>16636</v>
      </c>
      <c r="G317" s="6">
        <v>16649.25</v>
      </c>
      <c r="H317" s="6">
        <v>16636</v>
      </c>
      <c r="I317" s="5">
        <v>44881</v>
      </c>
      <c r="J317" s="7">
        <f t="shared" si="26"/>
        <v>-7.9643179336489429E-4</v>
      </c>
      <c r="K317" s="5">
        <v>44881</v>
      </c>
      <c r="L317" s="8">
        <f t="shared" si="24"/>
        <v>7.9646549651358502E-4</v>
      </c>
      <c r="M317" s="5">
        <v>44881</v>
      </c>
      <c r="N317" s="9">
        <f t="shared" si="25"/>
        <v>3.3703148690725909E-8</v>
      </c>
      <c r="O317" s="5">
        <v>44881</v>
      </c>
      <c r="P317">
        <f t="shared" si="27"/>
        <v>0.99920416835593195</v>
      </c>
      <c r="Q317" s="6">
        <f t="shared" si="28"/>
        <v>1.0003100961298004</v>
      </c>
      <c r="R317">
        <f t="shared" si="29"/>
        <v>-1.1061965461168586E-3</v>
      </c>
      <c r="T317" s="5">
        <v>44881</v>
      </c>
      <c r="U317" s="1">
        <v>-1.1061965461168586E-3</v>
      </c>
    </row>
    <row r="318" spans="3:21" x14ac:dyDescent="0.2">
      <c r="C318" s="5">
        <v>44882</v>
      </c>
      <c r="D318" s="6">
        <v>1</v>
      </c>
      <c r="E318" s="6">
        <v>16677.86</v>
      </c>
      <c r="F318" s="6">
        <v>16673</v>
      </c>
      <c r="G318" s="6">
        <v>16678.41</v>
      </c>
      <c r="H318" s="6">
        <v>16663</v>
      </c>
      <c r="I318" s="5">
        <v>44882</v>
      </c>
      <c r="J318" s="7">
        <f t="shared" si="26"/>
        <v>-8.9100160332324302E-4</v>
      </c>
      <c r="K318" s="5">
        <v>44882</v>
      </c>
      <c r="L318" s="8">
        <f t="shared" si="24"/>
        <v>3.2447669885442656E-4</v>
      </c>
      <c r="M318" s="5">
        <v>44882</v>
      </c>
      <c r="N318" s="9">
        <f t="shared" si="25"/>
        <v>-5.6652490446881646E-4</v>
      </c>
      <c r="O318" s="5">
        <v>44882</v>
      </c>
      <c r="P318">
        <f t="shared" si="27"/>
        <v>0.99907605101445529</v>
      </c>
      <c r="Q318" s="6">
        <f t="shared" si="28"/>
        <v>1</v>
      </c>
      <c r="R318">
        <f t="shared" si="29"/>
        <v>-9.2437608951043712E-4</v>
      </c>
      <c r="T318" s="5">
        <v>44882</v>
      </c>
      <c r="U318" s="1">
        <v>-9.2437608951043712E-4</v>
      </c>
    </row>
    <row r="319" spans="3:21" x14ac:dyDescent="0.2">
      <c r="C319" s="5">
        <v>44883</v>
      </c>
      <c r="D319" s="6">
        <v>1.0006900000000001</v>
      </c>
      <c r="E319" s="6">
        <v>16678.400000000001</v>
      </c>
      <c r="F319" s="6">
        <v>16675</v>
      </c>
      <c r="G319" s="6">
        <v>16688.57</v>
      </c>
      <c r="H319" s="6">
        <v>16691.5</v>
      </c>
      <c r="I319" s="5">
        <v>44883</v>
      </c>
      <c r="J319" s="7">
        <f t="shared" si="26"/>
        <v>7.8544704528003546E-4</v>
      </c>
      <c r="K319" s="5">
        <v>44883</v>
      </c>
      <c r="L319" s="8">
        <f t="shared" si="24"/>
        <v>8.1379310344825836E-4</v>
      </c>
      <c r="M319" s="5">
        <v>44883</v>
      </c>
      <c r="N319" s="9">
        <f t="shared" si="25"/>
        <v>1.5992401487282938E-3</v>
      </c>
      <c r="O319" s="5">
        <v>44883</v>
      </c>
      <c r="P319">
        <f t="shared" si="27"/>
        <v>1.0001755692668695</v>
      </c>
      <c r="Q319" s="6">
        <f t="shared" si="28"/>
        <v>0.99931047577171739</v>
      </c>
      <c r="R319">
        <f t="shared" si="29"/>
        <v>8.6531591583597766E-4</v>
      </c>
      <c r="T319" s="5">
        <v>44883</v>
      </c>
      <c r="U319" s="1">
        <v>8.6531591583597766E-4</v>
      </c>
    </row>
    <row r="320" spans="3:21" x14ac:dyDescent="0.2">
      <c r="C320" s="5">
        <v>44884</v>
      </c>
      <c r="D320" s="6">
        <v>1.00061</v>
      </c>
      <c r="E320" s="6">
        <v>16689.77</v>
      </c>
      <c r="F320" s="6">
        <v>16675</v>
      </c>
      <c r="G320" s="6">
        <v>16663.560000000001</v>
      </c>
      <c r="H320" s="6">
        <v>16667</v>
      </c>
      <c r="I320" s="5">
        <v>44884</v>
      </c>
      <c r="J320" s="7">
        <f t="shared" si="26"/>
        <v>-1.3643087951481917E-3</v>
      </c>
      <c r="K320" s="5">
        <v>44884</v>
      </c>
      <c r="L320" s="8">
        <f t="shared" si="24"/>
        <v>-6.8605697151416436E-4</v>
      </c>
      <c r="M320" s="5">
        <v>44884</v>
      </c>
      <c r="N320" s="9">
        <f t="shared" si="25"/>
        <v>-2.0503657666623562E-3</v>
      </c>
      <c r="O320" s="5">
        <v>44884</v>
      </c>
      <c r="P320">
        <f t="shared" si="27"/>
        <v>1.0002064384801326</v>
      </c>
      <c r="Q320" s="6">
        <f t="shared" si="28"/>
        <v>0.99939037187315738</v>
      </c>
      <c r="R320">
        <f t="shared" si="29"/>
        <v>8.1623120026741566E-4</v>
      </c>
      <c r="T320" s="5">
        <v>44884</v>
      </c>
      <c r="U320" s="1">
        <v>8.1623120026741566E-4</v>
      </c>
    </row>
    <row r="321" spans="3:21" x14ac:dyDescent="0.2">
      <c r="C321" s="5">
        <v>44885</v>
      </c>
      <c r="D321" s="6">
        <v>0.99922</v>
      </c>
      <c r="E321" s="6">
        <v>16256.72</v>
      </c>
      <c r="F321" s="6">
        <v>16270</v>
      </c>
      <c r="G321" s="6">
        <v>16261.26</v>
      </c>
      <c r="H321" s="6">
        <v>16255.5</v>
      </c>
      <c r="I321" s="5">
        <v>44885</v>
      </c>
      <c r="J321" s="7">
        <f t="shared" si="26"/>
        <v>-7.5045888715518586E-5</v>
      </c>
      <c r="K321" s="5">
        <v>44885</v>
      </c>
      <c r="L321" s="8">
        <f t="shared" si="24"/>
        <v>-5.3718500307312728E-4</v>
      </c>
      <c r="M321" s="5">
        <v>44885</v>
      </c>
      <c r="N321" s="9">
        <f t="shared" si="25"/>
        <v>-6.1223089178864582E-4</v>
      </c>
      <c r="O321" s="5">
        <v>44885</v>
      </c>
      <c r="P321">
        <f t="shared" si="27"/>
        <v>0.99964578390604419</v>
      </c>
      <c r="Q321" s="6">
        <f t="shared" si="28"/>
        <v>1.0007806088749225</v>
      </c>
      <c r="R321">
        <f t="shared" si="29"/>
        <v>-1.1345832015713616E-3</v>
      </c>
      <c r="T321" s="5">
        <v>44885</v>
      </c>
      <c r="U321" s="1">
        <v>-1.1345832015713616E-3</v>
      </c>
    </row>
    <row r="322" spans="3:21" x14ac:dyDescent="0.2">
      <c r="C322" s="5">
        <v>44886</v>
      </c>
      <c r="D322" s="6">
        <v>0.99992999999999999</v>
      </c>
      <c r="E322" s="6">
        <v>15756.15</v>
      </c>
      <c r="F322" s="6">
        <v>15744.5</v>
      </c>
      <c r="G322" s="6">
        <v>15755.85</v>
      </c>
      <c r="H322" s="6">
        <v>15743.5</v>
      </c>
      <c r="I322" s="5">
        <v>44886</v>
      </c>
      <c r="J322" s="7">
        <f t="shared" si="26"/>
        <v>-8.0286110502880692E-4</v>
      </c>
      <c r="K322" s="5">
        <v>44886</v>
      </c>
      <c r="L322" s="8">
        <f t="shared" si="24"/>
        <v>7.2088665883326649E-4</v>
      </c>
      <c r="M322" s="5">
        <v>44886</v>
      </c>
      <c r="N322" s="9">
        <f t="shared" si="25"/>
        <v>-8.1974446195540434E-5</v>
      </c>
      <c r="O322" s="5">
        <v>44886</v>
      </c>
      <c r="P322">
        <f t="shared" si="27"/>
        <v>0.99921616415490111</v>
      </c>
      <c r="Q322" s="6">
        <f t="shared" si="28"/>
        <v>1.000070004900343</v>
      </c>
      <c r="R322">
        <f t="shared" si="29"/>
        <v>-8.5414565515290572E-4</v>
      </c>
      <c r="T322" s="5">
        <v>44886</v>
      </c>
      <c r="U322" s="1">
        <v>-8.5414565515290572E-4</v>
      </c>
    </row>
    <row r="323" spans="3:21" x14ac:dyDescent="0.2">
      <c r="C323" s="5">
        <v>44887</v>
      </c>
      <c r="D323" s="6">
        <v>0.999</v>
      </c>
      <c r="E323" s="6">
        <v>16202.97</v>
      </c>
      <c r="F323" s="6">
        <v>16193.5</v>
      </c>
      <c r="G323" s="6">
        <v>16217.33</v>
      </c>
      <c r="H323" s="6">
        <v>16212.5</v>
      </c>
      <c r="I323" s="5">
        <v>44887</v>
      </c>
      <c r="J323" s="7">
        <f t="shared" si="26"/>
        <v>5.8816377491291134E-4</v>
      </c>
      <c r="K323" s="5">
        <v>44887</v>
      </c>
      <c r="L323" s="8">
        <f t="shared" si="24"/>
        <v>1.4715781023250025E-3</v>
      </c>
      <c r="M323" s="5">
        <v>44887</v>
      </c>
      <c r="N323" s="9">
        <f t="shared" si="25"/>
        <v>2.0597418772379137E-3</v>
      </c>
      <c r="O323" s="5">
        <v>44887</v>
      </c>
      <c r="P323">
        <f t="shared" si="27"/>
        <v>0.99970217045592591</v>
      </c>
      <c r="Q323" s="6">
        <f t="shared" si="28"/>
        <v>1.0010010010010011</v>
      </c>
      <c r="R323">
        <f t="shared" si="29"/>
        <v>-1.2983742376843704E-3</v>
      </c>
      <c r="T323" s="5">
        <v>44887</v>
      </c>
      <c r="U323" s="1">
        <v>-1.2983742376843704E-3</v>
      </c>
    </row>
    <row r="324" spans="3:21" x14ac:dyDescent="0.2">
      <c r="C324" s="5">
        <v>44888</v>
      </c>
      <c r="D324" s="6">
        <v>0.99729999999999996</v>
      </c>
      <c r="E324" s="6">
        <v>16588.150000000001</v>
      </c>
      <c r="F324" s="6">
        <v>16580</v>
      </c>
      <c r="G324" s="6">
        <v>16596.259999999998</v>
      </c>
      <c r="H324" s="6">
        <v>16573.5</v>
      </c>
      <c r="I324" s="5">
        <v>44888</v>
      </c>
      <c r="J324" s="7">
        <f t="shared" si="26"/>
        <v>-8.8316056944273192E-4</v>
      </c>
      <c r="K324" s="5">
        <v>44888</v>
      </c>
      <c r="L324" s="8">
        <f t="shared" si="24"/>
        <v>9.8069963811811827E-4</v>
      </c>
      <c r="M324" s="5">
        <v>44888</v>
      </c>
      <c r="N324" s="9">
        <f t="shared" si="25"/>
        <v>9.7539068675386344E-5</v>
      </c>
      <c r="O324" s="5">
        <v>44888</v>
      </c>
      <c r="P324">
        <f t="shared" si="27"/>
        <v>0.99862860668608477</v>
      </c>
      <c r="Q324" s="6">
        <f t="shared" si="28"/>
        <v>1.002707309736288</v>
      </c>
      <c r="R324">
        <f t="shared" si="29"/>
        <v>-4.0759861086614212E-3</v>
      </c>
      <c r="T324" s="5">
        <v>44888</v>
      </c>
      <c r="U324" s="1">
        <v>-4.0759861086614212E-3</v>
      </c>
    </row>
    <row r="325" spans="3:21" x14ac:dyDescent="0.2">
      <c r="C325" s="5">
        <v>44889</v>
      </c>
      <c r="D325" s="6">
        <v>0.99753000000000003</v>
      </c>
      <c r="E325" s="6">
        <v>16585.64</v>
      </c>
      <c r="F325" s="6">
        <v>16575.5</v>
      </c>
      <c r="G325" s="6">
        <v>16586.23</v>
      </c>
      <c r="H325" s="6">
        <v>16591.5</v>
      </c>
      <c r="I325" s="5">
        <v>44889</v>
      </c>
      <c r="J325" s="7">
        <f t="shared" si="26"/>
        <v>3.5331768927823E-4</v>
      </c>
      <c r="K325" s="5">
        <v>44889</v>
      </c>
      <c r="L325" s="8">
        <f t="shared" si="24"/>
        <v>6.4734095502395482E-4</v>
      </c>
      <c r="M325" s="5">
        <v>44889</v>
      </c>
      <c r="N325" s="9">
        <f t="shared" si="25"/>
        <v>1.0006586443021847E-3</v>
      </c>
      <c r="O325" s="5">
        <v>44889</v>
      </c>
      <c r="P325">
        <f t="shared" si="27"/>
        <v>1.000317733445153</v>
      </c>
      <c r="Q325" s="6">
        <f t="shared" si="28"/>
        <v>1.0024761160065361</v>
      </c>
      <c r="R325">
        <f t="shared" si="29"/>
        <v>-2.1553725038263882E-3</v>
      </c>
      <c r="T325" s="5">
        <v>44889</v>
      </c>
      <c r="U325" s="1">
        <v>-2.1553725038263882E-3</v>
      </c>
    </row>
    <row r="326" spans="3:21" x14ac:dyDescent="0.2">
      <c r="C326" s="5">
        <v>44890</v>
      </c>
      <c r="D326" s="6">
        <v>1</v>
      </c>
      <c r="E326" s="6">
        <v>16511.349999999999</v>
      </c>
      <c r="F326" s="6">
        <v>16500</v>
      </c>
      <c r="G326" s="6">
        <v>16501.830000000002</v>
      </c>
      <c r="H326" s="6">
        <v>16499</v>
      </c>
      <c r="I326" s="5">
        <v>44890</v>
      </c>
      <c r="J326" s="7">
        <f t="shared" si="26"/>
        <v>-7.479703355569681E-4</v>
      </c>
      <c r="K326" s="5">
        <v>44890</v>
      </c>
      <c r="L326" s="8">
        <f t="shared" si="24"/>
        <v>1.1090909090919675E-4</v>
      </c>
      <c r="M326" s="5">
        <v>44890</v>
      </c>
      <c r="N326" s="9">
        <f t="shared" si="25"/>
        <v>-6.3706124464777141E-4</v>
      </c>
      <c r="O326" s="5">
        <v>44890</v>
      </c>
      <c r="P326">
        <f t="shared" si="27"/>
        <v>0.99982850386896471</v>
      </c>
      <c r="Q326" s="6">
        <f t="shared" si="28"/>
        <v>1</v>
      </c>
      <c r="R326">
        <f t="shared" si="29"/>
        <v>-1.7151083817826975E-4</v>
      </c>
      <c r="T326" s="5">
        <v>44890</v>
      </c>
      <c r="U326" s="1">
        <v>-1.7151083817826975E-4</v>
      </c>
    </row>
    <row r="327" spans="3:21" x14ac:dyDescent="0.2">
      <c r="C327" s="5">
        <v>44891</v>
      </c>
      <c r="D327" s="6">
        <v>0.99985999999999997</v>
      </c>
      <c r="E327" s="6">
        <v>16453.650000000001</v>
      </c>
      <c r="F327" s="6">
        <v>16440</v>
      </c>
      <c r="G327" s="6">
        <v>16440.38</v>
      </c>
      <c r="H327" s="6">
        <v>16440.5</v>
      </c>
      <c r="I327" s="5">
        <v>44891</v>
      </c>
      <c r="J327" s="7">
        <f t="shared" si="26"/>
        <v>-7.9921476389746072E-4</v>
      </c>
      <c r="K327" s="5">
        <v>44891</v>
      </c>
      <c r="L327" s="8">
        <f t="shared" si="24"/>
        <v>2.3114355231205514E-5</v>
      </c>
      <c r="M327" s="5">
        <v>44891</v>
      </c>
      <c r="N327" s="9">
        <f t="shared" si="25"/>
        <v>-7.7610040866625519E-4</v>
      </c>
      <c r="O327" s="5">
        <v>44891</v>
      </c>
      <c r="P327">
        <f t="shared" si="27"/>
        <v>1.0000072991013589</v>
      </c>
      <c r="Q327" s="6">
        <f t="shared" si="28"/>
        <v>1.0001400196027443</v>
      </c>
      <c r="R327">
        <f t="shared" si="29"/>
        <v>-1.3271072619417112E-4</v>
      </c>
      <c r="T327" s="5">
        <v>44891</v>
      </c>
      <c r="U327" s="1">
        <v>-1.3271072619417112E-4</v>
      </c>
    </row>
    <row r="328" spans="3:21" x14ac:dyDescent="0.2">
      <c r="C328" s="5">
        <v>44892</v>
      </c>
      <c r="D328" s="6">
        <v>0.99995999999999996</v>
      </c>
      <c r="E328" s="6">
        <v>16419.52</v>
      </c>
      <c r="F328" s="6">
        <v>16412.5</v>
      </c>
      <c r="G328" s="6">
        <v>16415.95</v>
      </c>
      <c r="H328" s="6">
        <v>16411</v>
      </c>
      <c r="I328" s="5">
        <v>44892</v>
      </c>
      <c r="J328" s="7">
        <f t="shared" si="26"/>
        <v>-5.1889458400735441E-4</v>
      </c>
      <c r="K328" s="5">
        <v>44892</v>
      </c>
      <c r="L328" s="8">
        <f t="shared" si="24"/>
        <v>2.1020563594825454E-4</v>
      </c>
      <c r="M328" s="5">
        <v>44892</v>
      </c>
      <c r="N328" s="9">
        <f t="shared" si="25"/>
        <v>-3.0868894805909986E-4</v>
      </c>
      <c r="O328" s="5">
        <v>44892</v>
      </c>
      <c r="P328">
        <f t="shared" si="27"/>
        <v>0.99969846399385953</v>
      </c>
      <c r="Q328" s="6">
        <f t="shared" si="28"/>
        <v>1.0000400016000641</v>
      </c>
      <c r="R328">
        <f t="shared" si="29"/>
        <v>-3.4158227728442426E-4</v>
      </c>
      <c r="T328" s="5">
        <v>44892</v>
      </c>
      <c r="U328" s="1">
        <v>-3.4158227728442426E-4</v>
      </c>
    </row>
    <row r="329" spans="3:21" x14ac:dyDescent="0.2">
      <c r="C329" s="5">
        <v>44893</v>
      </c>
      <c r="D329" s="6">
        <v>0.99933000000000005</v>
      </c>
      <c r="E329" s="6">
        <v>16205.9</v>
      </c>
      <c r="F329" s="6">
        <v>16204.5</v>
      </c>
      <c r="G329" s="6">
        <v>16206.6</v>
      </c>
      <c r="H329" s="6">
        <v>16200</v>
      </c>
      <c r="I329" s="5">
        <v>44893</v>
      </c>
      <c r="J329" s="7">
        <f t="shared" si="26"/>
        <v>-3.6406493931220337E-4</v>
      </c>
      <c r="K329" s="5">
        <v>44893</v>
      </c>
      <c r="L329" s="8">
        <f t="shared" si="24"/>
        <v>1.2959363139870801E-4</v>
      </c>
      <c r="M329" s="5">
        <v>44893</v>
      </c>
      <c r="N329" s="9">
        <f t="shared" si="25"/>
        <v>-2.3447130791349536E-4</v>
      </c>
      <c r="O329" s="5">
        <v>44893</v>
      </c>
      <c r="P329">
        <f t="shared" si="27"/>
        <v>0.99959275850579399</v>
      </c>
      <c r="Q329" s="6">
        <f t="shared" si="28"/>
        <v>1.0006704492009646</v>
      </c>
      <c r="R329">
        <f t="shared" si="29"/>
        <v>-1.0775489898479183E-3</v>
      </c>
      <c r="T329" s="5">
        <v>44893</v>
      </c>
      <c r="U329" s="1">
        <v>-1.0775489898479183E-3</v>
      </c>
    </row>
    <row r="330" spans="3:21" x14ac:dyDescent="0.2">
      <c r="C330" s="5">
        <v>44894</v>
      </c>
      <c r="D330" s="6">
        <v>0.99997999999999998</v>
      </c>
      <c r="E330" s="6">
        <v>16437.52</v>
      </c>
      <c r="F330" s="6">
        <v>16425.5</v>
      </c>
      <c r="G330" s="6">
        <v>16446.439999999999</v>
      </c>
      <c r="H330" s="6">
        <v>16428.5</v>
      </c>
      <c r="I330" s="5">
        <v>44894</v>
      </c>
      <c r="J330" s="7">
        <f t="shared" si="26"/>
        <v>-5.4874457947430252E-4</v>
      </c>
      <c r="K330" s="5">
        <v>44894</v>
      </c>
      <c r="L330" s="8">
        <f t="shared" si="24"/>
        <v>1.27484703661981E-3</v>
      </c>
      <c r="M330" s="5">
        <v>44894</v>
      </c>
      <c r="N330" s="9">
        <f t="shared" si="25"/>
        <v>7.2610245714550749E-4</v>
      </c>
      <c r="O330" s="5">
        <v>44894</v>
      </c>
      <c r="P330">
        <f t="shared" si="27"/>
        <v>0.99890918642575544</v>
      </c>
      <c r="Q330" s="6">
        <f t="shared" si="28"/>
        <v>1.0000200004000079</v>
      </c>
      <c r="R330">
        <f t="shared" si="29"/>
        <v>-1.1114091443719691E-3</v>
      </c>
      <c r="T330" s="5">
        <v>44894</v>
      </c>
      <c r="U330" s="1">
        <v>-1.1114091443719691E-3</v>
      </c>
    </row>
    <row r="331" spans="3:21" x14ac:dyDescent="0.2">
      <c r="C331" s="5">
        <v>44895</v>
      </c>
      <c r="D331" s="6">
        <v>1.0000100000000001</v>
      </c>
      <c r="E331" s="6">
        <v>17159.14</v>
      </c>
      <c r="F331" s="6">
        <v>17148</v>
      </c>
      <c r="G331" s="6">
        <v>17170.310000000001</v>
      </c>
      <c r="H331" s="6">
        <v>17156.5</v>
      </c>
      <c r="I331" s="5">
        <v>44895</v>
      </c>
      <c r="J331" s="7">
        <f t="shared" si="26"/>
        <v>-1.5385386447102931E-4</v>
      </c>
      <c r="K331" s="5">
        <v>44895</v>
      </c>
      <c r="L331" s="8">
        <f t="shared" ref="L331:L394" si="30">(G331-F331)/F331</f>
        <v>1.3010263587591153E-3</v>
      </c>
      <c r="M331" s="5">
        <v>44895</v>
      </c>
      <c r="N331" s="9">
        <f t="shared" ref="N331:N394" si="31">J331+L331</f>
        <v>1.1471724942880861E-3</v>
      </c>
      <c r="O331" s="5">
        <v>44895</v>
      </c>
      <c r="P331">
        <f t="shared" si="27"/>
        <v>0.99919570467859919</v>
      </c>
      <c r="Q331" s="6">
        <f t="shared" si="28"/>
        <v>0.99999000009999894</v>
      </c>
      <c r="R331">
        <f t="shared" si="29"/>
        <v>-7.9461899041754125E-4</v>
      </c>
      <c r="T331" s="5">
        <v>44895</v>
      </c>
      <c r="U331" s="1">
        <v>-7.9461899041754125E-4</v>
      </c>
    </row>
    <row r="332" spans="3:21" x14ac:dyDescent="0.2">
      <c r="C332" s="5">
        <v>44896</v>
      </c>
      <c r="D332" s="6">
        <v>0.99919999999999998</v>
      </c>
      <c r="E332" s="6">
        <v>16977.099999999999</v>
      </c>
      <c r="F332" s="6">
        <v>16965.5</v>
      </c>
      <c r="G332" s="6">
        <v>16979.21</v>
      </c>
      <c r="H332" s="6">
        <v>16965</v>
      </c>
      <c r="I332" s="5">
        <v>44896</v>
      </c>
      <c r="J332" s="7">
        <f t="shared" ref="J332:J395" si="32">(H332-E332)/E332</f>
        <v>-7.1272478809682139E-4</v>
      </c>
      <c r="K332" s="5">
        <v>44896</v>
      </c>
      <c r="L332" s="8">
        <f t="shared" si="30"/>
        <v>8.0811057734809621E-4</v>
      </c>
      <c r="M332" s="5">
        <v>44896</v>
      </c>
      <c r="N332" s="9">
        <f t="shared" si="31"/>
        <v>9.5385789251274818E-5</v>
      </c>
      <c r="O332" s="5">
        <v>44896</v>
      </c>
      <c r="P332">
        <f t="shared" ref="P332:P395" si="33">(1/G332)*H332</f>
        <v>0.9991630941604468</v>
      </c>
      <c r="Q332" s="6">
        <f t="shared" ref="Q332:Q395" si="34">1/D332</f>
        <v>1.0008006405124099</v>
      </c>
      <c r="R332">
        <f t="shared" ref="R332:R395" si="35">LN(P332/Q332)</f>
        <v>-1.6375764115299555E-3</v>
      </c>
      <c r="T332" s="5">
        <v>44896</v>
      </c>
      <c r="U332" s="1">
        <v>-1.6375764115299555E-3</v>
      </c>
    </row>
    <row r="333" spans="3:21" x14ac:dyDescent="0.2">
      <c r="C333" s="5">
        <v>44897</v>
      </c>
      <c r="D333" s="6">
        <v>0.99975999999999998</v>
      </c>
      <c r="E333" s="6">
        <v>17085.13</v>
      </c>
      <c r="F333" s="6">
        <v>17090.5</v>
      </c>
      <c r="G333" s="6">
        <v>17089.87</v>
      </c>
      <c r="H333" s="6">
        <v>17082</v>
      </c>
      <c r="I333" s="5">
        <v>44897</v>
      </c>
      <c r="J333" s="7">
        <f t="shared" si="32"/>
        <v>-1.8320024489137739E-4</v>
      </c>
      <c r="K333" s="5">
        <v>44897</v>
      </c>
      <c r="L333" s="8">
        <f t="shared" si="30"/>
        <v>-3.6862584476815695E-5</v>
      </c>
      <c r="M333" s="5">
        <v>44897</v>
      </c>
      <c r="N333" s="9">
        <f t="shared" si="31"/>
        <v>-2.2006282936819308E-4</v>
      </c>
      <c r="O333" s="5">
        <v>44897</v>
      </c>
      <c r="P333">
        <f t="shared" si="33"/>
        <v>0.9995394932787669</v>
      </c>
      <c r="Q333" s="6">
        <f t="shared" si="34"/>
        <v>1.0002400576138273</v>
      </c>
      <c r="R333">
        <f t="shared" si="35"/>
        <v>-7.0064159162592057E-4</v>
      </c>
      <c r="T333" s="5">
        <v>44897</v>
      </c>
      <c r="U333" s="1">
        <v>-7.0064159162592057E-4</v>
      </c>
    </row>
    <row r="334" spans="3:21" x14ac:dyDescent="0.2">
      <c r="C334" s="5">
        <v>44898</v>
      </c>
      <c r="D334" s="6">
        <v>0.99978999999999996</v>
      </c>
      <c r="E334" s="6">
        <v>16889.86</v>
      </c>
      <c r="F334" s="6">
        <v>16884</v>
      </c>
      <c r="G334" s="6">
        <v>16896.3</v>
      </c>
      <c r="H334" s="6">
        <v>16878</v>
      </c>
      <c r="I334" s="5">
        <v>44898</v>
      </c>
      <c r="J334" s="7">
        <f t="shared" si="32"/>
        <v>-7.021964658085136E-4</v>
      </c>
      <c r="K334" s="5">
        <v>44898</v>
      </c>
      <c r="L334" s="8">
        <f t="shared" si="30"/>
        <v>7.2850035536598391E-4</v>
      </c>
      <c r="M334" s="5">
        <v>44898</v>
      </c>
      <c r="N334" s="9">
        <f t="shared" si="31"/>
        <v>2.630388955747031E-5</v>
      </c>
      <c r="O334" s="5">
        <v>44898</v>
      </c>
      <c r="P334">
        <f t="shared" si="33"/>
        <v>0.99891692263986798</v>
      </c>
      <c r="Q334" s="6">
        <f t="shared" si="34"/>
        <v>1.000210044109263</v>
      </c>
      <c r="R334">
        <f t="shared" si="35"/>
        <v>-1.2936863653515648E-3</v>
      </c>
      <c r="T334" s="5">
        <v>44898</v>
      </c>
      <c r="U334" s="1">
        <v>-1.2936863653515648E-3</v>
      </c>
    </row>
    <row r="335" spans="3:21" x14ac:dyDescent="0.2">
      <c r="C335" s="5">
        <v>44899</v>
      </c>
      <c r="D335" s="6">
        <v>0.99848999999999999</v>
      </c>
      <c r="E335" s="6">
        <v>17116.919999999998</v>
      </c>
      <c r="F335" s="6">
        <v>17097.5</v>
      </c>
      <c r="G335" s="6">
        <v>17121.11</v>
      </c>
      <c r="H335" s="6">
        <v>17099</v>
      </c>
      <c r="I335" s="5">
        <v>44899</v>
      </c>
      <c r="J335" s="7">
        <f t="shared" si="32"/>
        <v>-1.0469173192372374E-3</v>
      </c>
      <c r="K335" s="5">
        <v>44899</v>
      </c>
      <c r="L335" s="8">
        <f t="shared" si="30"/>
        <v>1.3809036408832041E-3</v>
      </c>
      <c r="M335" s="5">
        <v>44899</v>
      </c>
      <c r="N335" s="9">
        <f t="shared" si="31"/>
        <v>3.3398632164596668E-4</v>
      </c>
      <c r="O335" s="5">
        <v>44899</v>
      </c>
      <c r="P335">
        <f t="shared" si="33"/>
        <v>0.99870861176641001</v>
      </c>
      <c r="Q335" s="6">
        <f t="shared" si="34"/>
        <v>1.0015122835481578</v>
      </c>
      <c r="R335">
        <f t="shared" si="35"/>
        <v>-2.8033639928983244E-3</v>
      </c>
      <c r="T335" s="5">
        <v>44899</v>
      </c>
      <c r="U335" s="1">
        <v>-2.8033639928983244E-3</v>
      </c>
    </row>
    <row r="336" spans="3:21" x14ac:dyDescent="0.2">
      <c r="C336" s="5">
        <v>44900</v>
      </c>
      <c r="D336" s="6">
        <v>0.99978999999999996</v>
      </c>
      <c r="E336" s="6">
        <v>16965.7</v>
      </c>
      <c r="F336" s="6">
        <v>16966.5</v>
      </c>
      <c r="G336" s="6">
        <v>16972.939999999999</v>
      </c>
      <c r="H336" s="6">
        <v>16952.5</v>
      </c>
      <c r="I336" s="5">
        <v>44900</v>
      </c>
      <c r="J336" s="7">
        <f t="shared" si="32"/>
        <v>-7.7804039915834464E-4</v>
      </c>
      <c r="K336" s="5">
        <v>44900</v>
      </c>
      <c r="L336" s="8">
        <f t="shared" si="30"/>
        <v>3.7957150856091066E-4</v>
      </c>
      <c r="M336" s="5">
        <v>44900</v>
      </c>
      <c r="N336" s="9">
        <f t="shared" si="31"/>
        <v>-3.9846889059743398E-4</v>
      </c>
      <c r="O336" s="5">
        <v>44900</v>
      </c>
      <c r="P336">
        <f t="shared" si="33"/>
        <v>0.99879573014457135</v>
      </c>
      <c r="Q336" s="6">
        <f t="shared" si="34"/>
        <v>1.000210044109263</v>
      </c>
      <c r="R336">
        <f t="shared" si="35"/>
        <v>-1.415017624155273E-3</v>
      </c>
      <c r="T336" s="5">
        <v>44900</v>
      </c>
      <c r="U336" s="1">
        <v>-1.415017624155273E-3</v>
      </c>
    </row>
    <row r="337" spans="3:21" x14ac:dyDescent="0.2">
      <c r="C337" s="5">
        <v>44901</v>
      </c>
      <c r="D337" s="6">
        <v>0.99956999999999996</v>
      </c>
      <c r="E337" s="6">
        <v>17091.23</v>
      </c>
      <c r="F337" s="6">
        <v>17083</v>
      </c>
      <c r="G337" s="6">
        <v>17097.28</v>
      </c>
      <c r="H337" s="6">
        <v>17077</v>
      </c>
      <c r="I337" s="5">
        <v>44901</v>
      </c>
      <c r="J337" s="7">
        <f t="shared" si="32"/>
        <v>-8.3259074975876887E-4</v>
      </c>
      <c r="K337" s="5">
        <v>44901</v>
      </c>
      <c r="L337" s="8">
        <f t="shared" si="30"/>
        <v>8.3591874963407102E-4</v>
      </c>
      <c r="M337" s="5">
        <v>44901</v>
      </c>
      <c r="N337" s="9">
        <f t="shared" si="31"/>
        <v>3.3279998753021466E-6</v>
      </c>
      <c r="O337" s="5">
        <v>44901</v>
      </c>
      <c r="P337">
        <f t="shared" si="33"/>
        <v>0.99881384641299675</v>
      </c>
      <c r="Q337" s="6">
        <f t="shared" si="34"/>
        <v>1.0004301849795412</v>
      </c>
      <c r="R337">
        <f t="shared" si="35"/>
        <v>-1.6169501004657536E-3</v>
      </c>
      <c r="T337" s="5">
        <v>44901</v>
      </c>
      <c r="U337" s="1">
        <v>-1.6169501004657536E-3</v>
      </c>
    </row>
    <row r="338" spans="3:21" x14ac:dyDescent="0.2">
      <c r="C338" s="5">
        <v>44902</v>
      </c>
      <c r="D338" s="6">
        <v>1.0002200000000001</v>
      </c>
      <c r="E338" s="6">
        <v>16836.2</v>
      </c>
      <c r="F338" s="6">
        <v>16826.5</v>
      </c>
      <c r="G338" s="6">
        <v>16847.580000000002</v>
      </c>
      <c r="H338" s="6">
        <v>16823.5</v>
      </c>
      <c r="I338" s="5">
        <v>44902</v>
      </c>
      <c r="J338" s="7">
        <f t="shared" si="32"/>
        <v>-7.5432698589947419E-4</v>
      </c>
      <c r="K338" s="5">
        <v>44902</v>
      </c>
      <c r="L338" s="8">
        <f t="shared" si="30"/>
        <v>1.2527857843283954E-3</v>
      </c>
      <c r="M338" s="5">
        <v>44902</v>
      </c>
      <c r="N338" s="9">
        <f t="shared" si="31"/>
        <v>4.9845879842892119E-4</v>
      </c>
      <c r="O338" s="5">
        <v>44902</v>
      </c>
      <c r="P338">
        <f t="shared" si="33"/>
        <v>0.99857071460708291</v>
      </c>
      <c r="Q338" s="6">
        <f t="shared" si="34"/>
        <v>0.99978004838935419</v>
      </c>
      <c r="R338">
        <f t="shared" si="35"/>
        <v>-1.2103319920549658E-3</v>
      </c>
      <c r="T338" s="5">
        <v>44902</v>
      </c>
      <c r="U338" s="1">
        <v>-1.2103319920549658E-3</v>
      </c>
    </row>
    <row r="339" spans="3:21" x14ac:dyDescent="0.2">
      <c r="C339" s="5">
        <v>44903</v>
      </c>
      <c r="D339" s="6">
        <v>0.99988999999999995</v>
      </c>
      <c r="E339" s="6">
        <v>17226.8</v>
      </c>
      <c r="F339" s="6">
        <v>17216</v>
      </c>
      <c r="G339" s="6">
        <v>17223.41</v>
      </c>
      <c r="H339" s="6">
        <v>17212.5</v>
      </c>
      <c r="I339" s="5">
        <v>44903</v>
      </c>
      <c r="J339" s="7">
        <f t="shared" si="32"/>
        <v>-8.3010193419551356E-4</v>
      </c>
      <c r="K339" s="5">
        <v>44903</v>
      </c>
      <c r="L339" s="8">
        <f t="shared" si="30"/>
        <v>4.3041356877322577E-4</v>
      </c>
      <c r="M339" s="5">
        <v>44903</v>
      </c>
      <c r="N339" s="9">
        <f t="shared" si="31"/>
        <v>-3.9968836542228779E-4</v>
      </c>
      <c r="O339" s="5">
        <v>44903</v>
      </c>
      <c r="P339">
        <f t="shared" si="33"/>
        <v>0.99936655981597133</v>
      </c>
      <c r="Q339" s="6">
        <f t="shared" si="34"/>
        <v>1.0001100121013311</v>
      </c>
      <c r="R339">
        <f t="shared" si="35"/>
        <v>-7.4364694246782008E-4</v>
      </c>
      <c r="T339" s="5">
        <v>44903</v>
      </c>
      <c r="U339" s="1">
        <v>-7.4364694246782008E-4</v>
      </c>
    </row>
    <row r="340" spans="3:21" x14ac:dyDescent="0.2">
      <c r="C340" s="5">
        <v>44904</v>
      </c>
      <c r="D340" s="6">
        <v>1.00027</v>
      </c>
      <c r="E340" s="6">
        <v>17120.259999999998</v>
      </c>
      <c r="F340" s="6">
        <v>17123</v>
      </c>
      <c r="G340" s="6">
        <v>17130.48</v>
      </c>
      <c r="H340" s="6">
        <v>17117.5</v>
      </c>
      <c r="I340" s="5">
        <v>44904</v>
      </c>
      <c r="J340" s="7">
        <f t="shared" si="32"/>
        <v>-1.6121250495018181E-4</v>
      </c>
      <c r="K340" s="5">
        <v>44904</v>
      </c>
      <c r="L340" s="8">
        <f t="shared" si="30"/>
        <v>4.3683933890086804E-4</v>
      </c>
      <c r="M340" s="5">
        <v>44904</v>
      </c>
      <c r="N340" s="9">
        <f t="shared" si="31"/>
        <v>2.7562683395068624E-4</v>
      </c>
      <c r="O340" s="5">
        <v>44904</v>
      </c>
      <c r="P340">
        <f t="shared" si="33"/>
        <v>0.99924228626401601</v>
      </c>
      <c r="Q340" s="6">
        <f t="shared" si="34"/>
        <v>0.99973007288032234</v>
      </c>
      <c r="R340">
        <f t="shared" si="35"/>
        <v>-4.8803738956844464E-4</v>
      </c>
      <c r="T340" s="5">
        <v>44904</v>
      </c>
      <c r="U340" s="1">
        <v>-4.8803738956844464E-4</v>
      </c>
    </row>
    <row r="341" spans="3:21" x14ac:dyDescent="0.2">
      <c r="C341" s="5">
        <v>44905</v>
      </c>
      <c r="D341" s="6">
        <v>0.99980000000000002</v>
      </c>
      <c r="E341" s="6">
        <v>17125.62</v>
      </c>
      <c r="F341" s="6">
        <v>17118.5</v>
      </c>
      <c r="G341" s="6">
        <v>17127.32</v>
      </c>
      <c r="H341" s="6">
        <v>17116.5</v>
      </c>
      <c r="I341" s="5">
        <v>44905</v>
      </c>
      <c r="J341" s="7">
        <f t="shared" si="32"/>
        <v>-5.3253546440940427E-4</v>
      </c>
      <c r="K341" s="5">
        <v>44905</v>
      </c>
      <c r="L341" s="8">
        <f t="shared" si="30"/>
        <v>5.1523205888364689E-4</v>
      </c>
      <c r="M341" s="5">
        <v>44905</v>
      </c>
      <c r="N341" s="9">
        <f t="shared" si="31"/>
        <v>-1.7303405525757377E-5</v>
      </c>
      <c r="O341" s="5">
        <v>44905</v>
      </c>
      <c r="P341">
        <f t="shared" si="33"/>
        <v>0.99936826076700858</v>
      </c>
      <c r="Q341" s="6">
        <f t="shared" si="34"/>
        <v>1.0002000400080016</v>
      </c>
      <c r="R341">
        <f t="shared" si="35"/>
        <v>-8.3195886696873589E-4</v>
      </c>
      <c r="T341" s="5">
        <v>44905</v>
      </c>
      <c r="U341" s="1">
        <v>-8.3195886696873589E-4</v>
      </c>
    </row>
    <row r="342" spans="3:21" x14ac:dyDescent="0.2">
      <c r="C342" s="5">
        <v>44906</v>
      </c>
      <c r="D342" s="6">
        <v>0.99977000000000005</v>
      </c>
      <c r="E342" s="6">
        <v>17089.37</v>
      </c>
      <c r="F342" s="6">
        <v>17082.5</v>
      </c>
      <c r="G342" s="6">
        <v>17090.16</v>
      </c>
      <c r="H342" s="6">
        <v>17074</v>
      </c>
      <c r="I342" s="5">
        <v>44906</v>
      </c>
      <c r="J342" s="7">
        <f t="shared" si="32"/>
        <v>-8.9938950353342351E-4</v>
      </c>
      <c r="K342" s="5">
        <v>44906</v>
      </c>
      <c r="L342" s="8">
        <f t="shared" si="30"/>
        <v>4.4841211766426779E-4</v>
      </c>
      <c r="M342" s="5">
        <v>44906</v>
      </c>
      <c r="N342" s="9">
        <f t="shared" si="31"/>
        <v>-4.5097738586915572E-4</v>
      </c>
      <c r="O342" s="5">
        <v>44906</v>
      </c>
      <c r="P342">
        <f t="shared" si="33"/>
        <v>0.99905442664082722</v>
      </c>
      <c r="Q342" s="6">
        <f t="shared" si="34"/>
        <v>1.0002300529121697</v>
      </c>
      <c r="R342">
        <f t="shared" si="35"/>
        <v>-1.1760471497330939E-3</v>
      </c>
      <c r="T342" s="5">
        <v>44906</v>
      </c>
      <c r="U342" s="1">
        <v>-1.1760471497330939E-3</v>
      </c>
    </row>
    <row r="343" spans="3:21" x14ac:dyDescent="0.2">
      <c r="C343" s="5">
        <v>44907</v>
      </c>
      <c r="D343" s="6">
        <v>0.99978999999999996</v>
      </c>
      <c r="E343" s="6">
        <v>17211</v>
      </c>
      <c r="F343" s="6">
        <v>17199.5</v>
      </c>
      <c r="G343" s="6">
        <v>17208.509999999998</v>
      </c>
      <c r="H343" s="6">
        <v>17197.5</v>
      </c>
      <c r="I343" s="5">
        <v>44907</v>
      </c>
      <c r="J343" s="7">
        <f t="shared" si="32"/>
        <v>-7.8438208122712217E-4</v>
      </c>
      <c r="K343" s="5">
        <v>44907</v>
      </c>
      <c r="L343" s="8">
        <f t="shared" si="30"/>
        <v>5.2385243757076651E-4</v>
      </c>
      <c r="M343" s="5">
        <v>44907</v>
      </c>
      <c r="N343" s="9">
        <f t="shared" si="31"/>
        <v>-2.6052964365635566E-4</v>
      </c>
      <c r="O343" s="5">
        <v>44907</v>
      </c>
      <c r="P343">
        <f t="shared" si="33"/>
        <v>0.99936020027300454</v>
      </c>
      <c r="Q343" s="6">
        <f t="shared" si="34"/>
        <v>1.000210044109263</v>
      </c>
      <c r="R343">
        <f t="shared" si="35"/>
        <v>-8.5002653926956957E-4</v>
      </c>
      <c r="T343" s="5">
        <v>44907</v>
      </c>
      <c r="U343" s="1">
        <v>-8.5002653926956957E-4</v>
      </c>
    </row>
    <row r="344" spans="3:21" x14ac:dyDescent="0.2">
      <c r="C344" s="5">
        <v>44908</v>
      </c>
      <c r="D344" s="6">
        <v>0.99973000000000001</v>
      </c>
      <c r="E344" s="6">
        <v>17780.14</v>
      </c>
      <c r="F344" s="6">
        <v>17769.5</v>
      </c>
      <c r="G344" s="6">
        <v>17764.990000000002</v>
      </c>
      <c r="H344" s="6">
        <v>17771</v>
      </c>
      <c r="I344" s="5">
        <v>44908</v>
      </c>
      <c r="J344" s="7">
        <f t="shared" si="32"/>
        <v>-5.1405669471665675E-4</v>
      </c>
      <c r="K344" s="5">
        <v>44908</v>
      </c>
      <c r="L344" s="8">
        <f t="shared" si="30"/>
        <v>-2.5380567826885391E-4</v>
      </c>
      <c r="M344" s="5">
        <v>44908</v>
      </c>
      <c r="N344" s="9">
        <f t="shared" si="31"/>
        <v>-7.6786237298551066E-4</v>
      </c>
      <c r="O344" s="5">
        <v>44908</v>
      </c>
      <c r="P344">
        <f t="shared" si="33"/>
        <v>1.000338305847625</v>
      </c>
      <c r="Q344" s="6">
        <f t="shared" si="34"/>
        <v>1.0002700729196883</v>
      </c>
      <c r="R344">
        <f t="shared" si="35"/>
        <v>6.8212178542577834E-5</v>
      </c>
      <c r="T344" s="5">
        <v>44908</v>
      </c>
      <c r="U344" s="1">
        <v>6.8212178542577834E-5</v>
      </c>
    </row>
    <row r="345" spans="3:21" x14ac:dyDescent="0.2">
      <c r="C345" s="5">
        <v>44909</v>
      </c>
      <c r="D345" s="6">
        <v>1.00099</v>
      </c>
      <c r="E345" s="6">
        <v>17804.900000000001</v>
      </c>
      <c r="F345" s="6">
        <v>17804.5</v>
      </c>
      <c r="G345" s="6">
        <v>17802.099999999999</v>
      </c>
      <c r="H345" s="6">
        <v>17789.5</v>
      </c>
      <c r="I345" s="5">
        <v>44909</v>
      </c>
      <c r="J345" s="7">
        <f t="shared" si="32"/>
        <v>-8.6493044049679884E-4</v>
      </c>
      <c r="K345" s="5">
        <v>44909</v>
      </c>
      <c r="L345" s="8">
        <f t="shared" si="30"/>
        <v>-1.3479738268423462E-4</v>
      </c>
      <c r="M345" s="5">
        <v>44909</v>
      </c>
      <c r="N345" s="9">
        <f t="shared" si="31"/>
        <v>-9.9972782318103349E-4</v>
      </c>
      <c r="O345" s="5">
        <v>44909</v>
      </c>
      <c r="P345">
        <f t="shared" si="33"/>
        <v>0.99929221833379211</v>
      </c>
      <c r="Q345" s="6">
        <f t="shared" si="34"/>
        <v>0.99901097913066061</v>
      </c>
      <c r="R345">
        <f t="shared" si="35"/>
        <v>2.8147801129006994E-4</v>
      </c>
      <c r="T345" s="5">
        <v>44909</v>
      </c>
      <c r="U345" s="1">
        <v>2.8147801129006994E-4</v>
      </c>
    </row>
    <row r="346" spans="3:21" x14ac:dyDescent="0.2">
      <c r="C346" s="5">
        <v>44910</v>
      </c>
      <c r="D346" s="6">
        <v>1.0000899999999999</v>
      </c>
      <c r="E346" s="6">
        <v>17356.189999999999</v>
      </c>
      <c r="F346" s="6">
        <v>17358</v>
      </c>
      <c r="G346" s="6">
        <v>17353.740000000002</v>
      </c>
      <c r="H346" s="6">
        <v>17354</v>
      </c>
      <c r="I346" s="5">
        <v>44910</v>
      </c>
      <c r="J346" s="7">
        <f t="shared" si="32"/>
        <v>-1.2617976641179259E-4</v>
      </c>
      <c r="K346" s="5">
        <v>44910</v>
      </c>
      <c r="L346" s="8">
        <f t="shared" si="30"/>
        <v>-2.4541997926019125E-4</v>
      </c>
      <c r="M346" s="5">
        <v>44910</v>
      </c>
      <c r="N346" s="9">
        <f t="shared" si="31"/>
        <v>-3.7159974567198381E-4</v>
      </c>
      <c r="O346" s="5">
        <v>44910</v>
      </c>
      <c r="P346">
        <f t="shared" si="33"/>
        <v>1.0000149823611508</v>
      </c>
      <c r="Q346" s="6">
        <f t="shared" si="34"/>
        <v>0.99991000809927111</v>
      </c>
      <c r="R346">
        <f t="shared" si="35"/>
        <v>1.0497819915927266E-4</v>
      </c>
      <c r="T346" s="5">
        <v>44910</v>
      </c>
      <c r="U346" s="1">
        <v>1.0497819915927266E-4</v>
      </c>
    </row>
    <row r="347" spans="3:21" x14ac:dyDescent="0.2">
      <c r="C347" s="5">
        <v>44911</v>
      </c>
      <c r="D347" s="6">
        <v>1.00058</v>
      </c>
      <c r="E347" s="6">
        <v>16633.64</v>
      </c>
      <c r="F347" s="6">
        <v>16622</v>
      </c>
      <c r="G347" s="6">
        <v>16639.830000000002</v>
      </c>
      <c r="H347" s="6">
        <v>16632</v>
      </c>
      <c r="I347" s="5">
        <v>44911</v>
      </c>
      <c r="J347" s="7">
        <f t="shared" si="32"/>
        <v>-9.8595376598232132E-5</v>
      </c>
      <c r="K347" s="5">
        <v>44911</v>
      </c>
      <c r="L347" s="8">
        <f t="shared" si="30"/>
        <v>1.0726747683793615E-3</v>
      </c>
      <c r="M347" s="5">
        <v>44911</v>
      </c>
      <c r="N347" s="9">
        <f t="shared" si="31"/>
        <v>9.7407939178112933E-4</v>
      </c>
      <c r="O347" s="5">
        <v>44911</v>
      </c>
      <c r="P347">
        <f t="shared" si="33"/>
        <v>0.99952944230800422</v>
      </c>
      <c r="Q347" s="6">
        <f t="shared" si="34"/>
        <v>0.99942033620500104</v>
      </c>
      <c r="R347">
        <f t="shared" si="35"/>
        <v>1.0916342599936875E-4</v>
      </c>
      <c r="T347" s="5">
        <v>44911</v>
      </c>
      <c r="U347" s="1">
        <v>1.0916342599936875E-4</v>
      </c>
    </row>
    <row r="348" spans="3:21" x14ac:dyDescent="0.2">
      <c r="C348" s="5">
        <v>44912</v>
      </c>
      <c r="D348" s="6">
        <v>0.99953000000000003</v>
      </c>
      <c r="E348" s="6">
        <v>16779.86</v>
      </c>
      <c r="F348" s="6">
        <v>16777</v>
      </c>
      <c r="G348" s="6">
        <v>16789.189999999999</v>
      </c>
      <c r="H348" s="6">
        <v>16773</v>
      </c>
      <c r="I348" s="5">
        <v>44912</v>
      </c>
      <c r="J348" s="7">
        <f t="shared" si="32"/>
        <v>-4.088234347605154E-4</v>
      </c>
      <c r="K348" s="5">
        <v>44912</v>
      </c>
      <c r="L348" s="8">
        <f t="shared" si="30"/>
        <v>7.265899743695947E-4</v>
      </c>
      <c r="M348" s="5">
        <v>44912</v>
      </c>
      <c r="N348" s="9">
        <f t="shared" si="31"/>
        <v>3.177665396090793E-4</v>
      </c>
      <c r="O348" s="5">
        <v>44912</v>
      </c>
      <c r="P348">
        <f t="shared" si="33"/>
        <v>0.99903568903562356</v>
      </c>
      <c r="Q348" s="6">
        <f t="shared" si="34"/>
        <v>1.0004702210038718</v>
      </c>
      <c r="R348">
        <f t="shared" si="35"/>
        <v>-1.4348866959335749E-3</v>
      </c>
      <c r="T348" s="5">
        <v>44912</v>
      </c>
      <c r="U348" s="1">
        <v>-1.4348866959335749E-3</v>
      </c>
    </row>
    <row r="349" spans="3:21" x14ac:dyDescent="0.2">
      <c r="C349" s="5">
        <v>44913</v>
      </c>
      <c r="D349" s="6">
        <v>0.99999000000000005</v>
      </c>
      <c r="E349" s="6">
        <v>16742.650000000001</v>
      </c>
      <c r="F349" s="6">
        <v>16733</v>
      </c>
      <c r="G349" s="6">
        <v>16732.310000000001</v>
      </c>
      <c r="H349" s="6">
        <v>16737.5</v>
      </c>
      <c r="I349" s="5">
        <v>44913</v>
      </c>
      <c r="J349" s="7">
        <f t="shared" si="32"/>
        <v>-3.0759766225785376E-4</v>
      </c>
      <c r="K349" s="5">
        <v>44913</v>
      </c>
      <c r="L349" s="8">
        <f t="shared" si="30"/>
        <v>-4.1235881192774179E-5</v>
      </c>
      <c r="M349" s="5">
        <v>44913</v>
      </c>
      <c r="N349" s="9">
        <f t="shared" si="31"/>
        <v>-3.4883354345062792E-4</v>
      </c>
      <c r="O349" s="5">
        <v>44913</v>
      </c>
      <c r="P349">
        <f t="shared" si="33"/>
        <v>1.0003101783316231</v>
      </c>
      <c r="Q349" s="6">
        <f t="shared" si="34"/>
        <v>1.000010000100001</v>
      </c>
      <c r="R349">
        <f t="shared" si="35"/>
        <v>3.0013018626916244E-4</v>
      </c>
      <c r="T349" s="5">
        <v>44913</v>
      </c>
      <c r="U349" s="1">
        <v>3.0013018626916244E-4</v>
      </c>
    </row>
    <row r="350" spans="3:21" x14ac:dyDescent="0.2">
      <c r="C350" s="5">
        <v>44914</v>
      </c>
      <c r="D350" s="6">
        <v>0.99999000000000005</v>
      </c>
      <c r="E350" s="6">
        <v>16439.060000000001</v>
      </c>
      <c r="F350" s="6">
        <v>16429.5</v>
      </c>
      <c r="G350" s="6">
        <v>16440.009999999998</v>
      </c>
      <c r="H350" s="6">
        <v>16432.5</v>
      </c>
      <c r="I350" s="5">
        <v>44914</v>
      </c>
      <c r="J350" s="7">
        <f t="shared" si="32"/>
        <v>-3.9904958069386626E-4</v>
      </c>
      <c r="K350" s="5">
        <v>44914</v>
      </c>
      <c r="L350" s="8">
        <f t="shared" si="30"/>
        <v>6.397029733101068E-4</v>
      </c>
      <c r="M350" s="5">
        <v>44914</v>
      </c>
      <c r="N350" s="9">
        <f t="shared" si="31"/>
        <v>2.4065339261624053E-4</v>
      </c>
      <c r="O350" s="5">
        <v>44914</v>
      </c>
      <c r="P350">
        <f t="shared" si="33"/>
        <v>0.99954318762579841</v>
      </c>
      <c r="Q350" s="6">
        <f t="shared" si="34"/>
        <v>1.000010000100001</v>
      </c>
      <c r="R350">
        <f t="shared" si="35"/>
        <v>-4.6691679476084627E-4</v>
      </c>
      <c r="T350" s="5">
        <v>44914</v>
      </c>
      <c r="U350" s="1">
        <v>-4.6691679476084627E-4</v>
      </c>
    </row>
    <row r="351" spans="3:21" x14ac:dyDescent="0.2">
      <c r="C351" s="5">
        <v>44915</v>
      </c>
      <c r="D351" s="6">
        <v>1.00038</v>
      </c>
      <c r="E351" s="6">
        <v>16900.41</v>
      </c>
      <c r="F351" s="6">
        <v>16890.5</v>
      </c>
      <c r="G351" s="6">
        <v>16901.330000000002</v>
      </c>
      <c r="H351" s="6">
        <v>16897.5</v>
      </c>
      <c r="I351" s="5">
        <v>44915</v>
      </c>
      <c r="J351" s="7">
        <f t="shared" si="32"/>
        <v>-1.7218517183901778E-4</v>
      </c>
      <c r="K351" s="5">
        <v>44915</v>
      </c>
      <c r="L351" s="8">
        <f t="shared" si="30"/>
        <v>6.411888339600217E-4</v>
      </c>
      <c r="M351" s="5">
        <v>44915</v>
      </c>
      <c r="N351" s="9">
        <f t="shared" si="31"/>
        <v>4.6900366212100392E-4</v>
      </c>
      <c r="O351" s="5">
        <v>44915</v>
      </c>
      <c r="P351">
        <f t="shared" si="33"/>
        <v>0.99977339061482129</v>
      </c>
      <c r="Q351" s="6">
        <f t="shared" si="34"/>
        <v>0.99962014434514879</v>
      </c>
      <c r="R351">
        <f t="shared" si="35"/>
        <v>1.5329275332040708E-4</v>
      </c>
      <c r="T351" s="5">
        <v>44915</v>
      </c>
      <c r="U351" s="1">
        <v>1.5329275332040708E-4</v>
      </c>
    </row>
    <row r="352" spans="3:21" x14ac:dyDescent="0.2">
      <c r="C352" s="5">
        <v>44916</v>
      </c>
      <c r="D352" s="6">
        <v>1.0000899999999999</v>
      </c>
      <c r="E352" s="6">
        <v>16829.82</v>
      </c>
      <c r="F352" s="6">
        <v>16830</v>
      </c>
      <c r="G352" s="6">
        <v>16823.62</v>
      </c>
      <c r="H352" s="6">
        <v>16828</v>
      </c>
      <c r="I352" s="5">
        <v>44916</v>
      </c>
      <c r="J352" s="7">
        <f t="shared" si="32"/>
        <v>-1.0814138237959223E-4</v>
      </c>
      <c r="K352" s="5">
        <v>44916</v>
      </c>
      <c r="L352" s="8">
        <f t="shared" si="30"/>
        <v>-3.7908496732032195E-4</v>
      </c>
      <c r="M352" s="5">
        <v>44916</v>
      </c>
      <c r="N352" s="9">
        <f t="shared" si="31"/>
        <v>-4.8722634969991421E-4</v>
      </c>
      <c r="O352" s="5">
        <v>44916</v>
      </c>
      <c r="P352">
        <f t="shared" si="33"/>
        <v>1.0002603482484744</v>
      </c>
      <c r="Q352" s="6">
        <f t="shared" si="34"/>
        <v>0.99991000809927111</v>
      </c>
      <c r="R352">
        <f t="shared" si="35"/>
        <v>3.5031031399324492E-4</v>
      </c>
      <c r="T352" s="5">
        <v>44916</v>
      </c>
      <c r="U352" s="1">
        <v>3.5031031399324492E-4</v>
      </c>
    </row>
    <row r="353" spans="3:21" x14ac:dyDescent="0.2">
      <c r="C353" s="5">
        <v>44917</v>
      </c>
      <c r="D353" s="6">
        <v>1.0000599999999999</v>
      </c>
      <c r="E353" s="6">
        <v>16818.09</v>
      </c>
      <c r="F353" s="6">
        <v>16818</v>
      </c>
      <c r="G353" s="6">
        <v>16811.43</v>
      </c>
      <c r="H353" s="6">
        <v>16821</v>
      </c>
      <c r="I353" s="5">
        <v>44917</v>
      </c>
      <c r="J353" s="7">
        <f t="shared" si="32"/>
        <v>1.7302797166621504E-4</v>
      </c>
      <c r="K353" s="5">
        <v>44917</v>
      </c>
      <c r="L353" s="8">
        <f t="shared" si="30"/>
        <v>-3.9065287192292239E-4</v>
      </c>
      <c r="M353" s="5">
        <v>44917</v>
      </c>
      <c r="N353" s="9">
        <f t="shared" si="31"/>
        <v>-2.1762490025670735E-4</v>
      </c>
      <c r="O353" s="5">
        <v>44917</v>
      </c>
      <c r="P353">
        <f t="shared" si="33"/>
        <v>1.0005692555600565</v>
      </c>
      <c r="Q353" s="6">
        <f t="shared" si="34"/>
        <v>0.99994000359978408</v>
      </c>
      <c r="R353">
        <f t="shared" si="35"/>
        <v>6.2909179564538586E-4</v>
      </c>
      <c r="T353" s="5">
        <v>44917</v>
      </c>
      <c r="U353" s="1">
        <v>6.2909179564538586E-4</v>
      </c>
    </row>
    <row r="354" spans="3:21" x14ac:dyDescent="0.2">
      <c r="C354" s="5">
        <v>44918</v>
      </c>
      <c r="D354" s="6">
        <v>1</v>
      </c>
      <c r="E354" s="6">
        <v>16779</v>
      </c>
      <c r="F354" s="6">
        <v>16783.5</v>
      </c>
      <c r="G354" s="6">
        <v>16780.48</v>
      </c>
      <c r="H354" s="6">
        <v>16781</v>
      </c>
      <c r="I354" s="5">
        <v>44918</v>
      </c>
      <c r="J354" s="7">
        <f t="shared" si="32"/>
        <v>1.1919661481613922E-4</v>
      </c>
      <c r="K354" s="5">
        <v>44918</v>
      </c>
      <c r="L354" s="8">
        <f t="shared" si="30"/>
        <v>-1.7993863020230802E-4</v>
      </c>
      <c r="M354" s="5">
        <v>44918</v>
      </c>
      <c r="N354" s="9">
        <f t="shared" si="31"/>
        <v>-6.0742015386168802E-5</v>
      </c>
      <c r="O354" s="5">
        <v>44918</v>
      </c>
      <c r="P354">
        <f t="shared" si="33"/>
        <v>1.0000309883865062</v>
      </c>
      <c r="Q354" s="6">
        <f t="shared" si="34"/>
        <v>1</v>
      </c>
      <c r="R354">
        <f t="shared" si="35"/>
        <v>3.0987906376039794E-5</v>
      </c>
      <c r="T354" s="5">
        <v>44918</v>
      </c>
      <c r="U354" s="1">
        <v>3.0987906376039794E-5</v>
      </c>
    </row>
    <row r="355" spans="3:21" x14ac:dyDescent="0.2">
      <c r="C355" s="5">
        <v>44919</v>
      </c>
      <c r="D355" s="6">
        <v>0.99990999999999997</v>
      </c>
      <c r="E355" s="6">
        <v>16832.79</v>
      </c>
      <c r="F355" s="6">
        <v>16832</v>
      </c>
      <c r="G355" s="6">
        <v>16811.169999999998</v>
      </c>
      <c r="H355" s="6">
        <v>16829.5</v>
      </c>
      <c r="I355" s="5">
        <v>44919</v>
      </c>
      <c r="J355" s="7">
        <f t="shared" si="32"/>
        <v>-1.9545185319848183E-4</v>
      </c>
      <c r="K355" s="5">
        <v>44919</v>
      </c>
      <c r="L355" s="8">
        <f t="shared" si="30"/>
        <v>-1.2375237642586589E-3</v>
      </c>
      <c r="M355" s="5">
        <v>44919</v>
      </c>
      <c r="N355" s="9">
        <f t="shared" si="31"/>
        <v>-1.4329756174571407E-3</v>
      </c>
      <c r="O355" s="5">
        <v>44919</v>
      </c>
      <c r="P355">
        <f t="shared" si="33"/>
        <v>1.0010903464779668</v>
      </c>
      <c r="Q355" s="6">
        <f t="shared" si="34"/>
        <v>1.0000900081007291</v>
      </c>
      <c r="R355">
        <f t="shared" si="35"/>
        <v>9.9974843173776594E-4</v>
      </c>
      <c r="T355" s="5">
        <v>44919</v>
      </c>
      <c r="U355" s="1">
        <v>9.9974843173776594E-4</v>
      </c>
    </row>
    <row r="356" spans="3:21" x14ac:dyDescent="0.2">
      <c r="C356" s="5">
        <v>44920</v>
      </c>
      <c r="D356" s="6">
        <v>0.99990000000000001</v>
      </c>
      <c r="E356" s="6">
        <v>16830.5</v>
      </c>
      <c r="F356" s="6">
        <v>16824</v>
      </c>
      <c r="G356" s="6">
        <v>16824.830000000002</v>
      </c>
      <c r="H356" s="6">
        <v>16823</v>
      </c>
      <c r="I356" s="5">
        <v>44920</v>
      </c>
      <c r="J356" s="7">
        <f t="shared" si="32"/>
        <v>-4.4561955972787501E-4</v>
      </c>
      <c r="K356" s="5">
        <v>44920</v>
      </c>
      <c r="L356" s="8">
        <f t="shared" si="30"/>
        <v>4.933428435578615E-5</v>
      </c>
      <c r="M356" s="5">
        <v>44920</v>
      </c>
      <c r="N356" s="9">
        <f t="shared" si="31"/>
        <v>-3.9628527537208887E-4</v>
      </c>
      <c r="O356" s="5">
        <v>44920</v>
      </c>
      <c r="P356">
        <f t="shared" si="33"/>
        <v>0.99989123218481246</v>
      </c>
      <c r="Q356" s="6">
        <f t="shared" si="34"/>
        <v>1.000100010001</v>
      </c>
      <c r="R356">
        <f t="shared" si="35"/>
        <v>-2.0877873116858668E-4</v>
      </c>
      <c r="T356" s="5">
        <v>44920</v>
      </c>
      <c r="U356" s="1">
        <v>-2.0877873116858668E-4</v>
      </c>
    </row>
    <row r="357" spans="3:21" x14ac:dyDescent="0.2">
      <c r="C357" s="5">
        <v>44921</v>
      </c>
      <c r="D357" s="6">
        <v>1.0001</v>
      </c>
      <c r="E357" s="6">
        <v>16913.560000000001</v>
      </c>
      <c r="F357" s="6">
        <v>16919</v>
      </c>
      <c r="G357" s="6">
        <v>16866.240000000002</v>
      </c>
      <c r="H357" s="6">
        <v>16908.5</v>
      </c>
      <c r="I357" s="5">
        <v>44921</v>
      </c>
      <c r="J357" s="7">
        <f t="shared" si="32"/>
        <v>-2.9916824134016193E-4</v>
      </c>
      <c r="K357" s="5">
        <v>44921</v>
      </c>
      <c r="L357" s="8">
        <f t="shared" si="30"/>
        <v>-3.1183876115608725E-3</v>
      </c>
      <c r="M357" s="5">
        <v>44921</v>
      </c>
      <c r="N357" s="9">
        <f t="shared" si="31"/>
        <v>-3.4175558529010346E-3</v>
      </c>
      <c r="O357" s="5">
        <v>44921</v>
      </c>
      <c r="P357">
        <f t="shared" si="33"/>
        <v>1.0025055969795282</v>
      </c>
      <c r="Q357" s="6">
        <f t="shared" si="34"/>
        <v>0.99990000999900008</v>
      </c>
      <c r="R357">
        <f t="shared" si="35"/>
        <v>2.6024582053087151E-3</v>
      </c>
      <c r="T357" s="5">
        <v>44921</v>
      </c>
      <c r="U357" s="1">
        <v>2.6024582053087151E-3</v>
      </c>
    </row>
    <row r="358" spans="3:21" x14ac:dyDescent="0.2">
      <c r="C358" s="5">
        <v>44922</v>
      </c>
      <c r="D358" s="6">
        <v>0.99944999999999995</v>
      </c>
      <c r="E358" s="6">
        <v>16699.419999999998</v>
      </c>
      <c r="F358" s="6">
        <v>16699</v>
      </c>
      <c r="G358" s="6">
        <v>16700.689999999999</v>
      </c>
      <c r="H358" s="6">
        <v>16696</v>
      </c>
      <c r="I358" s="5">
        <v>44922</v>
      </c>
      <c r="J358" s="7">
        <f t="shared" si="32"/>
        <v>-2.0479753189022457E-4</v>
      </c>
      <c r="K358" s="5">
        <v>44922</v>
      </c>
      <c r="L358" s="8">
        <f t="shared" si="30"/>
        <v>1.0120366489003475E-4</v>
      </c>
      <c r="M358" s="5">
        <v>44922</v>
      </c>
      <c r="N358" s="9">
        <f t="shared" si="31"/>
        <v>-1.0359386700018982E-4</v>
      </c>
      <c r="O358" s="5">
        <v>44922</v>
      </c>
      <c r="P358">
        <f t="shared" si="33"/>
        <v>0.99971917327966697</v>
      </c>
      <c r="Q358" s="6">
        <f t="shared" si="34"/>
        <v>1.0005503026664666</v>
      </c>
      <c r="R358">
        <f t="shared" si="35"/>
        <v>-8.3101746502165831E-4</v>
      </c>
      <c r="T358" s="5">
        <v>44922</v>
      </c>
      <c r="U358" s="1">
        <v>-8.3101746502165831E-4</v>
      </c>
    </row>
    <row r="359" spans="3:21" x14ac:dyDescent="0.2">
      <c r="C359" s="5">
        <v>44923</v>
      </c>
      <c r="D359" s="6">
        <v>0.99990000000000001</v>
      </c>
      <c r="E359" s="6">
        <v>16540.439999999999</v>
      </c>
      <c r="F359" s="6">
        <v>16537</v>
      </c>
      <c r="G359" s="6">
        <v>16524.28</v>
      </c>
      <c r="H359" s="6">
        <v>16535.5</v>
      </c>
      <c r="I359" s="5">
        <v>44923</v>
      </c>
      <c r="J359" s="7">
        <f t="shared" si="32"/>
        <v>-2.9866194611501812E-4</v>
      </c>
      <c r="K359" s="5">
        <v>44923</v>
      </c>
      <c r="L359" s="8">
        <f t="shared" si="30"/>
        <v>-7.6918425349223947E-4</v>
      </c>
      <c r="M359" s="5">
        <v>44923</v>
      </c>
      <c r="N359" s="9">
        <f t="shared" si="31"/>
        <v>-1.0678461996072577E-3</v>
      </c>
      <c r="O359" s="5">
        <v>44923</v>
      </c>
      <c r="P359">
        <f t="shared" si="33"/>
        <v>1.0006790008399762</v>
      </c>
      <c r="Q359" s="6">
        <f t="shared" si="34"/>
        <v>1.000100010001</v>
      </c>
      <c r="R359">
        <f t="shared" si="35"/>
        <v>5.7876542286871364E-4</v>
      </c>
      <c r="T359" s="5">
        <v>44923</v>
      </c>
      <c r="U359" s="1">
        <v>5.7876542286871364E-4</v>
      </c>
    </row>
    <row r="360" spans="3:21" x14ac:dyDescent="0.2">
      <c r="C360" s="5">
        <v>44924</v>
      </c>
      <c r="D360" s="6">
        <v>0.99890999999999996</v>
      </c>
      <c r="E360" s="6">
        <v>16628.16</v>
      </c>
      <c r="F360" s="6">
        <v>16623</v>
      </c>
      <c r="G360" s="6">
        <v>16635.54</v>
      </c>
      <c r="H360" s="6">
        <v>16638.5</v>
      </c>
      <c r="I360" s="5">
        <v>44924</v>
      </c>
      <c r="J360" s="7">
        <f t="shared" si="32"/>
        <v>6.2183669149203189E-4</v>
      </c>
      <c r="K360" s="5">
        <v>44924</v>
      </c>
      <c r="L360" s="8">
        <f t="shared" si="30"/>
        <v>7.5437646634186808E-4</v>
      </c>
      <c r="M360" s="5">
        <v>44924</v>
      </c>
      <c r="N360" s="9">
        <f t="shared" si="31"/>
        <v>1.3762131578338999E-3</v>
      </c>
      <c r="O360" s="5">
        <v>44924</v>
      </c>
      <c r="P360">
        <f t="shared" si="33"/>
        <v>1.0001779323063753</v>
      </c>
      <c r="Q360" s="6">
        <f t="shared" si="34"/>
        <v>1.0010911893964423</v>
      </c>
      <c r="R360">
        <f t="shared" si="35"/>
        <v>-9.1267800372970935E-4</v>
      </c>
      <c r="T360" s="5">
        <v>44924</v>
      </c>
      <c r="U360" s="1">
        <v>-9.1267800372970935E-4</v>
      </c>
    </row>
    <row r="361" spans="3:21" x14ac:dyDescent="0.2">
      <c r="C361" s="5">
        <v>44925</v>
      </c>
      <c r="D361" s="6">
        <v>1.0000800000000001</v>
      </c>
      <c r="E361" s="6">
        <v>16600.23</v>
      </c>
      <c r="F361" s="6">
        <v>16606</v>
      </c>
      <c r="G361" s="6">
        <v>16604.98</v>
      </c>
      <c r="H361" s="6">
        <v>16615.5</v>
      </c>
      <c r="I361" s="5">
        <v>44925</v>
      </c>
      <c r="J361" s="7">
        <f t="shared" si="32"/>
        <v>9.1986677293028095E-4</v>
      </c>
      <c r="K361" s="5">
        <v>44925</v>
      </c>
      <c r="L361" s="8">
        <f t="shared" si="30"/>
        <v>-6.142358183791621E-5</v>
      </c>
      <c r="M361" s="5">
        <v>44925</v>
      </c>
      <c r="N361" s="9">
        <f t="shared" si="31"/>
        <v>8.5844319109236477E-4</v>
      </c>
      <c r="O361" s="5">
        <v>44925</v>
      </c>
      <c r="P361">
        <f t="shared" si="33"/>
        <v>1.0006335448762962</v>
      </c>
      <c r="Q361" s="6">
        <f t="shared" si="34"/>
        <v>0.99992000639948797</v>
      </c>
      <c r="R361">
        <f t="shared" si="35"/>
        <v>7.1334107163530894E-4</v>
      </c>
      <c r="T361" s="5">
        <v>44925</v>
      </c>
      <c r="U361" s="1">
        <v>7.1334107163530894E-4</v>
      </c>
    </row>
    <row r="362" spans="3:21" x14ac:dyDescent="0.2">
      <c r="C362" s="5">
        <v>44926</v>
      </c>
      <c r="D362" s="6">
        <v>1</v>
      </c>
      <c r="E362" s="6">
        <v>16531.84</v>
      </c>
      <c r="F362" s="6">
        <v>16529.5</v>
      </c>
      <c r="G362" s="6">
        <v>16508.88</v>
      </c>
      <c r="H362" s="6">
        <v>16530</v>
      </c>
      <c r="I362" s="5">
        <v>44926</v>
      </c>
      <c r="J362" s="7">
        <f t="shared" si="32"/>
        <v>-1.113003755177975E-4</v>
      </c>
      <c r="K362" s="5">
        <v>44926</v>
      </c>
      <c r="L362" s="8">
        <f t="shared" si="30"/>
        <v>-1.2474666505338323E-3</v>
      </c>
      <c r="M362" s="5">
        <v>44926</v>
      </c>
      <c r="N362" s="9">
        <f t="shared" si="31"/>
        <v>-1.3587670260516299E-3</v>
      </c>
      <c r="O362" s="5">
        <v>44926</v>
      </c>
      <c r="P362">
        <f t="shared" si="33"/>
        <v>1.001279311497812</v>
      </c>
      <c r="Q362" s="6">
        <f t="shared" si="34"/>
        <v>1</v>
      </c>
      <c r="R362">
        <f t="shared" si="35"/>
        <v>1.2784938761120721E-3</v>
      </c>
      <c r="T362" s="5">
        <v>44926</v>
      </c>
      <c r="U362" s="1">
        <v>1.2784938761120721E-3</v>
      </c>
    </row>
    <row r="363" spans="3:21" x14ac:dyDescent="0.2">
      <c r="C363" s="5">
        <v>44927</v>
      </c>
      <c r="D363" s="6">
        <v>1.0001</v>
      </c>
      <c r="E363" s="6">
        <v>16610.439999999999</v>
      </c>
      <c r="F363" s="6">
        <v>16601</v>
      </c>
      <c r="G363" s="6">
        <v>16557.330000000002</v>
      </c>
      <c r="H363" s="6">
        <v>16609.5</v>
      </c>
      <c r="I363" s="5">
        <v>44927</v>
      </c>
      <c r="J363" s="7">
        <f t="shared" si="32"/>
        <v>-5.6590915111140367E-5</v>
      </c>
      <c r="K363" s="5">
        <v>44927</v>
      </c>
      <c r="L363" s="8">
        <f t="shared" si="30"/>
        <v>-2.6305644238297844E-3</v>
      </c>
      <c r="M363" s="5">
        <v>44927</v>
      </c>
      <c r="N363" s="9">
        <f t="shared" si="31"/>
        <v>-2.6871553389409249E-3</v>
      </c>
      <c r="O363" s="5">
        <v>44927</v>
      </c>
      <c r="P363">
        <f t="shared" si="33"/>
        <v>1.0031508703396017</v>
      </c>
      <c r="Q363" s="6">
        <f t="shared" si="34"/>
        <v>0.99990000999900008</v>
      </c>
      <c r="R363">
        <f t="shared" si="35"/>
        <v>3.2459117506706391E-3</v>
      </c>
      <c r="T363" s="5">
        <v>44927</v>
      </c>
      <c r="U363" s="1">
        <v>3.2459117506706391E-3</v>
      </c>
    </row>
    <row r="364" spans="3:21" x14ac:dyDescent="0.2">
      <c r="C364" s="5">
        <v>44928</v>
      </c>
      <c r="D364" s="6">
        <v>1.0000100000000001</v>
      </c>
      <c r="E364" s="6">
        <v>16668.47</v>
      </c>
      <c r="F364" s="6">
        <v>16661.5</v>
      </c>
      <c r="G364" s="6">
        <v>16641.47</v>
      </c>
      <c r="H364" s="6">
        <v>16663.5</v>
      </c>
      <c r="I364" s="5">
        <v>44928</v>
      </c>
      <c r="J364" s="7">
        <f t="shared" si="32"/>
        <v>-2.9816773825079107E-4</v>
      </c>
      <c r="K364" s="5">
        <v>44928</v>
      </c>
      <c r="L364" s="8">
        <f t="shared" si="30"/>
        <v>-1.2021726735287242E-3</v>
      </c>
      <c r="M364" s="5">
        <v>44928</v>
      </c>
      <c r="N364" s="9">
        <f t="shared" si="31"/>
        <v>-1.5003404117795152E-3</v>
      </c>
      <c r="O364" s="5">
        <v>44928</v>
      </c>
      <c r="P364">
        <f t="shared" si="33"/>
        <v>1.0013238013228398</v>
      </c>
      <c r="Q364" s="6">
        <f t="shared" si="34"/>
        <v>0.99999000009999894</v>
      </c>
      <c r="R364">
        <f t="shared" si="35"/>
        <v>1.3329258204005075E-3</v>
      </c>
      <c r="T364" s="5">
        <v>44928</v>
      </c>
      <c r="U364" s="1">
        <v>1.3329258204005075E-3</v>
      </c>
    </row>
    <row r="365" spans="3:21" x14ac:dyDescent="0.2">
      <c r="C365" s="5">
        <v>44929</v>
      </c>
      <c r="D365" s="6">
        <v>1.0000500000000001</v>
      </c>
      <c r="E365" s="6">
        <v>16669.86</v>
      </c>
      <c r="F365" s="6">
        <v>16659</v>
      </c>
      <c r="G365" s="6">
        <v>16662.39</v>
      </c>
      <c r="H365" s="6">
        <v>16669.5</v>
      </c>
      <c r="I365" s="5">
        <v>44929</v>
      </c>
      <c r="J365" s="7">
        <f t="shared" si="32"/>
        <v>-2.1595862232831113E-5</v>
      </c>
      <c r="K365" s="5">
        <v>44929</v>
      </c>
      <c r="L365" s="8">
        <f t="shared" si="30"/>
        <v>2.0349360705921232E-4</v>
      </c>
      <c r="M365" s="5">
        <v>44929</v>
      </c>
      <c r="N365" s="9">
        <f t="shared" si="31"/>
        <v>1.8189774482638122E-4</v>
      </c>
      <c r="O365" s="5">
        <v>44929</v>
      </c>
      <c r="P365">
        <f t="shared" si="33"/>
        <v>1.0004267094936561</v>
      </c>
      <c r="Q365" s="6">
        <f t="shared" si="34"/>
        <v>0.99995000249987487</v>
      </c>
      <c r="R365">
        <f t="shared" si="35"/>
        <v>4.7661722909218254E-4</v>
      </c>
      <c r="T365" s="5">
        <v>44929</v>
      </c>
      <c r="U365" s="1">
        <v>4.7661722909218254E-4</v>
      </c>
    </row>
    <row r="366" spans="3:21" x14ac:dyDescent="0.2">
      <c r="C366" s="5">
        <v>44930</v>
      </c>
      <c r="D366" s="6">
        <v>0.99995999999999996</v>
      </c>
      <c r="E366" s="6">
        <v>16846.849999999999</v>
      </c>
      <c r="F366" s="6">
        <v>16858.5</v>
      </c>
      <c r="G366" s="6">
        <v>16850.93</v>
      </c>
      <c r="H366" s="6">
        <v>16839</v>
      </c>
      <c r="I366" s="5">
        <v>44930</v>
      </c>
      <c r="J366" s="7">
        <f t="shared" si="32"/>
        <v>-4.6596247963260462E-4</v>
      </c>
      <c r="K366" s="5">
        <v>44930</v>
      </c>
      <c r="L366" s="8">
        <f t="shared" si="30"/>
        <v>-4.4903164575731586E-4</v>
      </c>
      <c r="M366" s="5">
        <v>44930</v>
      </c>
      <c r="N366" s="9">
        <f t="shared" si="31"/>
        <v>-9.1499412538992048E-4</v>
      </c>
      <c r="O366" s="5">
        <v>44930</v>
      </c>
      <c r="P366">
        <f t="shared" si="33"/>
        <v>0.99929202720562016</v>
      </c>
      <c r="Q366" s="6">
        <f t="shared" si="34"/>
        <v>1.0000400016000641</v>
      </c>
      <c r="R366">
        <f t="shared" si="35"/>
        <v>-7.4822432548763069E-4</v>
      </c>
      <c r="T366" s="5">
        <v>44930</v>
      </c>
      <c r="U366" s="1">
        <v>-7.4822432548763069E-4</v>
      </c>
    </row>
    <row r="367" spans="3:21" x14ac:dyDescent="0.2">
      <c r="C367" s="5">
        <v>44931</v>
      </c>
      <c r="D367" s="6">
        <v>1.0000899999999999</v>
      </c>
      <c r="E367" s="6">
        <v>16824.12</v>
      </c>
      <c r="F367" s="6">
        <v>16821</v>
      </c>
      <c r="G367" s="6">
        <v>16826.16</v>
      </c>
      <c r="H367" s="6">
        <v>16816</v>
      </c>
      <c r="I367" s="5">
        <v>44931</v>
      </c>
      <c r="J367" s="7">
        <f t="shared" si="32"/>
        <v>-4.8264039961668019E-4</v>
      </c>
      <c r="K367" s="5">
        <v>44931</v>
      </c>
      <c r="L367" s="8">
        <f t="shared" si="30"/>
        <v>3.0675940788299472E-4</v>
      </c>
      <c r="M367" s="5">
        <v>44931</v>
      </c>
      <c r="N367" s="9">
        <f t="shared" si="31"/>
        <v>-1.7588099173368547E-4</v>
      </c>
      <c r="O367" s="5">
        <v>44931</v>
      </c>
      <c r="P367">
        <f t="shared" si="33"/>
        <v>0.99939617833183569</v>
      </c>
      <c r="Q367" s="6">
        <f t="shared" si="34"/>
        <v>0.99991000809927111</v>
      </c>
      <c r="R367">
        <f t="shared" si="35"/>
        <v>-5.14008091642686E-4</v>
      </c>
      <c r="T367" s="5">
        <v>44931</v>
      </c>
      <c r="U367" s="1">
        <v>-5.14008091642686E-4</v>
      </c>
    </row>
    <row r="368" spans="3:21" x14ac:dyDescent="0.2">
      <c r="C368" s="5">
        <v>44932</v>
      </c>
      <c r="D368" s="6">
        <v>0.99997000000000003</v>
      </c>
      <c r="E368" s="6">
        <v>16949.41</v>
      </c>
      <c r="F368" s="6">
        <v>16940</v>
      </c>
      <c r="G368" s="6">
        <v>16946.080000000002</v>
      </c>
      <c r="H368" s="6">
        <v>16929.5</v>
      </c>
      <c r="I368" s="5">
        <v>44932</v>
      </c>
      <c r="J368" s="7">
        <f t="shared" si="32"/>
        <v>-1.1746721567299308E-3</v>
      </c>
      <c r="K368" s="5">
        <v>44932</v>
      </c>
      <c r="L368" s="8">
        <f t="shared" si="30"/>
        <v>3.5891381345937108E-4</v>
      </c>
      <c r="M368" s="5">
        <v>44932</v>
      </c>
      <c r="N368" s="9">
        <f t="shared" si="31"/>
        <v>-8.1575834327055974E-4</v>
      </c>
      <c r="O368" s="5">
        <v>44932</v>
      </c>
      <c r="P368">
        <f t="shared" si="33"/>
        <v>0.99902160263612583</v>
      </c>
      <c r="Q368" s="6">
        <f t="shared" si="34"/>
        <v>1.0000300009000269</v>
      </c>
      <c r="R368">
        <f t="shared" si="35"/>
        <v>-1.0088767570071541E-3</v>
      </c>
      <c r="T368" s="5">
        <v>44932</v>
      </c>
      <c r="U368" s="1">
        <v>-1.0088767570071541E-3</v>
      </c>
    </row>
    <row r="369" spans="3:21" x14ac:dyDescent="0.2">
      <c r="C369" s="5">
        <v>44933</v>
      </c>
      <c r="D369" s="6">
        <v>1.0000899999999999</v>
      </c>
      <c r="E369" s="6">
        <v>16942.72</v>
      </c>
      <c r="F369" s="6">
        <v>16935.5</v>
      </c>
      <c r="G369" s="6">
        <v>16937.78</v>
      </c>
      <c r="H369" s="6">
        <v>16943.5</v>
      </c>
      <c r="I369" s="5">
        <v>44933</v>
      </c>
      <c r="J369" s="7">
        <f t="shared" si="32"/>
        <v>4.6037472141358399E-5</v>
      </c>
      <c r="K369" s="5">
        <v>44933</v>
      </c>
      <c r="L369" s="8">
        <f t="shared" si="30"/>
        <v>1.3462844321093773E-4</v>
      </c>
      <c r="M369" s="5">
        <v>44933</v>
      </c>
      <c r="N369" s="9">
        <f t="shared" si="31"/>
        <v>1.8066591535229612E-4</v>
      </c>
      <c r="O369" s="5">
        <v>44933</v>
      </c>
      <c r="P369">
        <f t="shared" si="33"/>
        <v>1.0003377065943708</v>
      </c>
      <c r="Q369" s="6">
        <f t="shared" si="34"/>
        <v>0.99991000809927111</v>
      </c>
      <c r="R369">
        <f t="shared" si="35"/>
        <v>4.2764553457646555E-4</v>
      </c>
      <c r="T369" s="5">
        <v>44933</v>
      </c>
      <c r="U369" s="1">
        <v>4.2764553457646555E-4</v>
      </c>
    </row>
    <row r="370" spans="3:21" x14ac:dyDescent="0.2">
      <c r="C370" s="5">
        <v>44934</v>
      </c>
      <c r="D370" s="6">
        <v>0.99990000000000001</v>
      </c>
      <c r="E370" s="6">
        <v>17124.18</v>
      </c>
      <c r="F370" s="6">
        <v>17120</v>
      </c>
      <c r="G370" s="6">
        <v>17124.990000000002</v>
      </c>
      <c r="H370" s="6">
        <v>17118.5</v>
      </c>
      <c r="I370" s="5">
        <v>44934</v>
      </c>
      <c r="J370" s="7">
        <f t="shared" si="32"/>
        <v>-3.3169471472504325E-4</v>
      </c>
      <c r="K370" s="5">
        <v>44934</v>
      </c>
      <c r="L370" s="8">
        <f t="shared" si="30"/>
        <v>2.9147196261691594E-4</v>
      </c>
      <c r="M370" s="5">
        <v>44934</v>
      </c>
      <c r="N370" s="9">
        <f t="shared" si="31"/>
        <v>-4.0222752108127319E-5</v>
      </c>
      <c r="O370" s="5">
        <v>44934</v>
      </c>
      <c r="P370">
        <f t="shared" si="33"/>
        <v>0.9996210216765089</v>
      </c>
      <c r="Q370" s="6">
        <f t="shared" si="34"/>
        <v>1.000100010001</v>
      </c>
      <c r="R370">
        <f t="shared" si="35"/>
        <v>-4.7905515425789513E-4</v>
      </c>
      <c r="T370" s="5">
        <v>44934</v>
      </c>
      <c r="U370" s="1">
        <v>-4.7905515425789513E-4</v>
      </c>
    </row>
    <row r="371" spans="3:21" x14ac:dyDescent="0.2">
      <c r="C371" s="5">
        <v>44935</v>
      </c>
      <c r="D371" s="6">
        <v>0.99990000000000001</v>
      </c>
      <c r="E371" s="6">
        <v>17180.23</v>
      </c>
      <c r="F371" s="6">
        <v>17175</v>
      </c>
      <c r="G371" s="6">
        <v>17185.45</v>
      </c>
      <c r="H371" s="6">
        <v>17177.5</v>
      </c>
      <c r="I371" s="5">
        <v>44935</v>
      </c>
      <c r="J371" s="7">
        <f t="shared" si="32"/>
        <v>-1.5890357696023648E-4</v>
      </c>
      <c r="K371" s="5">
        <v>44935</v>
      </c>
      <c r="L371" s="8">
        <f t="shared" si="30"/>
        <v>6.084425036390525E-4</v>
      </c>
      <c r="M371" s="5">
        <v>44935</v>
      </c>
      <c r="N371" s="9">
        <f t="shared" si="31"/>
        <v>4.4953892667881602E-4</v>
      </c>
      <c r="O371" s="5">
        <v>44935</v>
      </c>
      <c r="P371">
        <f t="shared" si="33"/>
        <v>0.99953739936981567</v>
      </c>
      <c r="Q371" s="6">
        <f t="shared" si="34"/>
        <v>1.000100010001</v>
      </c>
      <c r="R371">
        <f t="shared" si="35"/>
        <v>-5.627126631993014E-4</v>
      </c>
      <c r="T371" s="5">
        <v>44935</v>
      </c>
      <c r="U371" s="1">
        <v>-5.627126631993014E-4</v>
      </c>
    </row>
    <row r="372" spans="3:21" x14ac:dyDescent="0.2">
      <c r="C372" s="5">
        <v>44936</v>
      </c>
      <c r="D372" s="6">
        <v>0.99990000000000001</v>
      </c>
      <c r="E372" s="6">
        <v>17439.03</v>
      </c>
      <c r="F372" s="6">
        <v>17442</v>
      </c>
      <c r="G372" s="6">
        <v>17453.62</v>
      </c>
      <c r="H372" s="6">
        <v>17432.5</v>
      </c>
      <c r="I372" s="5">
        <v>44936</v>
      </c>
      <c r="J372" s="7">
        <f t="shared" si="32"/>
        <v>-3.7444743199586424E-4</v>
      </c>
      <c r="K372" s="5">
        <v>44936</v>
      </c>
      <c r="L372" s="8">
        <f t="shared" si="30"/>
        <v>6.6620800366924563E-4</v>
      </c>
      <c r="M372" s="5">
        <v>44936</v>
      </c>
      <c r="N372" s="9">
        <f t="shared" si="31"/>
        <v>2.9176057167338139E-4</v>
      </c>
      <c r="O372" s="5">
        <v>44936</v>
      </c>
      <c r="P372">
        <f t="shared" si="33"/>
        <v>0.99878993584138998</v>
      </c>
      <c r="Q372" s="6">
        <f t="shared" si="34"/>
        <v>1.000100010001</v>
      </c>
      <c r="R372">
        <f t="shared" si="35"/>
        <v>-1.3108018777281251E-3</v>
      </c>
      <c r="T372" s="5">
        <v>44936</v>
      </c>
      <c r="U372" s="1">
        <v>-1.3108018777281251E-3</v>
      </c>
    </row>
    <row r="373" spans="3:21" x14ac:dyDescent="0.2">
      <c r="C373" s="5">
        <v>44937</v>
      </c>
      <c r="D373" s="6">
        <v>0.99990000000000001</v>
      </c>
      <c r="E373" s="6">
        <v>17946.740000000002</v>
      </c>
      <c r="F373" s="6">
        <v>17937.5</v>
      </c>
      <c r="G373" s="6">
        <v>17948.79</v>
      </c>
      <c r="H373" s="6">
        <v>17935</v>
      </c>
      <c r="I373" s="5">
        <v>44937</v>
      </c>
      <c r="J373" s="7">
        <f t="shared" si="32"/>
        <v>-6.5415780247563623E-4</v>
      </c>
      <c r="K373" s="5">
        <v>44937</v>
      </c>
      <c r="L373" s="8">
        <f t="shared" si="30"/>
        <v>6.2940766550527514E-4</v>
      </c>
      <c r="M373" s="5">
        <v>44937</v>
      </c>
      <c r="N373" s="9">
        <f t="shared" si="31"/>
        <v>-2.4750136970361084E-5</v>
      </c>
      <c r="O373" s="5">
        <v>44937</v>
      </c>
      <c r="P373">
        <f t="shared" si="33"/>
        <v>0.9992317030841632</v>
      </c>
      <c r="Q373" s="6">
        <f t="shared" si="34"/>
        <v>1.000100010001</v>
      </c>
      <c r="R373">
        <f t="shared" si="35"/>
        <v>-8.6859720750286236E-4</v>
      </c>
      <c r="T373" s="5">
        <v>44937</v>
      </c>
      <c r="U373" s="1">
        <v>-8.6859720750286236E-4</v>
      </c>
    </row>
    <row r="374" spans="3:21" x14ac:dyDescent="0.2">
      <c r="C374" s="5">
        <v>44938</v>
      </c>
      <c r="D374" s="6">
        <v>1.00099</v>
      </c>
      <c r="E374" s="6">
        <v>18849.82</v>
      </c>
      <c r="F374" s="6">
        <v>18837</v>
      </c>
      <c r="G374" s="6">
        <v>18853.25</v>
      </c>
      <c r="H374" s="6">
        <v>18844</v>
      </c>
      <c r="I374" s="5">
        <v>44938</v>
      </c>
      <c r="J374" s="7">
        <f t="shared" si="32"/>
        <v>-3.0875626398552927E-4</v>
      </c>
      <c r="K374" s="5">
        <v>44938</v>
      </c>
      <c r="L374" s="8">
        <f t="shared" si="30"/>
        <v>8.62663906142167E-4</v>
      </c>
      <c r="M374" s="5">
        <v>44938</v>
      </c>
      <c r="N374" s="9">
        <f t="shared" si="31"/>
        <v>5.5390764215663773E-4</v>
      </c>
      <c r="O374" s="5">
        <v>44938</v>
      </c>
      <c r="P374">
        <f t="shared" si="33"/>
        <v>0.99950936841128191</v>
      </c>
      <c r="Q374" s="6">
        <f t="shared" si="34"/>
        <v>0.99901097913066061</v>
      </c>
      <c r="R374">
        <f t="shared" si="35"/>
        <v>4.9875828541434361E-4</v>
      </c>
      <c r="T374" s="5">
        <v>44938</v>
      </c>
      <c r="U374" s="1">
        <v>4.9875828541434361E-4</v>
      </c>
    </row>
    <row r="375" spans="3:21" x14ac:dyDescent="0.2">
      <c r="C375" s="5">
        <v>44939</v>
      </c>
      <c r="D375" s="6">
        <v>0.99946000000000002</v>
      </c>
      <c r="E375" s="6">
        <v>19931.98</v>
      </c>
      <c r="F375" s="6">
        <v>19929</v>
      </c>
      <c r="G375" s="6">
        <v>19943.95</v>
      </c>
      <c r="H375" s="6">
        <v>19921</v>
      </c>
      <c r="I375" s="5">
        <v>44939</v>
      </c>
      <c r="J375" s="7">
        <f t="shared" si="32"/>
        <v>-5.5087352084436992E-4</v>
      </c>
      <c r="K375" s="5">
        <v>44939</v>
      </c>
      <c r="L375" s="8">
        <f t="shared" si="30"/>
        <v>7.5016307893023874E-4</v>
      </c>
      <c r="M375" s="5">
        <v>44939</v>
      </c>
      <c r="N375" s="9">
        <f t="shared" si="31"/>
        <v>1.9928955808586881E-4</v>
      </c>
      <c r="O375" s="5">
        <v>44939</v>
      </c>
      <c r="P375">
        <f t="shared" si="33"/>
        <v>0.99884927509344934</v>
      </c>
      <c r="Q375" s="6">
        <f t="shared" si="34"/>
        <v>1.000540291757549</v>
      </c>
      <c r="R375">
        <f t="shared" si="35"/>
        <v>-1.6915333513214835E-3</v>
      </c>
      <c r="T375" s="5">
        <v>44939</v>
      </c>
      <c r="U375" s="1">
        <v>-1.6915333513214835E-3</v>
      </c>
    </row>
    <row r="376" spans="3:21" x14ac:dyDescent="0.2">
      <c r="C376" s="5">
        <v>44940</v>
      </c>
      <c r="D376" s="6">
        <v>0.99980999999999998</v>
      </c>
      <c r="E376" s="6">
        <v>20953.84</v>
      </c>
      <c r="F376" s="6">
        <v>20954.5</v>
      </c>
      <c r="G376" s="6">
        <v>20945.330000000002</v>
      </c>
      <c r="H376" s="6">
        <v>20962.5</v>
      </c>
      <c r="I376" s="5">
        <v>44940</v>
      </c>
      <c r="J376" s="7">
        <f t="shared" si="32"/>
        <v>4.1328940184710079E-4</v>
      </c>
      <c r="K376" s="5">
        <v>44940</v>
      </c>
      <c r="L376" s="8">
        <f t="shared" si="30"/>
        <v>-4.3761483213621195E-4</v>
      </c>
      <c r="M376" s="5">
        <v>44940</v>
      </c>
      <c r="N376" s="9">
        <f t="shared" si="31"/>
        <v>-2.4325430289111154E-5</v>
      </c>
      <c r="O376" s="5">
        <v>44940</v>
      </c>
      <c r="P376">
        <f t="shared" si="33"/>
        <v>1.000819753138289</v>
      </c>
      <c r="Q376" s="6">
        <f t="shared" si="34"/>
        <v>1.0001900361068603</v>
      </c>
      <c r="R376">
        <f t="shared" si="35"/>
        <v>6.2939927190895889E-4</v>
      </c>
      <c r="T376" s="5">
        <v>44940</v>
      </c>
      <c r="U376" s="1">
        <v>6.2939927190895889E-4</v>
      </c>
    </row>
    <row r="377" spans="3:21" x14ac:dyDescent="0.2">
      <c r="C377" s="5">
        <v>44941</v>
      </c>
      <c r="D377" s="6">
        <v>0.99977000000000005</v>
      </c>
      <c r="E377" s="6">
        <v>20882</v>
      </c>
      <c r="F377" s="6">
        <v>20879.5</v>
      </c>
      <c r="G377" s="6">
        <v>20871.66</v>
      </c>
      <c r="H377" s="6">
        <v>20900.5</v>
      </c>
      <c r="I377" s="5">
        <v>44941</v>
      </c>
      <c r="J377" s="7">
        <f t="shared" si="32"/>
        <v>8.8593046643041854E-4</v>
      </c>
      <c r="K377" s="5">
        <v>44941</v>
      </c>
      <c r="L377" s="8">
        <f t="shared" si="30"/>
        <v>-3.7548791877200821E-4</v>
      </c>
      <c r="M377" s="5">
        <v>44941</v>
      </c>
      <c r="N377" s="9">
        <f t="shared" si="31"/>
        <v>5.1044254765841032E-4</v>
      </c>
      <c r="O377" s="5">
        <v>44941</v>
      </c>
      <c r="P377">
        <f t="shared" si="33"/>
        <v>1.0013817779707028</v>
      </c>
      <c r="Q377" s="6">
        <f t="shared" si="34"/>
        <v>1.0002300529121697</v>
      </c>
      <c r="R377">
        <f t="shared" si="35"/>
        <v>1.1507977399704086E-3</v>
      </c>
      <c r="T377" s="5">
        <v>44941</v>
      </c>
      <c r="U377" s="1">
        <v>1.1507977399704086E-3</v>
      </c>
    </row>
    <row r="378" spans="3:21" x14ac:dyDescent="0.2">
      <c r="C378" s="5">
        <v>44942</v>
      </c>
      <c r="D378" s="6">
        <v>0.99817</v>
      </c>
      <c r="E378" s="6">
        <v>21189.03</v>
      </c>
      <c r="F378" s="6">
        <v>21196.5</v>
      </c>
      <c r="G378" s="6">
        <v>21198.71</v>
      </c>
      <c r="H378" s="6">
        <v>21196</v>
      </c>
      <c r="I378" s="5">
        <v>44942</v>
      </c>
      <c r="J378" s="7">
        <f t="shared" si="32"/>
        <v>3.2894379780486243E-4</v>
      </c>
      <c r="K378" s="5">
        <v>44942</v>
      </c>
      <c r="L378" s="8">
        <f t="shared" si="30"/>
        <v>1.042624961667788E-4</v>
      </c>
      <c r="M378" s="5">
        <v>44942</v>
      </c>
      <c r="N378" s="9">
        <f t="shared" si="31"/>
        <v>4.3320629397164125E-4</v>
      </c>
      <c r="O378" s="5">
        <v>44942</v>
      </c>
      <c r="P378">
        <f t="shared" si="33"/>
        <v>0.99987216203250107</v>
      </c>
      <c r="Q378" s="6">
        <f t="shared" si="34"/>
        <v>1.0018333550397227</v>
      </c>
      <c r="R378">
        <f t="shared" si="35"/>
        <v>-1.9595226351053056E-3</v>
      </c>
      <c r="T378" s="5">
        <v>44942</v>
      </c>
      <c r="U378" s="1">
        <v>-1.9595226351053056E-3</v>
      </c>
    </row>
    <row r="379" spans="3:21" x14ac:dyDescent="0.2">
      <c r="C379" s="5">
        <v>44943</v>
      </c>
      <c r="D379" s="6">
        <v>0.99980999999999998</v>
      </c>
      <c r="E379" s="6">
        <v>21133.14</v>
      </c>
      <c r="F379" s="6">
        <v>21125.5</v>
      </c>
      <c r="G379" s="6">
        <v>21152.87</v>
      </c>
      <c r="H379" s="6">
        <v>21131.5</v>
      </c>
      <c r="I379" s="5">
        <v>44943</v>
      </c>
      <c r="J379" s="7">
        <f t="shared" si="32"/>
        <v>-7.7603233594223007E-5</v>
      </c>
      <c r="K379" s="5">
        <v>44943</v>
      </c>
      <c r="L379" s="8">
        <f t="shared" si="30"/>
        <v>1.295590636907954E-3</v>
      </c>
      <c r="M379" s="5">
        <v>44943</v>
      </c>
      <c r="N379" s="9">
        <f t="shared" si="31"/>
        <v>1.217987403313731E-3</v>
      </c>
      <c r="O379" s="5">
        <v>44943</v>
      </c>
      <c r="P379">
        <f t="shared" si="33"/>
        <v>0.99898973519905343</v>
      </c>
      <c r="Q379" s="6">
        <f t="shared" si="34"/>
        <v>1.0001900361068603</v>
      </c>
      <c r="R379">
        <f t="shared" si="35"/>
        <v>-1.2007935146817431E-3</v>
      </c>
      <c r="T379" s="5">
        <v>44943</v>
      </c>
      <c r="U379" s="1">
        <v>-1.2007935146817431E-3</v>
      </c>
    </row>
    <row r="380" spans="3:21" x14ac:dyDescent="0.2">
      <c r="C380" s="5">
        <v>44944</v>
      </c>
      <c r="D380" s="6">
        <v>0.99990000000000001</v>
      </c>
      <c r="E380" s="6">
        <v>20677.240000000002</v>
      </c>
      <c r="F380" s="6">
        <v>20673</v>
      </c>
      <c r="G380" s="6">
        <v>20678.68</v>
      </c>
      <c r="H380" s="6">
        <v>20676</v>
      </c>
      <c r="I380" s="5">
        <v>44944</v>
      </c>
      <c r="J380" s="7">
        <f t="shared" si="32"/>
        <v>-5.9969318922718924E-5</v>
      </c>
      <c r="K380" s="5">
        <v>44944</v>
      </c>
      <c r="L380" s="8">
        <f t="shared" si="30"/>
        <v>2.7475451071447255E-4</v>
      </c>
      <c r="M380" s="5">
        <v>44944</v>
      </c>
      <c r="N380" s="9">
        <f t="shared" si="31"/>
        <v>2.1478519179175362E-4</v>
      </c>
      <c r="O380" s="5">
        <v>44944</v>
      </c>
      <c r="P380">
        <f t="shared" si="33"/>
        <v>0.99987039791708165</v>
      </c>
      <c r="Q380" s="6">
        <f t="shared" si="34"/>
        <v>1.000100010001</v>
      </c>
      <c r="R380">
        <f t="shared" si="35"/>
        <v>-2.2961548232728151E-4</v>
      </c>
      <c r="T380" s="5">
        <v>44944</v>
      </c>
      <c r="U380" s="1">
        <v>-2.2961548232728151E-4</v>
      </c>
    </row>
    <row r="381" spans="3:21" x14ac:dyDescent="0.2">
      <c r="C381" s="5">
        <v>44945</v>
      </c>
      <c r="D381" s="6">
        <v>1.0036</v>
      </c>
      <c r="E381" s="6">
        <v>21083.99</v>
      </c>
      <c r="F381" s="6">
        <v>21068</v>
      </c>
      <c r="G381" s="6">
        <v>21079.53</v>
      </c>
      <c r="H381" s="6">
        <v>21071</v>
      </c>
      <c r="I381" s="5">
        <v>44945</v>
      </c>
      <c r="J381" s="7">
        <f t="shared" si="32"/>
        <v>-6.1610729278479073E-4</v>
      </c>
      <c r="K381" s="5">
        <v>44945</v>
      </c>
      <c r="L381" s="8">
        <f t="shared" si="30"/>
        <v>5.4727548889305273E-4</v>
      </c>
      <c r="M381" s="5">
        <v>44945</v>
      </c>
      <c r="N381" s="9">
        <f t="shared" si="31"/>
        <v>-6.8831803891738E-5</v>
      </c>
      <c r="O381" s="5">
        <v>44945</v>
      </c>
      <c r="P381">
        <f t="shared" si="33"/>
        <v>0.99959534202138289</v>
      </c>
      <c r="Q381" s="6">
        <f t="shared" si="34"/>
        <v>0.99641291351135908</v>
      </c>
      <c r="R381">
        <f t="shared" si="35"/>
        <v>3.1887956353791802E-3</v>
      </c>
      <c r="T381" s="5">
        <v>44945</v>
      </c>
      <c r="U381" s="1">
        <v>3.1887956353791802E-3</v>
      </c>
    </row>
    <row r="382" spans="3:21" x14ac:dyDescent="0.2">
      <c r="C382" s="5">
        <v>44946</v>
      </c>
      <c r="D382" s="6">
        <v>1.0009300000000001</v>
      </c>
      <c r="E382" s="6">
        <v>22674.04</v>
      </c>
      <c r="F382" s="6">
        <v>22648.5</v>
      </c>
      <c r="G382" s="6">
        <v>22683.439999999999</v>
      </c>
      <c r="H382" s="6">
        <v>22663.5</v>
      </c>
      <c r="I382" s="5">
        <v>44946</v>
      </c>
      <c r="J382" s="7">
        <f t="shared" si="32"/>
        <v>-4.6484878742389412E-4</v>
      </c>
      <c r="K382" s="5">
        <v>44946</v>
      </c>
      <c r="L382" s="8">
        <f t="shared" si="30"/>
        <v>1.5427070225400663E-3</v>
      </c>
      <c r="M382" s="5">
        <v>44946</v>
      </c>
      <c r="N382" s="9">
        <f t="shared" si="31"/>
        <v>1.0778582351161723E-3</v>
      </c>
      <c r="O382" s="5">
        <v>44946</v>
      </c>
      <c r="P382">
        <f t="shared" si="33"/>
        <v>0.99912094461862933</v>
      </c>
      <c r="Q382" s="6">
        <f t="shared" si="34"/>
        <v>0.99907086409639023</v>
      </c>
      <c r="R382">
        <f t="shared" si="35"/>
        <v>5.0125840803758654E-5</v>
      </c>
      <c r="T382" s="5">
        <v>44946</v>
      </c>
      <c r="U382" s="1">
        <v>5.0125840803758654E-5</v>
      </c>
    </row>
    <row r="383" spans="3:21" x14ac:dyDescent="0.2">
      <c r="C383" s="5">
        <v>44947</v>
      </c>
      <c r="D383" s="6">
        <v>0.99982000000000004</v>
      </c>
      <c r="E383" s="6">
        <v>22780.23</v>
      </c>
      <c r="F383" s="6">
        <v>22788</v>
      </c>
      <c r="G383" s="6">
        <v>22790.34</v>
      </c>
      <c r="H383" s="6">
        <v>22773</v>
      </c>
      <c r="I383" s="5">
        <v>44947</v>
      </c>
      <c r="J383" s="7">
        <f t="shared" si="32"/>
        <v>-3.1738046542987333E-4</v>
      </c>
      <c r="K383" s="5">
        <v>44947</v>
      </c>
      <c r="L383" s="8">
        <f t="shared" si="30"/>
        <v>1.0268562401264461E-4</v>
      </c>
      <c r="M383" s="5">
        <v>44947</v>
      </c>
      <c r="N383" s="9">
        <f t="shared" si="31"/>
        <v>-2.1469484141722873E-4</v>
      </c>
      <c r="O383" s="5">
        <v>44947</v>
      </c>
      <c r="P383">
        <f t="shared" si="33"/>
        <v>0.99923915132464025</v>
      </c>
      <c r="Q383" s="6">
        <f t="shared" si="34"/>
        <v>1.000180032405833</v>
      </c>
      <c r="R383">
        <f t="shared" si="35"/>
        <v>-9.4115446955726192E-4</v>
      </c>
      <c r="T383" s="5">
        <v>44947</v>
      </c>
      <c r="U383" s="1">
        <v>-9.4115446955726192E-4</v>
      </c>
    </row>
    <row r="384" spans="3:21" x14ac:dyDescent="0.2">
      <c r="C384" s="5">
        <v>44948</v>
      </c>
      <c r="D384" s="6">
        <v>1.0000599999999999</v>
      </c>
      <c r="E384" s="6">
        <v>22713.89</v>
      </c>
      <c r="F384" s="6">
        <v>22714</v>
      </c>
      <c r="G384" s="6">
        <v>22702</v>
      </c>
      <c r="H384" s="6">
        <v>22715.5</v>
      </c>
      <c r="I384" s="5">
        <v>44948</v>
      </c>
      <c r="J384" s="7">
        <f t="shared" si="32"/>
        <v>7.0881738002631081E-5</v>
      </c>
      <c r="K384" s="5">
        <v>44948</v>
      </c>
      <c r="L384" s="8">
        <f t="shared" si="30"/>
        <v>-5.2830853218279481E-4</v>
      </c>
      <c r="M384" s="5">
        <v>44948</v>
      </c>
      <c r="N384" s="9">
        <f t="shared" si="31"/>
        <v>-4.5742679418016372E-4</v>
      </c>
      <c r="O384" s="5">
        <v>44948</v>
      </c>
      <c r="P384">
        <f t="shared" si="33"/>
        <v>1.0005946612633247</v>
      </c>
      <c r="Q384" s="6">
        <f t="shared" si="34"/>
        <v>0.99994000359978408</v>
      </c>
      <c r="R384">
        <f t="shared" si="35"/>
        <v>6.5448272245158257E-4</v>
      </c>
      <c r="T384" s="5">
        <v>44948</v>
      </c>
      <c r="U384" s="1">
        <v>6.5448272245158257E-4</v>
      </c>
    </row>
    <row r="385" spans="3:21" x14ac:dyDescent="0.2">
      <c r="C385" s="5">
        <v>44949</v>
      </c>
      <c r="D385" s="6">
        <v>1.00014</v>
      </c>
      <c r="E385" s="6">
        <v>22918.959999999999</v>
      </c>
      <c r="F385" s="6">
        <v>22930</v>
      </c>
      <c r="G385" s="6">
        <v>22932.68</v>
      </c>
      <c r="H385" s="6">
        <v>22925</v>
      </c>
      <c r="I385" s="5">
        <v>44949</v>
      </c>
      <c r="J385" s="7">
        <f t="shared" si="32"/>
        <v>2.6353726347098092E-4</v>
      </c>
      <c r="K385" s="5">
        <v>44949</v>
      </c>
      <c r="L385" s="8">
        <f t="shared" si="30"/>
        <v>1.1687745311819848E-4</v>
      </c>
      <c r="M385" s="5">
        <v>44949</v>
      </c>
      <c r="N385" s="9">
        <f t="shared" si="31"/>
        <v>3.8041471658917941E-4</v>
      </c>
      <c r="O385" s="5">
        <v>44949</v>
      </c>
      <c r="P385">
        <f t="shared" si="33"/>
        <v>0.99966510673850595</v>
      </c>
      <c r="Q385" s="6">
        <f t="shared" si="34"/>
        <v>0.99986001959725634</v>
      </c>
      <c r="R385">
        <f t="shared" si="35"/>
        <v>-1.9495914985071674E-4</v>
      </c>
      <c r="T385" s="5">
        <v>44949</v>
      </c>
      <c r="U385" s="1">
        <v>-1.9495914985071674E-4</v>
      </c>
    </row>
    <row r="386" spans="3:21" x14ac:dyDescent="0.2">
      <c r="C386" s="5">
        <v>44950</v>
      </c>
      <c r="D386" s="6">
        <v>1.00037</v>
      </c>
      <c r="E386" s="6">
        <v>22633.72</v>
      </c>
      <c r="F386" s="6">
        <v>22644</v>
      </c>
      <c r="G386" s="6">
        <v>22658.58</v>
      </c>
      <c r="H386" s="6">
        <v>22654.5</v>
      </c>
      <c r="I386" s="5">
        <v>44950</v>
      </c>
      <c r="J386" s="7">
        <f t="shared" si="32"/>
        <v>9.1809919005796819E-4</v>
      </c>
      <c r="K386" s="5">
        <v>44950</v>
      </c>
      <c r="L386" s="8">
        <f t="shared" si="30"/>
        <v>6.4387917329101509E-4</v>
      </c>
      <c r="M386" s="5">
        <v>44950</v>
      </c>
      <c r="N386" s="9">
        <f t="shared" si="31"/>
        <v>1.5619783633489832E-3</v>
      </c>
      <c r="O386" s="5">
        <v>44950</v>
      </c>
      <c r="P386">
        <f t="shared" si="33"/>
        <v>0.99981993575943418</v>
      </c>
      <c r="Q386" s="6">
        <f t="shared" si="34"/>
        <v>0.99963013684936575</v>
      </c>
      <c r="R386">
        <f t="shared" si="35"/>
        <v>1.8985111280215886E-4</v>
      </c>
      <c r="T386" s="5">
        <v>44950</v>
      </c>
      <c r="U386" s="1">
        <v>1.8985111280215886E-4</v>
      </c>
    </row>
    <row r="387" spans="3:21" x14ac:dyDescent="0.2">
      <c r="C387" s="5">
        <v>44951</v>
      </c>
      <c r="D387" s="6">
        <v>1.0004299999999999</v>
      </c>
      <c r="E387" s="6">
        <v>23038.76</v>
      </c>
      <c r="F387" s="6">
        <v>23059</v>
      </c>
      <c r="G387" s="6">
        <v>23070.5</v>
      </c>
      <c r="H387" s="6">
        <v>23055</v>
      </c>
      <c r="I387" s="5">
        <v>44951</v>
      </c>
      <c r="J387" s="7">
        <f t="shared" si="32"/>
        <v>7.0489904838635421E-4</v>
      </c>
      <c r="K387" s="5">
        <v>44951</v>
      </c>
      <c r="L387" s="8">
        <f t="shared" si="30"/>
        <v>4.9872067305607357E-4</v>
      </c>
      <c r="M387" s="5">
        <v>44951</v>
      </c>
      <c r="N387" s="9">
        <f t="shared" si="31"/>
        <v>1.2036197214424279E-3</v>
      </c>
      <c r="O387" s="5">
        <v>44951</v>
      </c>
      <c r="P387">
        <f t="shared" si="33"/>
        <v>0.99932814633406297</v>
      </c>
      <c r="Q387" s="6">
        <f t="shared" si="34"/>
        <v>0.99957018482052729</v>
      </c>
      <c r="R387">
        <f t="shared" si="35"/>
        <v>-2.4217188425725757E-4</v>
      </c>
      <c r="T387" s="5">
        <v>44951</v>
      </c>
      <c r="U387" s="1">
        <v>-2.4217188425725757E-4</v>
      </c>
    </row>
    <row r="388" spans="3:21" x14ac:dyDescent="0.2">
      <c r="C388" s="5">
        <v>44952</v>
      </c>
      <c r="D388" s="6">
        <v>1.00037</v>
      </c>
      <c r="E388" s="6">
        <v>23011.78</v>
      </c>
      <c r="F388" s="6">
        <v>23008.5</v>
      </c>
      <c r="G388" s="6">
        <v>23019.119999999999</v>
      </c>
      <c r="H388" s="6">
        <v>23017</v>
      </c>
      <c r="I388" s="5">
        <v>44952</v>
      </c>
      <c r="J388" s="7">
        <f t="shared" si="32"/>
        <v>2.2684034003458942E-4</v>
      </c>
      <c r="K388" s="5">
        <v>44952</v>
      </c>
      <c r="L388" s="8">
        <f t="shared" si="30"/>
        <v>4.615685507529383E-4</v>
      </c>
      <c r="M388" s="5">
        <v>44952</v>
      </c>
      <c r="N388" s="9">
        <f t="shared" si="31"/>
        <v>6.8840889078752767E-4</v>
      </c>
      <c r="O388" s="5">
        <v>44952</v>
      </c>
      <c r="P388">
        <f t="shared" si="33"/>
        <v>0.99990790264788576</v>
      </c>
      <c r="Q388" s="6">
        <f t="shared" si="34"/>
        <v>0.99963013684936575</v>
      </c>
      <c r="R388">
        <f t="shared" si="35"/>
        <v>2.7782997354379565E-4</v>
      </c>
      <c r="T388" s="5">
        <v>44952</v>
      </c>
      <c r="U388" s="1">
        <v>2.7782997354379565E-4</v>
      </c>
    </row>
    <row r="389" spans="3:21" x14ac:dyDescent="0.2">
      <c r="C389" s="5">
        <v>44953</v>
      </c>
      <c r="D389" s="6">
        <v>1.00064</v>
      </c>
      <c r="E389" s="6">
        <v>23079.17</v>
      </c>
      <c r="F389" s="6">
        <v>23081</v>
      </c>
      <c r="G389" s="6">
        <v>23090.38</v>
      </c>
      <c r="H389" s="6">
        <v>23093</v>
      </c>
      <c r="I389" s="5">
        <v>44953</v>
      </c>
      <c r="J389" s="7">
        <f t="shared" si="32"/>
        <v>5.9924165383771371E-4</v>
      </c>
      <c r="K389" s="5">
        <v>44953</v>
      </c>
      <c r="L389" s="8">
        <f t="shared" si="30"/>
        <v>4.0639487023963515E-4</v>
      </c>
      <c r="M389" s="5">
        <v>44953</v>
      </c>
      <c r="N389" s="9">
        <f t="shared" si="31"/>
        <v>1.0056365240773489E-3</v>
      </c>
      <c r="O389" s="5">
        <v>44953</v>
      </c>
      <c r="P389">
        <f t="shared" si="33"/>
        <v>1.0001134671668461</v>
      </c>
      <c r="Q389" s="6">
        <f t="shared" si="34"/>
        <v>0.99936040933802373</v>
      </c>
      <c r="R389">
        <f t="shared" si="35"/>
        <v>7.5325601727349242E-4</v>
      </c>
      <c r="T389" s="5">
        <v>44953</v>
      </c>
      <c r="U389" s="1">
        <v>7.5325601727349242E-4</v>
      </c>
    </row>
    <row r="390" spans="3:21" x14ac:dyDescent="0.2">
      <c r="C390" s="5">
        <v>44954</v>
      </c>
      <c r="D390" s="6">
        <v>1.00003</v>
      </c>
      <c r="E390" s="6">
        <v>23025.91</v>
      </c>
      <c r="F390" s="6">
        <v>23021.5</v>
      </c>
      <c r="G390" s="6">
        <v>23033.33</v>
      </c>
      <c r="H390" s="6">
        <v>23042</v>
      </c>
      <c r="I390" s="5">
        <v>44954</v>
      </c>
      <c r="J390" s="7">
        <f t="shared" si="32"/>
        <v>6.9877802875109585E-4</v>
      </c>
      <c r="K390" s="5">
        <v>44954</v>
      </c>
      <c r="L390" s="8">
        <f t="shared" si="30"/>
        <v>5.1386747171130228E-4</v>
      </c>
      <c r="M390" s="5">
        <v>44954</v>
      </c>
      <c r="N390" s="9">
        <f t="shared" si="31"/>
        <v>1.2126455004623981E-3</v>
      </c>
      <c r="O390" s="5">
        <v>44954</v>
      </c>
      <c r="P390">
        <f t="shared" si="33"/>
        <v>1.0003764110530262</v>
      </c>
      <c r="Q390" s="6">
        <f t="shared" si="34"/>
        <v>0.99997000089997301</v>
      </c>
      <c r="R390">
        <f t="shared" si="35"/>
        <v>4.0633977816697793E-4</v>
      </c>
      <c r="T390" s="5">
        <v>44954</v>
      </c>
      <c r="U390" s="1">
        <v>4.0633977816697793E-4</v>
      </c>
    </row>
    <row r="391" spans="3:21" x14ac:dyDescent="0.2">
      <c r="C391" s="5">
        <v>44955</v>
      </c>
      <c r="D391" s="6">
        <v>1.0006299999999999</v>
      </c>
      <c r="E391" s="6">
        <v>23747.48</v>
      </c>
      <c r="F391" s="6">
        <v>23745.5</v>
      </c>
      <c r="G391" s="6">
        <v>23747.16</v>
      </c>
      <c r="H391" s="6">
        <v>23760.5</v>
      </c>
      <c r="I391" s="5">
        <v>44955</v>
      </c>
      <c r="J391" s="7">
        <f t="shared" si="32"/>
        <v>5.4826870051055676E-4</v>
      </c>
      <c r="K391" s="5">
        <v>44955</v>
      </c>
      <c r="L391" s="8">
        <f t="shared" si="30"/>
        <v>6.9907982565111474E-5</v>
      </c>
      <c r="M391" s="5">
        <v>44955</v>
      </c>
      <c r="N391" s="9">
        <f t="shared" si="31"/>
        <v>6.181766830756682E-4</v>
      </c>
      <c r="O391" s="5">
        <v>44955</v>
      </c>
      <c r="P391">
        <f t="shared" si="33"/>
        <v>1.0005617513841656</v>
      </c>
      <c r="Q391" s="6">
        <f t="shared" si="34"/>
        <v>0.99937039665011052</v>
      </c>
      <c r="R391">
        <f t="shared" si="35"/>
        <v>1.1913952942309808E-3</v>
      </c>
      <c r="T391" s="5">
        <v>44955</v>
      </c>
      <c r="U391" s="1">
        <v>1.1913952942309808E-3</v>
      </c>
    </row>
    <row r="392" spans="3:21" x14ac:dyDescent="0.2">
      <c r="C392" s="5">
        <v>44956</v>
      </c>
      <c r="D392" s="6">
        <v>1.00051</v>
      </c>
      <c r="E392" s="6">
        <v>22833.89</v>
      </c>
      <c r="F392" s="6">
        <v>22832.5</v>
      </c>
      <c r="G392" s="6">
        <v>22841.94</v>
      </c>
      <c r="H392" s="6">
        <v>22834</v>
      </c>
      <c r="I392" s="5">
        <v>44956</v>
      </c>
      <c r="J392" s="7">
        <f t="shared" si="32"/>
        <v>4.8174008020789307E-6</v>
      </c>
      <c r="K392" s="5">
        <v>44956</v>
      </c>
      <c r="L392" s="8">
        <f t="shared" si="30"/>
        <v>4.1344574619505927E-4</v>
      </c>
      <c r="M392" s="5">
        <v>44956</v>
      </c>
      <c r="N392" s="9">
        <f t="shared" si="31"/>
        <v>4.1826314699713819E-4</v>
      </c>
      <c r="O392" s="5">
        <v>44956</v>
      </c>
      <c r="P392">
        <f t="shared" si="33"/>
        <v>0.99965239379842519</v>
      </c>
      <c r="Q392" s="6">
        <f t="shared" si="34"/>
        <v>0.99949025996741658</v>
      </c>
      <c r="R392">
        <f t="shared" si="35"/>
        <v>1.622033635856467E-4</v>
      </c>
      <c r="T392" s="5">
        <v>44956</v>
      </c>
      <c r="U392" s="1">
        <v>1.622033635856467E-4</v>
      </c>
    </row>
    <row r="393" spans="3:21" x14ac:dyDescent="0.2">
      <c r="C393" s="5">
        <v>44957</v>
      </c>
      <c r="D393" s="6">
        <v>1.0000100000000001</v>
      </c>
      <c r="E393" s="6">
        <v>23128.59</v>
      </c>
      <c r="F393" s="6">
        <v>23138.5</v>
      </c>
      <c r="G393" s="6">
        <v>23137.45</v>
      </c>
      <c r="H393" s="6">
        <v>23129.5</v>
      </c>
      <c r="I393" s="5">
        <v>44957</v>
      </c>
      <c r="J393" s="7">
        <f t="shared" si="32"/>
        <v>3.9345243268173912E-5</v>
      </c>
      <c r="K393" s="5">
        <v>44957</v>
      </c>
      <c r="L393" s="8">
        <f t="shared" si="30"/>
        <v>-4.537891393129513E-5</v>
      </c>
      <c r="M393" s="5">
        <v>44957</v>
      </c>
      <c r="N393" s="9">
        <f t="shared" si="31"/>
        <v>-6.0336706631212175E-6</v>
      </c>
      <c r="O393" s="5">
        <v>44957</v>
      </c>
      <c r="P393">
        <f t="shared" si="33"/>
        <v>0.99965640120237964</v>
      </c>
      <c r="Q393" s="6">
        <f t="shared" si="34"/>
        <v>0.99999000009999894</v>
      </c>
      <c r="R393">
        <f t="shared" si="35"/>
        <v>-3.336578912120446E-4</v>
      </c>
      <c r="T393" s="5">
        <v>44957</v>
      </c>
      <c r="U393" s="1">
        <v>-3.336578912120446E-4</v>
      </c>
    </row>
    <row r="394" spans="3:21" x14ac:dyDescent="0.2">
      <c r="C394" s="5">
        <v>44958</v>
      </c>
      <c r="D394" s="6">
        <v>1.00058</v>
      </c>
      <c r="E394" s="6">
        <v>23726.37</v>
      </c>
      <c r="F394" s="6">
        <v>23734.5</v>
      </c>
      <c r="G394" s="6">
        <v>23740.05</v>
      </c>
      <c r="H394" s="6">
        <v>23712.5</v>
      </c>
      <c r="I394" s="5">
        <v>44958</v>
      </c>
      <c r="J394" s="7">
        <f t="shared" si="32"/>
        <v>-5.8458162795231561E-4</v>
      </c>
      <c r="K394" s="5">
        <v>44958</v>
      </c>
      <c r="L394" s="8">
        <f t="shared" si="30"/>
        <v>2.338368198192198E-4</v>
      </c>
      <c r="M394" s="5">
        <v>44958</v>
      </c>
      <c r="N394" s="9">
        <f t="shared" si="31"/>
        <v>-3.5074480813309582E-4</v>
      </c>
      <c r="O394" s="5">
        <v>44958</v>
      </c>
      <c r="P394">
        <f t="shared" si="33"/>
        <v>0.9988395138173678</v>
      </c>
      <c r="Q394" s="6">
        <f t="shared" si="34"/>
        <v>0.99942033620500104</v>
      </c>
      <c r="R394">
        <f t="shared" si="35"/>
        <v>-5.8132820312015003E-4</v>
      </c>
      <c r="T394" s="5">
        <v>44958</v>
      </c>
      <c r="U394" s="1">
        <v>-5.8132820312015003E-4</v>
      </c>
    </row>
    <row r="395" spans="3:21" x14ac:dyDescent="0.2">
      <c r="C395" s="5">
        <v>44959</v>
      </c>
      <c r="D395" s="6">
        <v>1.0000500000000001</v>
      </c>
      <c r="E395" s="6">
        <v>23492.560000000001</v>
      </c>
      <c r="F395" s="6">
        <v>23502</v>
      </c>
      <c r="G395" s="6">
        <v>23498.6</v>
      </c>
      <c r="H395" s="6">
        <v>23526</v>
      </c>
      <c r="I395" s="5">
        <v>44959</v>
      </c>
      <c r="J395" s="7">
        <f t="shared" si="32"/>
        <v>1.4234293750872058E-3</v>
      </c>
      <c r="K395" s="5">
        <v>44959</v>
      </c>
      <c r="L395" s="8">
        <f t="shared" ref="L395:L458" si="36">(G395-F395)/F395</f>
        <v>-1.4466853884781956E-4</v>
      </c>
      <c r="M395" s="5">
        <v>44959</v>
      </c>
      <c r="N395" s="9">
        <f t="shared" ref="N395:N458" si="37">J395+L395</f>
        <v>1.2787608362393862E-3</v>
      </c>
      <c r="O395" s="5">
        <v>44959</v>
      </c>
      <c r="P395">
        <f t="shared" si="33"/>
        <v>1.0011660269122418</v>
      </c>
      <c r="Q395" s="6">
        <f t="shared" si="34"/>
        <v>0.99995000249987487</v>
      </c>
      <c r="R395">
        <f t="shared" si="35"/>
        <v>1.2153463808926201E-3</v>
      </c>
      <c r="T395" s="5">
        <v>44959</v>
      </c>
      <c r="U395" s="1">
        <v>1.2153463808926201E-3</v>
      </c>
    </row>
    <row r="396" spans="3:21" x14ac:dyDescent="0.2">
      <c r="C396" s="5">
        <v>44960</v>
      </c>
      <c r="D396" s="6">
        <v>0.99983999999999995</v>
      </c>
      <c r="E396" s="6">
        <v>23439.1</v>
      </c>
      <c r="F396" s="6">
        <v>23445</v>
      </c>
      <c r="G396" s="6">
        <v>23424.66</v>
      </c>
      <c r="H396" s="6">
        <v>23450</v>
      </c>
      <c r="I396" s="5">
        <v>44960</v>
      </c>
      <c r="J396" s="7">
        <f t="shared" ref="J396:J459" si="38">(H396-E396)/E396</f>
        <v>4.6503492028283748E-4</v>
      </c>
      <c r="K396" s="5">
        <v>44960</v>
      </c>
      <c r="L396" s="8">
        <f t="shared" si="36"/>
        <v>-8.6756238003839387E-4</v>
      </c>
      <c r="M396" s="5">
        <v>44960</v>
      </c>
      <c r="N396" s="9">
        <f t="shared" si="37"/>
        <v>-4.025274597555564E-4</v>
      </c>
      <c r="O396" s="5">
        <v>44960</v>
      </c>
      <c r="P396">
        <f t="shared" ref="P396:P459" si="39">(1/G396)*H396</f>
        <v>1.0010817659680014</v>
      </c>
      <c r="Q396" s="6">
        <f t="shared" ref="Q396:Q459" si="40">1/D396</f>
        <v>1.0001600256040968</v>
      </c>
      <c r="R396">
        <f t="shared" ref="R396:R459" si="41">LN(P396/Q396)</f>
        <v>9.2116847945600201E-4</v>
      </c>
      <c r="T396" s="5">
        <v>44960</v>
      </c>
      <c r="U396" s="1">
        <v>9.2116847945600201E-4</v>
      </c>
    </row>
    <row r="397" spans="3:21" x14ac:dyDescent="0.2">
      <c r="C397" s="5">
        <v>44961</v>
      </c>
      <c r="D397" s="6">
        <v>0.99985000000000002</v>
      </c>
      <c r="E397" s="6">
        <v>23324.95</v>
      </c>
      <c r="F397" s="6">
        <v>23324</v>
      </c>
      <c r="G397" s="6">
        <v>23315.84</v>
      </c>
      <c r="H397" s="6">
        <v>23348.5</v>
      </c>
      <c r="I397" s="5">
        <v>44961</v>
      </c>
      <c r="J397" s="7">
        <f t="shared" si="38"/>
        <v>1.0096484665561671E-3</v>
      </c>
      <c r="K397" s="5">
        <v>44961</v>
      </c>
      <c r="L397" s="8">
        <f t="shared" si="36"/>
        <v>-3.4985422740524158E-4</v>
      </c>
      <c r="M397" s="5">
        <v>44961</v>
      </c>
      <c r="N397" s="9">
        <f t="shared" si="37"/>
        <v>6.5979423915092552E-4</v>
      </c>
      <c r="O397" s="5">
        <v>44961</v>
      </c>
      <c r="P397">
        <f t="shared" si="39"/>
        <v>1.0014007644588399</v>
      </c>
      <c r="Q397" s="6">
        <f t="shared" si="40"/>
        <v>1.0001500225033755</v>
      </c>
      <c r="R397">
        <f t="shared" si="41"/>
        <v>1.2497730523845115E-3</v>
      </c>
      <c r="T397" s="5">
        <v>44961</v>
      </c>
      <c r="U397" s="1">
        <v>1.2497730523845115E-3</v>
      </c>
    </row>
    <row r="398" spans="3:21" x14ac:dyDescent="0.2">
      <c r="C398" s="5">
        <v>44962</v>
      </c>
      <c r="D398" s="6">
        <v>0.99987000000000004</v>
      </c>
      <c r="E398" s="6">
        <v>22939.39</v>
      </c>
      <c r="F398" s="6">
        <v>22945</v>
      </c>
      <c r="G398" s="6">
        <v>22955.38</v>
      </c>
      <c r="H398" s="6">
        <v>22966.5</v>
      </c>
      <c r="I398" s="5">
        <v>44962</v>
      </c>
      <c r="J398" s="7">
        <f t="shared" si="38"/>
        <v>1.1818099783821882E-3</v>
      </c>
      <c r="K398" s="5">
        <v>44962</v>
      </c>
      <c r="L398" s="8">
        <f t="shared" si="36"/>
        <v>4.5238614077145427E-4</v>
      </c>
      <c r="M398" s="5">
        <v>44962</v>
      </c>
      <c r="N398" s="9">
        <f t="shared" si="37"/>
        <v>1.6341961191536426E-3</v>
      </c>
      <c r="O398" s="5">
        <v>44962</v>
      </c>
      <c r="P398">
        <f t="shared" si="39"/>
        <v>1.0004844180318513</v>
      </c>
      <c r="Q398" s="6">
        <f t="shared" si="40"/>
        <v>1.0001300169021972</v>
      </c>
      <c r="R398">
        <f t="shared" si="41"/>
        <v>3.5429228858185647E-4</v>
      </c>
      <c r="T398" s="5">
        <v>44962</v>
      </c>
      <c r="U398" s="1">
        <v>3.5429228858185647E-4</v>
      </c>
    </row>
    <row r="399" spans="3:21" x14ac:dyDescent="0.2">
      <c r="C399" s="5">
        <v>44963</v>
      </c>
      <c r="D399" s="6">
        <v>1.00084</v>
      </c>
      <c r="E399" s="6">
        <v>22761.34</v>
      </c>
      <c r="F399" s="6">
        <v>22753.5</v>
      </c>
      <c r="G399" s="6">
        <v>22777.14</v>
      </c>
      <c r="H399" s="6">
        <v>22764.5</v>
      </c>
      <c r="I399" s="5">
        <v>44963</v>
      </c>
      <c r="J399" s="7">
        <f t="shared" si="38"/>
        <v>1.3883189654035548E-4</v>
      </c>
      <c r="K399" s="5">
        <v>44963</v>
      </c>
      <c r="L399" s="8">
        <f t="shared" si="36"/>
        <v>1.0389610389610134E-3</v>
      </c>
      <c r="M399" s="5">
        <v>44963</v>
      </c>
      <c r="N399" s="9">
        <f t="shared" si="37"/>
        <v>1.1777929355013689E-3</v>
      </c>
      <c r="O399" s="5">
        <v>44963</v>
      </c>
      <c r="P399">
        <f t="shared" si="39"/>
        <v>0.99944505763234548</v>
      </c>
      <c r="Q399" s="6">
        <f t="shared" si="40"/>
        <v>0.99916070500779353</v>
      </c>
      <c r="R399">
        <f t="shared" si="41"/>
        <v>2.8455099228268777E-4</v>
      </c>
      <c r="T399" s="5">
        <v>44963</v>
      </c>
      <c r="U399" s="1">
        <v>2.8455099228268777E-4</v>
      </c>
    </row>
    <row r="400" spans="3:21" x14ac:dyDescent="0.2">
      <c r="C400" s="5">
        <v>44964</v>
      </c>
      <c r="D400" s="6">
        <v>1.00021</v>
      </c>
      <c r="E400" s="6">
        <v>23254.23</v>
      </c>
      <c r="F400" s="6">
        <v>23245.5</v>
      </c>
      <c r="G400" s="6">
        <v>23257.33</v>
      </c>
      <c r="H400" s="6">
        <v>23248</v>
      </c>
      <c r="I400" s="5">
        <v>44964</v>
      </c>
      <c r="J400" s="7">
        <f t="shared" si="38"/>
        <v>-2.6790824723070013E-4</v>
      </c>
      <c r="K400" s="5">
        <v>44964</v>
      </c>
      <c r="L400" s="8">
        <f t="shared" si="36"/>
        <v>5.0891570411485006E-4</v>
      </c>
      <c r="M400" s="5">
        <v>44964</v>
      </c>
      <c r="N400" s="9">
        <f t="shared" si="37"/>
        <v>2.4100745688414993E-4</v>
      </c>
      <c r="O400" s="5">
        <v>44964</v>
      </c>
      <c r="P400">
        <f t="shared" si="39"/>
        <v>0.99959883615187117</v>
      </c>
      <c r="Q400" s="6">
        <f t="shared" si="40"/>
        <v>0.9997900440907409</v>
      </c>
      <c r="R400">
        <f t="shared" si="41"/>
        <v>-1.9126638278536988E-4</v>
      </c>
      <c r="T400" s="5">
        <v>44964</v>
      </c>
      <c r="U400" s="1">
        <v>-1.9126638278536988E-4</v>
      </c>
    </row>
    <row r="401" spans="3:21" x14ac:dyDescent="0.2">
      <c r="C401" s="5">
        <v>44965</v>
      </c>
      <c r="D401" s="6">
        <v>0.99995000000000001</v>
      </c>
      <c r="E401" s="6">
        <v>22964.69</v>
      </c>
      <c r="F401" s="6">
        <v>22969.5</v>
      </c>
      <c r="G401" s="6">
        <v>22965.23</v>
      </c>
      <c r="H401" s="6">
        <v>22965</v>
      </c>
      <c r="I401" s="5">
        <v>44965</v>
      </c>
      <c r="J401" s="7">
        <f t="shared" si="38"/>
        <v>1.3498984745768817E-5</v>
      </c>
      <c r="K401" s="5">
        <v>44965</v>
      </c>
      <c r="L401" s="8">
        <f t="shared" si="36"/>
        <v>-1.8589869174341785E-4</v>
      </c>
      <c r="M401" s="5">
        <v>44965</v>
      </c>
      <c r="N401" s="9">
        <f t="shared" si="37"/>
        <v>-1.7239970699764904E-4</v>
      </c>
      <c r="O401" s="5">
        <v>44965</v>
      </c>
      <c r="P401">
        <f t="shared" si="39"/>
        <v>0.99998998485972057</v>
      </c>
      <c r="Q401" s="6">
        <f t="shared" si="40"/>
        <v>1.0000500025001251</v>
      </c>
      <c r="R401">
        <f t="shared" si="41"/>
        <v>-6.0016440473077625E-5</v>
      </c>
      <c r="T401" s="5">
        <v>44965</v>
      </c>
      <c r="U401" s="1">
        <v>-6.0016440473077625E-5</v>
      </c>
    </row>
    <row r="402" spans="3:21" x14ac:dyDescent="0.2">
      <c r="C402" s="5">
        <v>44966</v>
      </c>
      <c r="D402" s="6">
        <v>1.0001599999999999</v>
      </c>
      <c r="E402" s="6">
        <v>21798.23</v>
      </c>
      <c r="F402" s="6">
        <v>21798</v>
      </c>
      <c r="G402" s="6">
        <v>21812.5</v>
      </c>
      <c r="H402" s="6">
        <v>21809</v>
      </c>
      <c r="I402" s="5">
        <v>44966</v>
      </c>
      <c r="J402" s="7">
        <f t="shared" si="38"/>
        <v>4.9407681265866245E-4</v>
      </c>
      <c r="K402" s="5">
        <v>44966</v>
      </c>
      <c r="L402" s="8">
        <f t="shared" si="36"/>
        <v>6.6519864207725485E-4</v>
      </c>
      <c r="M402" s="5">
        <v>44966</v>
      </c>
      <c r="N402" s="9">
        <f t="shared" si="37"/>
        <v>1.1592754547359173E-3</v>
      </c>
      <c r="O402" s="5">
        <v>44966</v>
      </c>
      <c r="P402">
        <f t="shared" si="39"/>
        <v>0.99983954154727794</v>
      </c>
      <c r="Q402" s="6">
        <f t="shared" si="40"/>
        <v>0.99984002559590468</v>
      </c>
      <c r="R402">
        <f t="shared" si="41"/>
        <v>-4.8412619175156236E-7</v>
      </c>
      <c r="T402" s="5">
        <v>44966</v>
      </c>
      <c r="U402" s="1">
        <v>-4.8412619175156236E-7</v>
      </c>
    </row>
    <row r="403" spans="3:21" x14ac:dyDescent="0.2">
      <c r="C403" s="5">
        <v>44967</v>
      </c>
      <c r="D403" s="6">
        <v>1.00116</v>
      </c>
      <c r="E403" s="6">
        <v>21639.01</v>
      </c>
      <c r="F403" s="6">
        <v>21633</v>
      </c>
      <c r="G403" s="6">
        <v>21639.09</v>
      </c>
      <c r="H403" s="6">
        <v>21636.2</v>
      </c>
      <c r="I403" s="5">
        <v>44967</v>
      </c>
      <c r="J403" s="7">
        <f t="shared" si="38"/>
        <v>-1.2985806651957146E-4</v>
      </c>
      <c r="K403" s="5">
        <v>44967</v>
      </c>
      <c r="L403" s="8">
        <f t="shared" si="36"/>
        <v>2.8151435307170275E-4</v>
      </c>
      <c r="M403" s="5">
        <v>44967</v>
      </c>
      <c r="N403" s="9">
        <f t="shared" si="37"/>
        <v>1.5165628655213129E-4</v>
      </c>
      <c r="O403" s="5">
        <v>44967</v>
      </c>
      <c r="P403">
        <f t="shared" si="39"/>
        <v>0.99986644540043046</v>
      </c>
      <c r="Q403" s="6">
        <f t="shared" si="40"/>
        <v>0.99884134404091252</v>
      </c>
      <c r="R403">
        <f t="shared" si="41"/>
        <v>1.0257642010672663E-3</v>
      </c>
      <c r="T403" s="5">
        <v>44967</v>
      </c>
      <c r="U403" s="1">
        <v>1.0257642010672663E-3</v>
      </c>
    </row>
    <row r="404" spans="3:21" x14ac:dyDescent="0.2">
      <c r="C404" s="5">
        <v>44968</v>
      </c>
      <c r="D404" s="6">
        <v>1.0004900000000001</v>
      </c>
      <c r="E404" s="6">
        <v>21867.599999999999</v>
      </c>
      <c r="F404" s="6">
        <v>21843.5</v>
      </c>
      <c r="G404" s="6">
        <v>21847.41</v>
      </c>
      <c r="H404" s="6">
        <v>21853.9</v>
      </c>
      <c r="I404" s="5">
        <v>44968</v>
      </c>
      <c r="J404" s="7">
        <f t="shared" si="38"/>
        <v>-6.2649764949043751E-4</v>
      </c>
      <c r="K404" s="5">
        <v>44968</v>
      </c>
      <c r="L404" s="8">
        <f t="shared" si="36"/>
        <v>1.7900061803281775E-4</v>
      </c>
      <c r="M404" s="5">
        <v>44968</v>
      </c>
      <c r="N404" s="9">
        <f t="shared" si="37"/>
        <v>-4.4749703145761975E-4</v>
      </c>
      <c r="O404" s="5">
        <v>44968</v>
      </c>
      <c r="P404">
        <f t="shared" si="39"/>
        <v>1.0002970603838168</v>
      </c>
      <c r="Q404" s="6">
        <f t="shared" si="40"/>
        <v>0.99951023998240851</v>
      </c>
      <c r="R404">
        <f t="shared" si="41"/>
        <v>7.8689625931920135E-4</v>
      </c>
      <c r="T404" s="5">
        <v>44968</v>
      </c>
      <c r="U404" s="1">
        <v>7.8689625931920135E-4</v>
      </c>
    </row>
    <row r="405" spans="3:21" x14ac:dyDescent="0.2">
      <c r="C405" s="5">
        <v>44969</v>
      </c>
      <c r="D405" s="6">
        <v>1.0004500000000001</v>
      </c>
      <c r="E405" s="6">
        <v>21784.94</v>
      </c>
      <c r="F405" s="6">
        <v>21779</v>
      </c>
      <c r="G405" s="6">
        <v>21792.89</v>
      </c>
      <c r="H405" s="6">
        <v>21778.400000000001</v>
      </c>
      <c r="I405" s="5">
        <v>44969</v>
      </c>
      <c r="J405" s="7">
        <f t="shared" si="38"/>
        <v>-3.0020739097730981E-4</v>
      </c>
      <c r="K405" s="5">
        <v>44969</v>
      </c>
      <c r="L405" s="8">
        <f t="shared" si="36"/>
        <v>6.3777032921619073E-4</v>
      </c>
      <c r="M405" s="5">
        <v>44969</v>
      </c>
      <c r="N405" s="9">
        <f t="shared" si="37"/>
        <v>3.3756293823888092E-4</v>
      </c>
      <c r="O405" s="5">
        <v>44969</v>
      </c>
      <c r="P405">
        <f t="shared" si="39"/>
        <v>0.99933510424730276</v>
      </c>
      <c r="Q405" s="6">
        <f t="shared" si="40"/>
        <v>0.9995502024089159</v>
      </c>
      <c r="R405">
        <f t="shared" si="41"/>
        <v>-2.152181135426592E-4</v>
      </c>
      <c r="T405" s="5">
        <v>44969</v>
      </c>
      <c r="U405" s="1">
        <v>-2.152181135426592E-4</v>
      </c>
    </row>
    <row r="406" spans="3:21" x14ac:dyDescent="0.2">
      <c r="C406" s="5">
        <v>44970</v>
      </c>
      <c r="D406" s="6">
        <v>0.99961999999999995</v>
      </c>
      <c r="E406" s="6">
        <v>21787.18</v>
      </c>
      <c r="F406" s="6">
        <v>21774.5</v>
      </c>
      <c r="G406" s="6">
        <v>21793.61</v>
      </c>
      <c r="H406" s="6">
        <v>21780.2</v>
      </c>
      <c r="I406" s="5">
        <v>44970</v>
      </c>
      <c r="J406" s="7">
        <f t="shared" si="38"/>
        <v>-3.2037188842243757E-4</v>
      </c>
      <c r="K406" s="5">
        <v>44970</v>
      </c>
      <c r="L406" s="8">
        <f t="shared" si="36"/>
        <v>8.7763209258539035E-4</v>
      </c>
      <c r="M406" s="5">
        <v>44970</v>
      </c>
      <c r="N406" s="9">
        <f t="shared" si="37"/>
        <v>5.5726020416295278E-4</v>
      </c>
      <c r="O406" s="5">
        <v>44970</v>
      </c>
      <c r="P406">
        <f t="shared" si="39"/>
        <v>0.99938468202376762</v>
      </c>
      <c r="Q406" s="6">
        <f t="shared" si="40"/>
        <v>1.000380144454893</v>
      </c>
      <c r="R406">
        <f t="shared" si="41"/>
        <v>-9.9557958032660027E-4</v>
      </c>
      <c r="T406" s="5">
        <v>44970</v>
      </c>
      <c r="U406" s="1">
        <v>-9.9557958032660027E-4</v>
      </c>
    </row>
    <row r="407" spans="3:21" x14ac:dyDescent="0.2">
      <c r="C407" s="5">
        <v>44971</v>
      </c>
      <c r="D407" s="6">
        <v>0.99995000000000001</v>
      </c>
      <c r="E407" s="6">
        <v>22207.279999999999</v>
      </c>
      <c r="F407" s="6">
        <v>22200.5</v>
      </c>
      <c r="G407" s="6">
        <v>22204.400000000001</v>
      </c>
      <c r="H407" s="6">
        <v>22192.400000000001</v>
      </c>
      <c r="I407" s="5">
        <v>44971</v>
      </c>
      <c r="J407" s="7">
        <f t="shared" si="38"/>
        <v>-6.7005054198431241E-4</v>
      </c>
      <c r="K407" s="5">
        <v>44971</v>
      </c>
      <c r="L407" s="8">
        <f t="shared" si="36"/>
        <v>1.756717191054911E-4</v>
      </c>
      <c r="M407" s="5">
        <v>44971</v>
      </c>
      <c r="N407" s="9">
        <f t="shared" si="37"/>
        <v>-4.9437882287882125E-4</v>
      </c>
      <c r="O407" s="5">
        <v>44971</v>
      </c>
      <c r="P407">
        <f t="shared" si="39"/>
        <v>0.9994595665723911</v>
      </c>
      <c r="Q407" s="6">
        <f t="shared" si="40"/>
        <v>1.0000500025001251</v>
      </c>
      <c r="R407">
        <f t="shared" si="41"/>
        <v>-5.9058076443137156E-4</v>
      </c>
      <c r="T407" s="5">
        <v>44971</v>
      </c>
      <c r="U407" s="1">
        <v>-5.9058076443137156E-4</v>
      </c>
    </row>
    <row r="408" spans="3:21" x14ac:dyDescent="0.2">
      <c r="C408" s="5">
        <v>44972</v>
      </c>
      <c r="D408" s="6">
        <v>0.99931999999999999</v>
      </c>
      <c r="E408" s="6">
        <v>24332.7</v>
      </c>
      <c r="F408" s="6">
        <v>24347</v>
      </c>
      <c r="G408" s="6">
        <v>24305.55</v>
      </c>
      <c r="H408" s="6">
        <v>24331.4</v>
      </c>
      <c r="I408" s="5">
        <v>44972</v>
      </c>
      <c r="J408" s="7">
        <f t="shared" si="38"/>
        <v>-5.3426048075193972E-5</v>
      </c>
      <c r="K408" s="5">
        <v>44972</v>
      </c>
      <c r="L408" s="8">
        <f t="shared" si="36"/>
        <v>-1.7024684766090577E-3</v>
      </c>
      <c r="M408" s="5">
        <v>44972</v>
      </c>
      <c r="N408" s="9">
        <f t="shared" si="37"/>
        <v>-1.7558945246842518E-3</v>
      </c>
      <c r="O408" s="5">
        <v>44972</v>
      </c>
      <c r="P408">
        <f t="shared" si="39"/>
        <v>1.0010635431002386</v>
      </c>
      <c r="Q408" s="6">
        <f t="shared" si="40"/>
        <v>1.0006804627146459</v>
      </c>
      <c r="R408">
        <f t="shared" si="41"/>
        <v>3.8274663409143815E-4</v>
      </c>
      <c r="T408" s="5">
        <v>44972</v>
      </c>
      <c r="U408" s="1">
        <v>3.8274663409143815E-4</v>
      </c>
    </row>
    <row r="409" spans="3:21" x14ac:dyDescent="0.2">
      <c r="C409" s="5">
        <v>44973</v>
      </c>
      <c r="D409" s="6">
        <v>1.0000100000000001</v>
      </c>
      <c r="E409" s="6">
        <v>23517.49</v>
      </c>
      <c r="F409" s="6">
        <v>23527</v>
      </c>
      <c r="G409" s="6">
        <v>23519.119999999999</v>
      </c>
      <c r="H409" s="6">
        <v>23536.2</v>
      </c>
      <c r="I409" s="5">
        <v>44973</v>
      </c>
      <c r="J409" s="7">
        <f t="shared" si="38"/>
        <v>7.9557809953354397E-4</v>
      </c>
      <c r="K409" s="5">
        <v>44973</v>
      </c>
      <c r="L409" s="8">
        <f t="shared" si="36"/>
        <v>-3.3493433076894712E-4</v>
      </c>
      <c r="M409" s="5">
        <v>44973</v>
      </c>
      <c r="N409" s="9">
        <f t="shared" si="37"/>
        <v>4.6064376876459685E-4</v>
      </c>
      <c r="O409" s="5">
        <v>44973</v>
      </c>
      <c r="P409">
        <f t="shared" si="39"/>
        <v>1.0007262176475993</v>
      </c>
      <c r="Q409" s="6">
        <f t="shared" si="40"/>
        <v>0.99999000009999894</v>
      </c>
      <c r="R409">
        <f t="shared" si="41"/>
        <v>7.3595402916142526E-4</v>
      </c>
      <c r="T409" s="5">
        <v>44973</v>
      </c>
      <c r="U409" s="1">
        <v>7.3595402916142526E-4</v>
      </c>
    </row>
    <row r="410" spans="3:21" x14ac:dyDescent="0.2">
      <c r="C410" s="5">
        <v>44974</v>
      </c>
      <c r="D410" s="6">
        <v>1.0003</v>
      </c>
      <c r="E410" s="6">
        <v>24578.080000000002</v>
      </c>
      <c r="F410" s="6">
        <v>24589</v>
      </c>
      <c r="G410" s="6">
        <v>24608.22</v>
      </c>
      <c r="H410" s="6">
        <v>24597.8</v>
      </c>
      <c r="I410" s="5">
        <v>44974</v>
      </c>
      <c r="J410" s="7">
        <f t="shared" si="38"/>
        <v>8.0234094770614806E-4</v>
      </c>
      <c r="K410" s="5">
        <v>44974</v>
      </c>
      <c r="L410" s="8">
        <f t="shared" si="36"/>
        <v>7.8165033144906931E-4</v>
      </c>
      <c r="M410" s="5">
        <v>44974</v>
      </c>
      <c r="N410" s="9">
        <f t="shared" si="37"/>
        <v>1.5839912791552175E-3</v>
      </c>
      <c r="O410" s="5">
        <v>44974</v>
      </c>
      <c r="P410">
        <f t="shared" si="39"/>
        <v>0.99957656425373298</v>
      </c>
      <c r="Q410" s="6">
        <f t="shared" si="40"/>
        <v>0.99970008997300808</v>
      </c>
      <c r="R410">
        <f t="shared" si="41"/>
        <v>-1.2357041149971143E-4</v>
      </c>
      <c r="T410" s="5">
        <v>44974</v>
      </c>
      <c r="U410" s="1">
        <v>-1.2357041149971143E-4</v>
      </c>
    </row>
    <row r="411" spans="3:21" x14ac:dyDescent="0.2">
      <c r="C411" s="5">
        <v>44975</v>
      </c>
      <c r="D411" s="6">
        <v>1.00115</v>
      </c>
      <c r="E411" s="6">
        <v>24634.16</v>
      </c>
      <c r="F411" s="6">
        <v>24647.5</v>
      </c>
      <c r="G411" s="6">
        <v>24643.42</v>
      </c>
      <c r="H411" s="6">
        <v>24658.1</v>
      </c>
      <c r="I411" s="5">
        <v>44975</v>
      </c>
      <c r="J411" s="7">
        <f t="shared" si="38"/>
        <v>9.7182124334658419E-4</v>
      </c>
      <c r="K411" s="5">
        <v>44975</v>
      </c>
      <c r="L411" s="8">
        <f t="shared" si="36"/>
        <v>-1.6553402982053946E-4</v>
      </c>
      <c r="M411" s="5">
        <v>44975</v>
      </c>
      <c r="N411" s="9">
        <f t="shared" si="37"/>
        <v>8.0628721352604476E-4</v>
      </c>
      <c r="O411" s="5">
        <v>44975</v>
      </c>
      <c r="P411">
        <f t="shared" si="39"/>
        <v>1.0005956965388731</v>
      </c>
      <c r="Q411" s="6">
        <f t="shared" si="40"/>
        <v>0.99885132098087204</v>
      </c>
      <c r="R411">
        <f t="shared" si="41"/>
        <v>1.7448584386417611E-3</v>
      </c>
      <c r="T411" s="5">
        <v>44975</v>
      </c>
      <c r="U411" s="1">
        <v>1.7448584386417611E-3</v>
      </c>
    </row>
    <row r="412" spans="3:21" x14ac:dyDescent="0.2">
      <c r="C412" s="5">
        <v>44976</v>
      </c>
      <c r="D412" s="6">
        <v>1.0000100000000001</v>
      </c>
      <c r="E412" s="6">
        <v>24277.83</v>
      </c>
      <c r="F412" s="6">
        <v>24283</v>
      </c>
      <c r="G412" s="6">
        <v>24292.26</v>
      </c>
      <c r="H412" s="6">
        <v>24302</v>
      </c>
      <c r="I412" s="5">
        <v>44976</v>
      </c>
      <c r="J412" s="7">
        <f t="shared" si="38"/>
        <v>9.9555849925624541E-4</v>
      </c>
      <c r="K412" s="5">
        <v>44976</v>
      </c>
      <c r="L412" s="8">
        <f t="shared" si="36"/>
        <v>3.8133673763531684E-4</v>
      </c>
      <c r="M412" s="5">
        <v>44976</v>
      </c>
      <c r="N412" s="9">
        <f t="shared" si="37"/>
        <v>1.3768952368915623E-3</v>
      </c>
      <c r="O412" s="5">
        <v>44976</v>
      </c>
      <c r="P412">
        <f t="shared" si="39"/>
        <v>1.0004009507555083</v>
      </c>
      <c r="Q412" s="6">
        <f t="shared" si="40"/>
        <v>0.99999000009999894</v>
      </c>
      <c r="R412">
        <f t="shared" si="41"/>
        <v>4.1087034623392237E-4</v>
      </c>
      <c r="T412" s="5">
        <v>44976</v>
      </c>
      <c r="U412" s="1">
        <v>4.1087034623392237E-4</v>
      </c>
    </row>
    <row r="413" spans="3:21" x14ac:dyDescent="0.2">
      <c r="C413" s="5">
        <v>44977</v>
      </c>
      <c r="D413" s="6">
        <v>1.0000500000000001</v>
      </c>
      <c r="E413" s="6">
        <v>24839.8</v>
      </c>
      <c r="F413" s="6">
        <v>24868.5</v>
      </c>
      <c r="G413" s="6">
        <v>24847.39</v>
      </c>
      <c r="H413" s="6">
        <v>24868.400000000001</v>
      </c>
      <c r="I413" s="5">
        <v>44977</v>
      </c>
      <c r="J413" s="7">
        <f t="shared" si="38"/>
        <v>1.1513780304190124E-3</v>
      </c>
      <c r="K413" s="5">
        <v>44977</v>
      </c>
      <c r="L413" s="8">
        <f t="shared" si="36"/>
        <v>-8.4886503005812903E-4</v>
      </c>
      <c r="M413" s="5">
        <v>44977</v>
      </c>
      <c r="N413" s="9">
        <f t="shared" si="37"/>
        <v>3.0251300036088333E-4</v>
      </c>
      <c r="O413" s="5">
        <v>44977</v>
      </c>
      <c r="P413">
        <f t="shared" si="39"/>
        <v>1.0008455616465151</v>
      </c>
      <c r="Q413" s="6">
        <f t="shared" si="40"/>
        <v>0.99995000249987487</v>
      </c>
      <c r="R413">
        <f t="shared" si="41"/>
        <v>8.9520311069847004E-4</v>
      </c>
      <c r="T413" s="5">
        <v>44977</v>
      </c>
      <c r="U413" s="1">
        <v>8.9520311069847004E-4</v>
      </c>
    </row>
    <row r="414" spans="3:21" x14ac:dyDescent="0.2">
      <c r="C414" s="5">
        <v>44978</v>
      </c>
      <c r="D414" s="6">
        <v>0.99953999999999998</v>
      </c>
      <c r="E414" s="6">
        <v>24454.7</v>
      </c>
      <c r="F414" s="6">
        <v>24469.5</v>
      </c>
      <c r="G414" s="6">
        <v>24470.6</v>
      </c>
      <c r="H414" s="6">
        <v>24478.3</v>
      </c>
      <c r="I414" s="5">
        <v>44978</v>
      </c>
      <c r="J414" s="7">
        <f t="shared" si="38"/>
        <v>9.6504966325485669E-4</v>
      </c>
      <c r="K414" s="5">
        <v>44978</v>
      </c>
      <c r="L414" s="8">
        <f t="shared" si="36"/>
        <v>4.4953922229655071E-5</v>
      </c>
      <c r="M414" s="5">
        <v>44978</v>
      </c>
      <c r="N414" s="9">
        <f t="shared" si="37"/>
        <v>1.0100035854845118E-3</v>
      </c>
      <c r="O414" s="5">
        <v>44978</v>
      </c>
      <c r="P414">
        <f t="shared" si="39"/>
        <v>1.000314663310258</v>
      </c>
      <c r="Q414" s="6">
        <f t="shared" si="40"/>
        <v>1.0004602116973809</v>
      </c>
      <c r="R414">
        <f t="shared" si="41"/>
        <v>-1.4549201831523498E-4</v>
      </c>
      <c r="T414" s="5">
        <v>44978</v>
      </c>
      <c r="U414" s="1">
        <v>-1.4549201831523498E-4</v>
      </c>
    </row>
    <row r="415" spans="3:21" x14ac:dyDescent="0.2">
      <c r="C415" s="5">
        <v>44979</v>
      </c>
      <c r="D415" s="6">
        <v>1.0000899999999999</v>
      </c>
      <c r="E415" s="6">
        <v>24184.42</v>
      </c>
      <c r="F415" s="6">
        <v>24196</v>
      </c>
      <c r="G415" s="6">
        <v>24198.7</v>
      </c>
      <c r="H415" s="6">
        <v>24195.4</v>
      </c>
      <c r="I415" s="5">
        <v>44979</v>
      </c>
      <c r="J415" s="7">
        <f t="shared" si="38"/>
        <v>4.5401130149092688E-4</v>
      </c>
      <c r="K415" s="5">
        <v>44979</v>
      </c>
      <c r="L415" s="8">
        <f t="shared" si="36"/>
        <v>1.1158869234587235E-4</v>
      </c>
      <c r="M415" s="5">
        <v>44979</v>
      </c>
      <c r="N415" s="9">
        <f t="shared" si="37"/>
        <v>5.6559999383679928E-4</v>
      </c>
      <c r="O415" s="5">
        <v>44979</v>
      </c>
      <c r="P415">
        <f t="shared" si="39"/>
        <v>0.99986362903792358</v>
      </c>
      <c r="Q415" s="6">
        <f t="shared" si="40"/>
        <v>0.99991000809927111</v>
      </c>
      <c r="R415">
        <f t="shared" si="41"/>
        <v>-4.6384311198551346E-5</v>
      </c>
      <c r="T415" s="5">
        <v>44979</v>
      </c>
      <c r="U415" s="1">
        <v>-4.6384311198551346E-5</v>
      </c>
    </row>
    <row r="416" spans="3:21" x14ac:dyDescent="0.2">
      <c r="C416" s="5">
        <v>44980</v>
      </c>
      <c r="D416" s="6">
        <v>0.99911000000000005</v>
      </c>
      <c r="E416" s="6">
        <v>23944.46</v>
      </c>
      <c r="F416" s="6">
        <v>23953.5</v>
      </c>
      <c r="G416" s="6">
        <v>23946.97</v>
      </c>
      <c r="H416" s="6">
        <v>23952.6</v>
      </c>
      <c r="I416" s="5">
        <v>44980</v>
      </c>
      <c r="J416" s="7">
        <f t="shared" si="38"/>
        <v>3.3995337543629792E-4</v>
      </c>
      <c r="K416" s="5">
        <v>44980</v>
      </c>
      <c r="L416" s="8">
        <f t="shared" si="36"/>
        <v>-2.7261151814969987E-4</v>
      </c>
      <c r="M416" s="5">
        <v>44980</v>
      </c>
      <c r="N416" s="9">
        <f t="shared" si="37"/>
        <v>6.7341857286598052E-5</v>
      </c>
      <c r="O416" s="5">
        <v>44980</v>
      </c>
      <c r="P416">
        <f t="shared" si="39"/>
        <v>1.0002351028125895</v>
      </c>
      <c r="Q416" s="6">
        <f t="shared" si="40"/>
        <v>1.000890792805597</v>
      </c>
      <c r="R416">
        <f t="shared" si="41"/>
        <v>-6.5532110489244135E-4</v>
      </c>
      <c r="T416" s="5">
        <v>44980</v>
      </c>
      <c r="U416" s="1">
        <v>-6.5532110489244135E-4</v>
      </c>
    </row>
    <row r="417" spans="3:21" x14ac:dyDescent="0.2">
      <c r="C417" s="5">
        <v>44981</v>
      </c>
      <c r="D417" s="6">
        <v>0.99936999999999998</v>
      </c>
      <c r="E417" s="6">
        <v>23186.13</v>
      </c>
      <c r="F417" s="6">
        <v>23192.5</v>
      </c>
      <c r="G417" s="6">
        <v>23215.119999999999</v>
      </c>
      <c r="H417" s="6">
        <v>23187.1</v>
      </c>
      <c r="I417" s="5">
        <v>44981</v>
      </c>
      <c r="J417" s="7">
        <f t="shared" si="38"/>
        <v>4.1835355878601824E-5</v>
      </c>
      <c r="K417" s="5">
        <v>44981</v>
      </c>
      <c r="L417" s="8">
        <f t="shared" si="36"/>
        <v>9.7531529589302496E-4</v>
      </c>
      <c r="M417" s="5">
        <v>44981</v>
      </c>
      <c r="N417" s="9">
        <f t="shared" si="37"/>
        <v>1.0171506517716268E-3</v>
      </c>
      <c r="O417" s="5">
        <v>44981</v>
      </c>
      <c r="P417">
        <f t="shared" si="39"/>
        <v>0.99879302799210168</v>
      </c>
      <c r="Q417" s="6">
        <f t="shared" si="40"/>
        <v>1.0006303971502046</v>
      </c>
      <c r="R417">
        <f t="shared" si="41"/>
        <v>-1.8378995186298828E-3</v>
      </c>
      <c r="T417" s="5">
        <v>44981</v>
      </c>
      <c r="U417" s="1">
        <v>-1.8378995186298828E-3</v>
      </c>
    </row>
    <row r="418" spans="3:21" x14ac:dyDescent="0.2">
      <c r="C418" s="5">
        <v>44982</v>
      </c>
      <c r="D418" s="6">
        <v>0.99863000000000002</v>
      </c>
      <c r="E418" s="6">
        <v>23156.46</v>
      </c>
      <c r="F418" s="6">
        <v>23159</v>
      </c>
      <c r="G418" s="6">
        <v>23191.82</v>
      </c>
      <c r="H418" s="6">
        <v>23154.9</v>
      </c>
      <c r="I418" s="5">
        <v>44982</v>
      </c>
      <c r="J418" s="7">
        <f t="shared" si="38"/>
        <v>-6.7367810105589185E-5</v>
      </c>
      <c r="K418" s="5">
        <v>44982</v>
      </c>
      <c r="L418" s="8">
        <f t="shared" si="36"/>
        <v>1.4171596355628355E-3</v>
      </c>
      <c r="M418" s="5">
        <v>44982</v>
      </c>
      <c r="N418" s="9">
        <f t="shared" si="37"/>
        <v>1.3497918254572463E-3</v>
      </c>
      <c r="O418" s="5">
        <v>44982</v>
      </c>
      <c r="P418">
        <f t="shared" si="39"/>
        <v>0.9984080593933552</v>
      </c>
      <c r="Q418" s="6">
        <f t="shared" si="40"/>
        <v>1.0013718794748805</v>
      </c>
      <c r="R418">
        <f t="shared" si="41"/>
        <v>-2.9641483985043387E-3</v>
      </c>
      <c r="T418" s="5">
        <v>44982</v>
      </c>
      <c r="U418" s="1">
        <v>-2.9641483985043387E-3</v>
      </c>
    </row>
    <row r="419" spans="3:21" x14ac:dyDescent="0.2">
      <c r="C419" s="5">
        <v>44983</v>
      </c>
      <c r="D419" s="6">
        <v>1</v>
      </c>
      <c r="E419" s="6">
        <v>23555.27</v>
      </c>
      <c r="F419" s="6">
        <v>23553.5</v>
      </c>
      <c r="G419" s="6">
        <v>23584.45</v>
      </c>
      <c r="H419" s="6">
        <v>23555.9</v>
      </c>
      <c r="I419" s="5">
        <v>44983</v>
      </c>
      <c r="J419" s="7">
        <f t="shared" si="38"/>
        <v>2.6745607246319766E-5</v>
      </c>
      <c r="K419" s="5">
        <v>44983</v>
      </c>
      <c r="L419" s="8">
        <f t="shared" si="36"/>
        <v>1.3140297620311515E-3</v>
      </c>
      <c r="M419" s="5">
        <v>44983</v>
      </c>
      <c r="N419" s="9">
        <f t="shared" si="37"/>
        <v>1.3407753692774712E-3</v>
      </c>
      <c r="O419" s="5">
        <v>44983</v>
      </c>
      <c r="P419">
        <f t="shared" si="39"/>
        <v>0.99878945661230178</v>
      </c>
      <c r="Q419" s="6">
        <f t="shared" si="40"/>
        <v>1</v>
      </c>
      <c r="R419">
        <f t="shared" si="41"/>
        <v>-1.2112766871986108E-3</v>
      </c>
      <c r="T419" s="5">
        <v>44983</v>
      </c>
      <c r="U419" s="1">
        <v>-1.2112766871986108E-3</v>
      </c>
    </row>
    <row r="420" spans="3:21" x14ac:dyDescent="0.2">
      <c r="C420" s="5">
        <v>44984</v>
      </c>
      <c r="D420" s="6">
        <v>0.99887000000000004</v>
      </c>
      <c r="E420" s="6">
        <v>23490.32</v>
      </c>
      <c r="F420" s="6">
        <v>23486</v>
      </c>
      <c r="G420" s="6">
        <v>23629.19</v>
      </c>
      <c r="H420" s="6">
        <v>23483.5</v>
      </c>
      <c r="I420" s="5">
        <v>44984</v>
      </c>
      <c r="J420" s="7">
        <f t="shared" si="38"/>
        <v>-2.9033235817986768E-4</v>
      </c>
      <c r="K420" s="5">
        <v>44984</v>
      </c>
      <c r="L420" s="8">
        <f t="shared" si="36"/>
        <v>6.096823639615034E-3</v>
      </c>
      <c r="M420" s="5">
        <v>44984</v>
      </c>
      <c r="N420" s="9">
        <f t="shared" si="37"/>
        <v>5.8064912814351664E-3</v>
      </c>
      <c r="O420" s="5">
        <v>44984</v>
      </c>
      <c r="P420">
        <f t="shared" si="39"/>
        <v>0.99383432102412328</v>
      </c>
      <c r="Q420" s="6">
        <f t="shared" si="40"/>
        <v>1.0011312783445292</v>
      </c>
      <c r="R420">
        <f t="shared" si="41"/>
        <v>-7.3154041996109894E-3</v>
      </c>
      <c r="T420" s="5">
        <v>44984</v>
      </c>
      <c r="U420" s="1">
        <v>-7.3154041996109894E-3</v>
      </c>
    </row>
    <row r="421" spans="3:21" x14ac:dyDescent="0.2">
      <c r="C421" s="5">
        <v>44985</v>
      </c>
      <c r="D421" s="6">
        <v>1</v>
      </c>
      <c r="E421" s="6">
        <v>23142.85</v>
      </c>
      <c r="F421" s="6">
        <v>23134</v>
      </c>
      <c r="G421" s="6">
        <v>23397.14</v>
      </c>
      <c r="H421" s="6">
        <v>23122.5</v>
      </c>
      <c r="I421" s="5">
        <v>44985</v>
      </c>
      <c r="J421" s="7">
        <f t="shared" si="38"/>
        <v>-8.7932125904970852E-4</v>
      </c>
      <c r="K421" s="5">
        <v>44985</v>
      </c>
      <c r="L421" s="8">
        <f t="shared" si="36"/>
        <v>1.1374600155615087E-2</v>
      </c>
      <c r="M421" s="5">
        <v>44985</v>
      </c>
      <c r="N421" s="9">
        <f t="shared" si="37"/>
        <v>1.0495278896565378E-2</v>
      </c>
      <c r="O421" s="5">
        <v>44985</v>
      </c>
      <c r="P421">
        <f t="shared" si="39"/>
        <v>0.98826181319597173</v>
      </c>
      <c r="Q421" s="6">
        <f t="shared" si="40"/>
        <v>1</v>
      </c>
      <c r="R421">
        <f t="shared" si="41"/>
        <v>-1.1807623225411094E-2</v>
      </c>
      <c r="T421" s="5">
        <v>44985</v>
      </c>
      <c r="U421" s="1">
        <v>-1.1807623225411094E-2</v>
      </c>
    </row>
    <row r="422" spans="3:21" x14ac:dyDescent="0.2">
      <c r="C422" s="5">
        <v>44986</v>
      </c>
      <c r="D422" s="6">
        <v>1.00007</v>
      </c>
      <c r="E422" s="6">
        <v>23634.240000000002</v>
      </c>
      <c r="F422" s="6">
        <v>23640</v>
      </c>
      <c r="G422" s="6">
        <v>23784.01</v>
      </c>
      <c r="H422" s="6">
        <v>23634.1</v>
      </c>
      <c r="I422" s="5">
        <v>44986</v>
      </c>
      <c r="J422" s="7">
        <f t="shared" si="38"/>
        <v>-5.9236091367040314E-6</v>
      </c>
      <c r="K422" s="5">
        <v>44986</v>
      </c>
      <c r="L422" s="8">
        <f t="shared" si="36"/>
        <v>6.0917935702198981E-3</v>
      </c>
      <c r="M422" s="5">
        <v>44986</v>
      </c>
      <c r="N422" s="9">
        <f t="shared" si="37"/>
        <v>6.0858699610831938E-3</v>
      </c>
      <c r="O422" s="5">
        <v>44986</v>
      </c>
      <c r="P422">
        <f t="shared" si="39"/>
        <v>0.99369702585897002</v>
      </c>
      <c r="Q422" s="6">
        <f t="shared" si="40"/>
        <v>0.999930004899657</v>
      </c>
      <c r="R422">
        <f t="shared" si="41"/>
        <v>-6.2529241960945755E-3</v>
      </c>
      <c r="T422" s="5">
        <v>44986</v>
      </c>
      <c r="U422" s="1">
        <v>-6.2529241960945755E-3</v>
      </c>
    </row>
    <row r="423" spans="3:21" x14ac:dyDescent="0.2">
      <c r="C423" s="5">
        <v>44987</v>
      </c>
      <c r="D423" s="6">
        <v>1.00038</v>
      </c>
      <c r="E423" s="6">
        <v>23466.47</v>
      </c>
      <c r="F423" s="6">
        <v>23462</v>
      </c>
      <c r="G423" s="6">
        <v>23569.5</v>
      </c>
      <c r="H423" s="6">
        <v>23461.200000000001</v>
      </c>
      <c r="I423" s="5">
        <v>44987</v>
      </c>
      <c r="J423" s="7">
        <f t="shared" si="38"/>
        <v>-2.2457574573425131E-4</v>
      </c>
      <c r="K423" s="5">
        <v>44987</v>
      </c>
      <c r="L423" s="8">
        <f t="shared" si="36"/>
        <v>4.5818770778279774E-3</v>
      </c>
      <c r="M423" s="5">
        <v>44987</v>
      </c>
      <c r="N423" s="9">
        <f t="shared" si="37"/>
        <v>4.3573013320937258E-3</v>
      </c>
      <c r="O423" s="5">
        <v>44987</v>
      </c>
      <c r="P423">
        <f t="shared" si="39"/>
        <v>0.99540507859733973</v>
      </c>
      <c r="Q423" s="6">
        <f t="shared" si="40"/>
        <v>0.99962014434514879</v>
      </c>
      <c r="R423">
        <f t="shared" si="41"/>
        <v>-4.2255826855660357E-3</v>
      </c>
      <c r="T423" s="5">
        <v>44987</v>
      </c>
      <c r="U423" s="1">
        <v>-4.2255826855660357E-3</v>
      </c>
    </row>
    <row r="424" spans="3:21" x14ac:dyDescent="0.2">
      <c r="C424" s="5">
        <v>44988</v>
      </c>
      <c r="D424" s="6">
        <v>0.99999000000000005</v>
      </c>
      <c r="E424" s="6">
        <v>22357.95</v>
      </c>
      <c r="F424" s="6">
        <v>22349.5</v>
      </c>
      <c r="G424" s="6">
        <v>22569.65</v>
      </c>
      <c r="H424" s="6">
        <v>22351.1</v>
      </c>
      <c r="I424" s="5">
        <v>44988</v>
      </c>
      <c r="J424" s="7">
        <f t="shared" si="38"/>
        <v>-3.0637871540110711E-4</v>
      </c>
      <c r="K424" s="5">
        <v>44988</v>
      </c>
      <c r="L424" s="8">
        <f t="shared" si="36"/>
        <v>9.8503322221974304E-3</v>
      </c>
      <c r="M424" s="5">
        <v>44988</v>
      </c>
      <c r="N424" s="9">
        <f t="shared" si="37"/>
        <v>9.5439535067963228E-3</v>
      </c>
      <c r="O424" s="5">
        <v>44988</v>
      </c>
      <c r="P424">
        <f t="shared" si="39"/>
        <v>0.99031664203919845</v>
      </c>
      <c r="Q424" s="6">
        <f t="shared" si="40"/>
        <v>1.000010000100001</v>
      </c>
      <c r="R424">
        <f t="shared" si="41"/>
        <v>-9.7405465979179141E-3</v>
      </c>
      <c r="T424" s="5">
        <v>44988</v>
      </c>
      <c r="U424" s="1">
        <v>-9.7405465979179141E-3</v>
      </c>
    </row>
    <row r="425" spans="3:21" x14ac:dyDescent="0.2">
      <c r="C425" s="5">
        <v>44989</v>
      </c>
      <c r="D425" s="6">
        <v>1</v>
      </c>
      <c r="E425" s="6">
        <v>22348.41</v>
      </c>
      <c r="F425" s="6">
        <v>22346</v>
      </c>
      <c r="G425" s="6">
        <v>22559.38</v>
      </c>
      <c r="H425" s="6">
        <v>22336</v>
      </c>
      <c r="I425" s="5">
        <v>44989</v>
      </c>
      <c r="J425" s="7">
        <f t="shared" si="38"/>
        <v>-5.5529677502783666E-4</v>
      </c>
      <c r="K425" s="5">
        <v>44989</v>
      </c>
      <c r="L425" s="8">
        <f t="shared" si="36"/>
        <v>9.5489125570572368E-3</v>
      </c>
      <c r="M425" s="5">
        <v>44989</v>
      </c>
      <c r="N425" s="9">
        <f t="shared" si="37"/>
        <v>8.9936157820293995E-3</v>
      </c>
      <c r="O425" s="5">
        <v>44989</v>
      </c>
      <c r="P425">
        <f t="shared" si="39"/>
        <v>0.99009813212951781</v>
      </c>
      <c r="Q425" s="6">
        <f t="shared" si="40"/>
        <v>1</v>
      </c>
      <c r="R425">
        <f t="shared" si="41"/>
        <v>-9.9512174027480849E-3</v>
      </c>
      <c r="T425" s="5">
        <v>44989</v>
      </c>
      <c r="U425" s="1">
        <v>-9.9512174027480849E-3</v>
      </c>
    </row>
    <row r="426" spans="3:21" x14ac:dyDescent="0.2">
      <c r="C426" s="5">
        <v>44990</v>
      </c>
      <c r="D426" s="6">
        <v>1.00081</v>
      </c>
      <c r="E426" s="6">
        <v>22432.720000000001</v>
      </c>
      <c r="F426" s="6">
        <v>22421.5</v>
      </c>
      <c r="G426" s="6">
        <v>22572.5</v>
      </c>
      <c r="H426" s="6">
        <v>22414.7</v>
      </c>
      <c r="I426" s="5">
        <v>44990</v>
      </c>
      <c r="J426" s="7">
        <f t="shared" si="38"/>
        <v>-8.0329090721055832E-4</v>
      </c>
      <c r="K426" s="5">
        <v>44990</v>
      </c>
      <c r="L426" s="8">
        <f t="shared" si="36"/>
        <v>6.7346074080681488E-3</v>
      </c>
      <c r="M426" s="5">
        <v>44990</v>
      </c>
      <c r="N426" s="9">
        <f t="shared" si="37"/>
        <v>5.9313165008575905E-3</v>
      </c>
      <c r="O426" s="5">
        <v>44990</v>
      </c>
      <c r="P426">
        <f t="shared" si="39"/>
        <v>0.99300919260161713</v>
      </c>
      <c r="Q426" s="6">
        <f t="shared" si="40"/>
        <v>0.99919065556898912</v>
      </c>
      <c r="R426">
        <f t="shared" si="41"/>
        <v>-6.2056854493333187E-3</v>
      </c>
      <c r="T426" s="5">
        <v>44990</v>
      </c>
      <c r="U426" s="1">
        <v>-6.2056854493333187E-3</v>
      </c>
    </row>
    <row r="427" spans="3:21" x14ac:dyDescent="0.2">
      <c r="C427" s="5">
        <v>44991</v>
      </c>
      <c r="D427" s="6">
        <v>0.99988999999999995</v>
      </c>
      <c r="E427" s="6">
        <v>22408.83</v>
      </c>
      <c r="F427" s="6">
        <v>22393</v>
      </c>
      <c r="G427" s="6">
        <v>22479.58</v>
      </c>
      <c r="H427" s="6">
        <v>22389.3</v>
      </c>
      <c r="I427" s="5">
        <v>44991</v>
      </c>
      <c r="J427" s="7">
        <f t="shared" si="38"/>
        <v>-8.7153144541693927E-4</v>
      </c>
      <c r="K427" s="5">
        <v>44991</v>
      </c>
      <c r="L427" s="8">
        <f t="shared" si="36"/>
        <v>3.8663868173090584E-3</v>
      </c>
      <c r="M427" s="5">
        <v>44991</v>
      </c>
      <c r="N427" s="9">
        <f t="shared" si="37"/>
        <v>2.9948553718921189E-3</v>
      </c>
      <c r="O427" s="5">
        <v>44991</v>
      </c>
      <c r="P427">
        <f t="shared" si="39"/>
        <v>0.99598391073142822</v>
      </c>
      <c r="Q427" s="6">
        <f t="shared" si="40"/>
        <v>1.0001100121013311</v>
      </c>
      <c r="R427">
        <f t="shared" si="41"/>
        <v>-4.1341814625661041E-3</v>
      </c>
      <c r="T427" s="5">
        <v>44991</v>
      </c>
      <c r="U427" s="1">
        <v>-4.1341814625661041E-3</v>
      </c>
    </row>
    <row r="428" spans="3:21" x14ac:dyDescent="0.2">
      <c r="C428" s="5">
        <v>44992</v>
      </c>
      <c r="D428" s="6">
        <v>0.99988999999999995</v>
      </c>
      <c r="E428" s="6">
        <v>22195.64</v>
      </c>
      <c r="F428" s="6">
        <v>22188</v>
      </c>
      <c r="G428" s="6">
        <v>22248.52</v>
      </c>
      <c r="H428" s="6">
        <v>22187.4</v>
      </c>
      <c r="I428" s="5">
        <v>44992</v>
      </c>
      <c r="J428" s="7">
        <f t="shared" si="38"/>
        <v>-3.712440821710013E-4</v>
      </c>
      <c r="K428" s="5">
        <v>44992</v>
      </c>
      <c r="L428" s="8">
        <f t="shared" si="36"/>
        <v>2.7276005047773767E-3</v>
      </c>
      <c r="M428" s="5">
        <v>44992</v>
      </c>
      <c r="N428" s="9">
        <f t="shared" si="37"/>
        <v>2.3563564226063757E-3</v>
      </c>
      <c r="O428" s="5">
        <v>44992</v>
      </c>
      <c r="P428">
        <f t="shared" si="39"/>
        <v>0.99725285097615479</v>
      </c>
      <c r="Q428" s="6">
        <f t="shared" si="40"/>
        <v>1.0001100121013311</v>
      </c>
      <c r="R428">
        <f t="shared" si="41"/>
        <v>-2.8609354131920294E-3</v>
      </c>
      <c r="T428" s="5">
        <v>44992</v>
      </c>
      <c r="U428" s="1">
        <v>-2.8609354131920294E-3</v>
      </c>
    </row>
    <row r="429" spans="3:21" x14ac:dyDescent="0.2">
      <c r="C429" s="5">
        <v>44993</v>
      </c>
      <c r="D429" s="6">
        <v>0.99988999999999995</v>
      </c>
      <c r="E429" s="6">
        <v>21702.78</v>
      </c>
      <c r="F429" s="6">
        <v>21682.5</v>
      </c>
      <c r="G429" s="6">
        <v>21756.69</v>
      </c>
      <c r="H429" s="6">
        <v>21698</v>
      </c>
      <c r="I429" s="5">
        <v>44993</v>
      </c>
      <c r="J429" s="7">
        <f t="shared" si="38"/>
        <v>-2.2024828155650273E-4</v>
      </c>
      <c r="K429" s="5">
        <v>44993</v>
      </c>
      <c r="L429" s="8">
        <f t="shared" si="36"/>
        <v>3.4216534071255015E-3</v>
      </c>
      <c r="M429" s="5">
        <v>44993</v>
      </c>
      <c r="N429" s="9">
        <f t="shared" si="37"/>
        <v>3.2014051255689988E-3</v>
      </c>
      <c r="O429" s="5">
        <v>44993</v>
      </c>
      <c r="P429">
        <f t="shared" si="39"/>
        <v>0.99730243892798043</v>
      </c>
      <c r="Q429" s="6">
        <f t="shared" si="40"/>
        <v>1.0001100121013311</v>
      </c>
      <c r="R429">
        <f t="shared" si="41"/>
        <v>-2.8112120968349029E-3</v>
      </c>
      <c r="T429" s="5">
        <v>44993</v>
      </c>
      <c r="U429" s="1">
        <v>-2.8112120968349029E-3</v>
      </c>
    </row>
    <row r="430" spans="3:21" x14ac:dyDescent="0.2">
      <c r="C430" s="5">
        <v>44994</v>
      </c>
      <c r="D430" s="6">
        <v>0.99992999999999999</v>
      </c>
      <c r="E430" s="6">
        <v>20363.939999999999</v>
      </c>
      <c r="F430" s="6">
        <v>20352</v>
      </c>
      <c r="G430" s="6">
        <v>20510.349999999999</v>
      </c>
      <c r="H430" s="6">
        <v>20373</v>
      </c>
      <c r="I430" s="5">
        <v>44994</v>
      </c>
      <c r="J430" s="7">
        <f t="shared" si="38"/>
        <v>4.4490408044815051E-4</v>
      </c>
      <c r="K430" s="5">
        <v>44994</v>
      </c>
      <c r="L430" s="8">
        <f t="shared" si="36"/>
        <v>7.7805621069181674E-3</v>
      </c>
      <c r="M430" s="5">
        <v>44994</v>
      </c>
      <c r="N430" s="9">
        <f t="shared" si="37"/>
        <v>8.2254661873663176E-3</v>
      </c>
      <c r="O430" s="5">
        <v>44994</v>
      </c>
      <c r="P430">
        <f t="shared" si="39"/>
        <v>0.99330338097594628</v>
      </c>
      <c r="Q430" s="6">
        <f t="shared" si="40"/>
        <v>1.000070004900343</v>
      </c>
      <c r="R430">
        <f t="shared" si="41"/>
        <v>-6.7891444354530898E-3</v>
      </c>
      <c r="T430" s="5">
        <v>44994</v>
      </c>
      <c r="U430" s="1">
        <v>-6.7891444354530898E-3</v>
      </c>
    </row>
    <row r="431" spans="3:21" x14ac:dyDescent="0.2">
      <c r="C431" s="5">
        <v>44995</v>
      </c>
      <c r="D431" s="6">
        <v>0.99773000000000001</v>
      </c>
      <c r="E431" s="6">
        <v>20251.830000000002</v>
      </c>
      <c r="F431" s="6">
        <v>20195</v>
      </c>
      <c r="G431" s="6">
        <v>20221.05</v>
      </c>
      <c r="H431" s="6">
        <v>20200.5</v>
      </c>
      <c r="I431" s="5">
        <v>44995</v>
      </c>
      <c r="J431" s="7">
        <f t="shared" si="38"/>
        <v>-2.5345857633607303E-3</v>
      </c>
      <c r="K431" s="5">
        <v>44995</v>
      </c>
      <c r="L431" s="8">
        <f t="shared" si="36"/>
        <v>1.2899232483287583E-3</v>
      </c>
      <c r="M431" s="5">
        <v>44995</v>
      </c>
      <c r="N431" s="9">
        <f t="shared" si="37"/>
        <v>-1.244662515031972E-3</v>
      </c>
      <c r="O431" s="5">
        <v>44995</v>
      </c>
      <c r="P431">
        <f t="shared" si="39"/>
        <v>0.99898373229876791</v>
      </c>
      <c r="Q431" s="6">
        <f t="shared" si="40"/>
        <v>1.0022751646236958</v>
      </c>
      <c r="R431">
        <f t="shared" si="41"/>
        <v>-3.2893648070642227E-3</v>
      </c>
      <c r="T431" s="5">
        <v>44995</v>
      </c>
      <c r="U431" s="1">
        <v>-3.2893648070642227E-3</v>
      </c>
    </row>
    <row r="432" spans="3:21" x14ac:dyDescent="0.2">
      <c r="C432" s="5">
        <v>44996</v>
      </c>
      <c r="D432" s="6">
        <v>0.96853</v>
      </c>
      <c r="E432" s="6">
        <v>21282.49</v>
      </c>
      <c r="F432" s="6">
        <v>20604.5</v>
      </c>
      <c r="G432" s="6">
        <v>20288.7</v>
      </c>
      <c r="H432" s="6">
        <v>20600</v>
      </c>
      <c r="I432" s="5">
        <v>44996</v>
      </c>
      <c r="J432" s="7">
        <f t="shared" si="38"/>
        <v>-3.2068146161468962E-2</v>
      </c>
      <c r="K432" s="5">
        <v>44996</v>
      </c>
      <c r="L432" s="8">
        <f t="shared" si="36"/>
        <v>-1.5326749011138308E-2</v>
      </c>
      <c r="M432" s="5">
        <v>44996</v>
      </c>
      <c r="N432" s="9">
        <f t="shared" si="37"/>
        <v>-4.7394895172607268E-2</v>
      </c>
      <c r="O432" s="5">
        <v>44996</v>
      </c>
      <c r="P432">
        <f t="shared" si="39"/>
        <v>1.0153435163416089</v>
      </c>
      <c r="Q432" s="6">
        <f t="shared" si="40"/>
        <v>1.0324925402413967</v>
      </c>
      <c r="R432">
        <f t="shared" si="41"/>
        <v>-1.6748825897784869E-2</v>
      </c>
      <c r="T432" s="5">
        <v>44996</v>
      </c>
      <c r="U432" s="1">
        <v>-1.6748825897784869E-2</v>
      </c>
    </row>
    <row r="433" spans="3:21" x14ac:dyDescent="0.2">
      <c r="C433" s="5">
        <v>44997</v>
      </c>
      <c r="D433" s="6">
        <v>0.99153000000000002</v>
      </c>
      <c r="E433" s="6">
        <v>22297.47</v>
      </c>
      <c r="F433" s="6">
        <v>22167</v>
      </c>
      <c r="G433" s="6">
        <v>22087.47</v>
      </c>
      <c r="H433" s="6">
        <v>22126.5</v>
      </c>
      <c r="I433" s="5">
        <v>44997</v>
      </c>
      <c r="J433" s="7">
        <f t="shared" si="38"/>
        <v>-7.6676860648316227E-3</v>
      </c>
      <c r="K433" s="5">
        <v>44997</v>
      </c>
      <c r="L433" s="8">
        <f t="shared" si="36"/>
        <v>-3.5877655975097593E-3</v>
      </c>
      <c r="M433" s="5">
        <v>44997</v>
      </c>
      <c r="N433" s="9">
        <f t="shared" si="37"/>
        <v>-1.1255451662341383E-2</v>
      </c>
      <c r="O433" s="5">
        <v>44997</v>
      </c>
      <c r="P433">
        <f t="shared" si="39"/>
        <v>1.0017670652184247</v>
      </c>
      <c r="Q433" s="6">
        <f t="shared" si="40"/>
        <v>1.0085423537361451</v>
      </c>
      <c r="R433">
        <f t="shared" si="41"/>
        <v>-6.7405684984646157E-3</v>
      </c>
      <c r="T433" s="5">
        <v>44997</v>
      </c>
      <c r="U433" s="1">
        <v>-6.7405684984646157E-3</v>
      </c>
    </row>
    <row r="434" spans="3:21" x14ac:dyDescent="0.2">
      <c r="C434" s="5">
        <v>44998</v>
      </c>
      <c r="D434" s="6">
        <v>0.99553000000000003</v>
      </c>
      <c r="E434" s="6">
        <v>24208.240000000002</v>
      </c>
      <c r="F434" s="6">
        <v>24175</v>
      </c>
      <c r="G434" s="6">
        <v>24018.61</v>
      </c>
      <c r="H434" s="6">
        <v>24174.400000000001</v>
      </c>
      <c r="I434" s="5">
        <v>44998</v>
      </c>
      <c r="J434" s="7">
        <f t="shared" si="38"/>
        <v>-1.3978711380918292E-3</v>
      </c>
      <c r="K434" s="5">
        <v>44998</v>
      </c>
      <c r="L434" s="8">
        <f t="shared" si="36"/>
        <v>-6.4690796277145574E-3</v>
      </c>
      <c r="M434" s="5">
        <v>44998</v>
      </c>
      <c r="N434" s="9">
        <f t="shared" si="37"/>
        <v>-7.8669507658063863E-3</v>
      </c>
      <c r="O434" s="5">
        <v>44998</v>
      </c>
      <c r="P434">
        <f t="shared" si="39"/>
        <v>1.0064862204765388</v>
      </c>
      <c r="Q434" s="6">
        <f t="shared" si="40"/>
        <v>1.0044900706156519</v>
      </c>
      <c r="R434">
        <f t="shared" si="41"/>
        <v>1.9852551473009189E-3</v>
      </c>
      <c r="T434" s="5">
        <v>44998</v>
      </c>
      <c r="U434" s="1">
        <v>1.9852551473009189E-3</v>
      </c>
    </row>
    <row r="435" spans="3:21" x14ac:dyDescent="0.2">
      <c r="C435" s="5">
        <v>44999</v>
      </c>
      <c r="D435" s="6">
        <v>0.99809999999999999</v>
      </c>
      <c r="E435" s="6">
        <v>24772.65</v>
      </c>
      <c r="F435" s="6">
        <v>24740.5</v>
      </c>
      <c r="G435" s="6">
        <v>24655.53</v>
      </c>
      <c r="H435" s="6">
        <v>24760.9</v>
      </c>
      <c r="I435" s="5">
        <v>44999</v>
      </c>
      <c r="J435" s="7">
        <f t="shared" si="38"/>
        <v>-4.7431340611521169E-4</v>
      </c>
      <c r="K435" s="5">
        <v>44999</v>
      </c>
      <c r="L435" s="8">
        <f t="shared" si="36"/>
        <v>-3.4344495867100972E-3</v>
      </c>
      <c r="M435" s="5">
        <v>44999</v>
      </c>
      <c r="N435" s="9">
        <f t="shared" si="37"/>
        <v>-3.9087629928253086E-3</v>
      </c>
      <c r="O435" s="5">
        <v>44999</v>
      </c>
      <c r="P435">
        <f t="shared" si="39"/>
        <v>1.0042736862683546</v>
      </c>
      <c r="Q435" s="6">
        <f t="shared" si="40"/>
        <v>1.001903616872057</v>
      </c>
      <c r="R435">
        <f t="shared" si="41"/>
        <v>2.3627727172488419E-3</v>
      </c>
      <c r="T435" s="5">
        <v>44999</v>
      </c>
      <c r="U435" s="1">
        <v>2.3627727172488419E-3</v>
      </c>
    </row>
    <row r="436" spans="3:21" x14ac:dyDescent="0.2">
      <c r="C436" s="5">
        <v>45000</v>
      </c>
      <c r="D436" s="6">
        <v>0.99960000000000004</v>
      </c>
      <c r="E436" s="6">
        <v>24371.99</v>
      </c>
      <c r="F436" s="6">
        <v>24366</v>
      </c>
      <c r="G436" s="6">
        <v>24365.81</v>
      </c>
      <c r="H436" s="6">
        <v>24359.7</v>
      </c>
      <c r="I436" s="5">
        <v>45000</v>
      </c>
      <c r="J436" s="7">
        <f t="shared" si="38"/>
        <v>-5.0426739876394469E-4</v>
      </c>
      <c r="K436" s="5">
        <v>45000</v>
      </c>
      <c r="L436" s="8">
        <f t="shared" si="36"/>
        <v>-7.7977509644049221E-6</v>
      </c>
      <c r="M436" s="5">
        <v>45000</v>
      </c>
      <c r="N436" s="9">
        <f t="shared" si="37"/>
        <v>-5.1206514972834964E-4</v>
      </c>
      <c r="O436" s="5">
        <v>45000</v>
      </c>
      <c r="P436">
        <f t="shared" si="39"/>
        <v>0.99974923878992739</v>
      </c>
      <c r="Q436" s="6">
        <f t="shared" si="40"/>
        <v>1.0004001600640255</v>
      </c>
      <c r="R436">
        <f t="shared" si="41"/>
        <v>-6.5087267726156382E-4</v>
      </c>
      <c r="T436" s="5">
        <v>45000</v>
      </c>
      <c r="U436" s="1">
        <v>-6.5087267726156382E-4</v>
      </c>
    </row>
    <row r="437" spans="3:21" x14ac:dyDescent="0.2">
      <c r="C437" s="5">
        <v>45001</v>
      </c>
      <c r="D437" s="6">
        <v>0.99951000000000001</v>
      </c>
      <c r="E437" s="6">
        <v>25062.02</v>
      </c>
      <c r="F437" s="6">
        <v>25056</v>
      </c>
      <c r="G437" s="6">
        <v>25117.86</v>
      </c>
      <c r="H437" s="6">
        <v>25035.1</v>
      </c>
      <c r="I437" s="5">
        <v>45001</v>
      </c>
      <c r="J437" s="7">
        <f t="shared" si="38"/>
        <v>-1.0741352851845896E-3</v>
      </c>
      <c r="K437" s="5">
        <v>45001</v>
      </c>
      <c r="L437" s="8">
        <f t="shared" si="36"/>
        <v>2.4688697318007895E-3</v>
      </c>
      <c r="M437" s="5">
        <v>45001</v>
      </c>
      <c r="N437" s="9">
        <f t="shared" si="37"/>
        <v>1.3947344466161999E-3</v>
      </c>
      <c r="O437" s="5">
        <v>45001</v>
      </c>
      <c r="P437">
        <f t="shared" si="39"/>
        <v>0.99670513331947863</v>
      </c>
      <c r="Q437" s="6">
        <f t="shared" si="40"/>
        <v>1.0004902402177067</v>
      </c>
      <c r="R437">
        <f t="shared" si="41"/>
        <v>-3.790426795700296E-3</v>
      </c>
      <c r="T437" s="5">
        <v>45001</v>
      </c>
      <c r="U437" s="1">
        <v>-3.790426795700296E-3</v>
      </c>
    </row>
    <row r="438" spans="3:21" x14ac:dyDescent="0.2">
      <c r="C438" s="5">
        <v>45002</v>
      </c>
      <c r="D438" s="6">
        <v>0.99992000000000003</v>
      </c>
      <c r="E438" s="6">
        <v>27445.14</v>
      </c>
      <c r="F438" s="6">
        <v>27460</v>
      </c>
      <c r="G438" s="6">
        <v>27501.95</v>
      </c>
      <c r="H438" s="6">
        <v>27412.9</v>
      </c>
      <c r="I438" s="5">
        <v>45002</v>
      </c>
      <c r="J438" s="7">
        <f t="shared" si="38"/>
        <v>-1.1747070701770136E-3</v>
      </c>
      <c r="K438" s="5">
        <v>45002</v>
      </c>
      <c r="L438" s="8">
        <f t="shared" si="36"/>
        <v>1.5276766205389923E-3</v>
      </c>
      <c r="M438" s="5">
        <v>45002</v>
      </c>
      <c r="N438" s="9">
        <f t="shared" si="37"/>
        <v>3.5296955036197872E-4</v>
      </c>
      <c r="O438" s="5">
        <v>45002</v>
      </c>
      <c r="P438">
        <f t="shared" si="39"/>
        <v>0.99676204778206634</v>
      </c>
      <c r="Q438" s="6">
        <f t="shared" si="40"/>
        <v>1.000080006400512</v>
      </c>
      <c r="R438">
        <f t="shared" si="41"/>
        <v>-3.3232089288635237E-3</v>
      </c>
      <c r="T438" s="5">
        <v>45002</v>
      </c>
      <c r="U438" s="1">
        <v>-3.3232089288635237E-3</v>
      </c>
    </row>
    <row r="439" spans="3:21" x14ac:dyDescent="0.2">
      <c r="C439" s="5">
        <v>45003</v>
      </c>
      <c r="D439" s="6">
        <v>0.99950000000000006</v>
      </c>
      <c r="E439" s="6">
        <v>26979.27</v>
      </c>
      <c r="F439" s="6">
        <v>26987.5</v>
      </c>
      <c r="G439" s="6">
        <v>27058.14</v>
      </c>
      <c r="H439" s="6">
        <v>26970.9</v>
      </c>
      <c r="I439" s="5">
        <v>45003</v>
      </c>
      <c r="J439" s="7">
        <f t="shared" si="38"/>
        <v>-3.1023819399112655E-4</v>
      </c>
      <c r="K439" s="5">
        <v>45003</v>
      </c>
      <c r="L439" s="8">
        <f t="shared" si="36"/>
        <v>2.6175081056044251E-3</v>
      </c>
      <c r="M439" s="5">
        <v>45003</v>
      </c>
      <c r="N439" s="9">
        <f t="shared" si="37"/>
        <v>2.3072699116132986E-3</v>
      </c>
      <c r="O439" s="5">
        <v>45003</v>
      </c>
      <c r="P439">
        <f t="shared" si="39"/>
        <v>0.99677583159818084</v>
      </c>
      <c r="Q439" s="6">
        <f t="shared" si="40"/>
        <v>1.0005002501250624</v>
      </c>
      <c r="R439">
        <f t="shared" si="41"/>
        <v>-3.7295022735531389E-3</v>
      </c>
      <c r="T439" s="5">
        <v>45003</v>
      </c>
      <c r="U439" s="1">
        <v>-3.7295022735531389E-3</v>
      </c>
    </row>
    <row r="440" spans="3:21" x14ac:dyDescent="0.2">
      <c r="C440" s="5">
        <v>45004</v>
      </c>
      <c r="D440" s="6">
        <v>0.99958999999999998</v>
      </c>
      <c r="E440" s="6">
        <v>28057.18</v>
      </c>
      <c r="F440" s="6">
        <v>28048</v>
      </c>
      <c r="G440" s="6">
        <v>28275.23</v>
      </c>
      <c r="H440" s="6">
        <v>28012.6</v>
      </c>
      <c r="I440" s="5">
        <v>45004</v>
      </c>
      <c r="J440" s="7">
        <f t="shared" si="38"/>
        <v>-1.5888981002367931E-3</v>
      </c>
      <c r="K440" s="5">
        <v>45004</v>
      </c>
      <c r="L440" s="8">
        <f t="shared" si="36"/>
        <v>8.1014689104392315E-3</v>
      </c>
      <c r="M440" s="5">
        <v>45004</v>
      </c>
      <c r="N440" s="9">
        <f t="shared" si="37"/>
        <v>6.5125708102024386E-3</v>
      </c>
      <c r="O440" s="5">
        <v>45004</v>
      </c>
      <c r="P440">
        <f t="shared" si="39"/>
        <v>0.9907116582252381</v>
      </c>
      <c r="Q440" s="6">
        <f t="shared" si="40"/>
        <v>1.0004101681689492</v>
      </c>
      <c r="R440">
        <f t="shared" si="41"/>
        <v>-9.7418314808535109E-3</v>
      </c>
      <c r="T440" s="5">
        <v>45004</v>
      </c>
      <c r="U440" s="1">
        <v>-9.7418314808535109E-3</v>
      </c>
    </row>
    <row r="441" spans="3:21" x14ac:dyDescent="0.2">
      <c r="C441" s="5">
        <v>45005</v>
      </c>
      <c r="D441" s="6">
        <v>0.99965999999999999</v>
      </c>
      <c r="E441" s="6">
        <v>27819.87</v>
      </c>
      <c r="F441" s="6">
        <v>27805</v>
      </c>
      <c r="G441" s="6">
        <v>27956.82</v>
      </c>
      <c r="H441" s="6">
        <v>27799.7</v>
      </c>
      <c r="I441" s="5">
        <v>45005</v>
      </c>
      <c r="J441" s="7">
        <f t="shared" si="38"/>
        <v>-7.2502136063174469E-4</v>
      </c>
      <c r="K441" s="5">
        <v>45005</v>
      </c>
      <c r="L441" s="8">
        <f t="shared" si="36"/>
        <v>5.4601690343463304E-3</v>
      </c>
      <c r="M441" s="5">
        <v>45005</v>
      </c>
      <c r="N441" s="9">
        <f t="shared" si="37"/>
        <v>4.7351476737145862E-3</v>
      </c>
      <c r="O441" s="5">
        <v>45005</v>
      </c>
      <c r="P441">
        <f t="shared" si="39"/>
        <v>0.99437990443834468</v>
      </c>
      <c r="Q441" s="6">
        <f t="shared" si="40"/>
        <v>1.0003401156393175</v>
      </c>
      <c r="R441">
        <f t="shared" si="41"/>
        <v>-5.9760055334859676E-3</v>
      </c>
      <c r="T441" s="5">
        <v>45005</v>
      </c>
      <c r="U441" s="1">
        <v>-5.9760055334859676E-3</v>
      </c>
    </row>
    <row r="442" spans="3:21" x14ac:dyDescent="0.2">
      <c r="C442" s="5">
        <v>45006</v>
      </c>
      <c r="D442" s="6">
        <v>0.99950000000000006</v>
      </c>
      <c r="E442" s="6">
        <v>28193.19</v>
      </c>
      <c r="F442" s="6">
        <v>28168.5</v>
      </c>
      <c r="G442" s="6">
        <v>28358.59</v>
      </c>
      <c r="H442" s="6">
        <v>28161.8</v>
      </c>
      <c r="I442" s="5">
        <v>45006</v>
      </c>
      <c r="J442" s="7">
        <f t="shared" si="38"/>
        <v>-1.1133894390808355E-3</v>
      </c>
      <c r="K442" s="5">
        <v>45006</v>
      </c>
      <c r="L442" s="8">
        <f t="shared" si="36"/>
        <v>6.748318156806367E-3</v>
      </c>
      <c r="M442" s="5">
        <v>45006</v>
      </c>
      <c r="N442" s="9">
        <f t="shared" si="37"/>
        <v>5.6349287177255318E-3</v>
      </c>
      <c r="O442" s="5">
        <v>45006</v>
      </c>
      <c r="P442">
        <f t="shared" si="39"/>
        <v>0.99306065640075902</v>
      </c>
      <c r="Q442" s="6">
        <f t="shared" si="40"/>
        <v>1.0005002501250624</v>
      </c>
      <c r="R442">
        <f t="shared" si="41"/>
        <v>-7.4636578555176466E-3</v>
      </c>
      <c r="T442" s="5">
        <v>45006</v>
      </c>
      <c r="U442" s="1">
        <v>-7.4636578555176466E-3</v>
      </c>
    </row>
    <row r="443" spans="3:21" x14ac:dyDescent="0.2">
      <c r="C443" s="5">
        <v>45007</v>
      </c>
      <c r="D443" s="6">
        <v>0.99960000000000004</v>
      </c>
      <c r="E443" s="6">
        <v>27325.42</v>
      </c>
      <c r="F443" s="6">
        <v>27300</v>
      </c>
      <c r="G443" s="6">
        <v>27544.71</v>
      </c>
      <c r="H443" s="6">
        <v>27300.9</v>
      </c>
      <c r="I443" s="5">
        <v>45007</v>
      </c>
      <c r="J443" s="7">
        <f t="shared" si="38"/>
        <v>-8.9733295956646961E-4</v>
      </c>
      <c r="K443" s="5">
        <v>45007</v>
      </c>
      <c r="L443" s="8">
        <f t="shared" si="36"/>
        <v>8.9637362637362324E-3</v>
      </c>
      <c r="M443" s="5">
        <v>45007</v>
      </c>
      <c r="N443" s="9">
        <f t="shared" si="37"/>
        <v>8.0664033041697621E-3</v>
      </c>
      <c r="O443" s="5">
        <v>45007</v>
      </c>
      <c r="P443">
        <f t="shared" si="39"/>
        <v>0.99114857262973555</v>
      </c>
      <c r="Q443" s="6">
        <f t="shared" si="40"/>
        <v>1.0004001600640255</v>
      </c>
      <c r="R443">
        <f t="shared" si="41"/>
        <v>-9.2909139835784995E-3</v>
      </c>
      <c r="T443" s="5">
        <v>45007</v>
      </c>
      <c r="U443" s="1">
        <v>-9.2909139835784995E-3</v>
      </c>
    </row>
    <row r="444" spans="3:21" x14ac:dyDescent="0.2">
      <c r="C444" s="5">
        <v>45008</v>
      </c>
      <c r="D444" s="6">
        <v>0.99968999999999997</v>
      </c>
      <c r="E444" s="6">
        <v>28352.58</v>
      </c>
      <c r="F444" s="6">
        <v>28332</v>
      </c>
      <c r="G444" s="6">
        <v>28450.83</v>
      </c>
      <c r="H444" s="6">
        <v>28319.7</v>
      </c>
      <c r="I444" s="5">
        <v>45008</v>
      </c>
      <c r="J444" s="7">
        <f t="shared" si="38"/>
        <v>-1.1596828225156589E-3</v>
      </c>
      <c r="K444" s="5">
        <v>45008</v>
      </c>
      <c r="L444" s="8">
        <f t="shared" si="36"/>
        <v>4.1941973739941319E-3</v>
      </c>
      <c r="M444" s="5">
        <v>45008</v>
      </c>
      <c r="N444" s="9">
        <f t="shared" si="37"/>
        <v>3.034514551478473E-3</v>
      </c>
      <c r="O444" s="5">
        <v>45008</v>
      </c>
      <c r="P444">
        <f t="shared" si="39"/>
        <v>0.99539099562297473</v>
      </c>
      <c r="Q444" s="6">
        <f t="shared" si="40"/>
        <v>1.0003100961298004</v>
      </c>
      <c r="R444">
        <f t="shared" si="41"/>
        <v>-4.9297066471039224E-3</v>
      </c>
      <c r="T444" s="5">
        <v>45008</v>
      </c>
      <c r="U444" s="1">
        <v>-4.9297066471039224E-3</v>
      </c>
    </row>
    <row r="445" spans="3:21" x14ac:dyDescent="0.2">
      <c r="C445" s="5">
        <v>45009</v>
      </c>
      <c r="D445" s="6">
        <v>0.99992000000000003</v>
      </c>
      <c r="E445" s="6">
        <v>27489.040000000001</v>
      </c>
      <c r="F445" s="6">
        <v>27468</v>
      </c>
      <c r="G445" s="6">
        <v>27700.22</v>
      </c>
      <c r="H445" s="6">
        <v>27479.1</v>
      </c>
      <c r="I445" s="5">
        <v>45009</v>
      </c>
      <c r="J445" s="7">
        <f t="shared" si="38"/>
        <v>-3.6159865895652696E-4</v>
      </c>
      <c r="K445" s="5">
        <v>45009</v>
      </c>
      <c r="L445" s="8">
        <f t="shared" si="36"/>
        <v>8.454201252366433E-3</v>
      </c>
      <c r="M445" s="5">
        <v>45009</v>
      </c>
      <c r="N445" s="9">
        <f t="shared" si="37"/>
        <v>8.0926025934099054E-3</v>
      </c>
      <c r="O445" s="5">
        <v>45009</v>
      </c>
      <c r="P445">
        <f t="shared" si="39"/>
        <v>0.9920173919196309</v>
      </c>
      <c r="Q445" s="6">
        <f t="shared" si="40"/>
        <v>1.000080006400512</v>
      </c>
      <c r="R445">
        <f t="shared" si="41"/>
        <v>-8.0946428740744699E-3</v>
      </c>
      <c r="T445" s="5">
        <v>45009</v>
      </c>
      <c r="U445" s="1">
        <v>-8.0946428740744699E-3</v>
      </c>
    </row>
    <row r="446" spans="3:21" x14ac:dyDescent="0.2">
      <c r="C446" s="5">
        <v>45010</v>
      </c>
      <c r="D446" s="6">
        <v>0.99999000000000005</v>
      </c>
      <c r="E446" s="6">
        <v>27488.720000000001</v>
      </c>
      <c r="F446" s="6">
        <v>27479.5</v>
      </c>
      <c r="G446" s="6">
        <v>27687.9</v>
      </c>
      <c r="H446" s="6">
        <v>27479.7</v>
      </c>
      <c r="I446" s="5">
        <v>45010</v>
      </c>
      <c r="J446" s="7">
        <f t="shared" si="38"/>
        <v>-3.2813459484473765E-4</v>
      </c>
      <c r="K446" s="5">
        <v>45010</v>
      </c>
      <c r="L446" s="8">
        <f t="shared" si="36"/>
        <v>7.5838352226205519E-3</v>
      </c>
      <c r="M446" s="5">
        <v>45010</v>
      </c>
      <c r="N446" s="9">
        <f t="shared" si="37"/>
        <v>7.2557006277758143E-3</v>
      </c>
      <c r="O446" s="5">
        <v>45010</v>
      </c>
      <c r="P446">
        <f t="shared" si="39"/>
        <v>0.99248046980811111</v>
      </c>
      <c r="Q446" s="6">
        <f t="shared" si="40"/>
        <v>1.000010000100001</v>
      </c>
      <c r="R446">
        <f t="shared" si="41"/>
        <v>-7.5579444396047767E-3</v>
      </c>
      <c r="T446" s="5">
        <v>45010</v>
      </c>
      <c r="U446" s="1">
        <v>-7.5579444396047767E-3</v>
      </c>
    </row>
    <row r="447" spans="3:21" x14ac:dyDescent="0.2">
      <c r="C447" s="5">
        <v>45011</v>
      </c>
      <c r="D447" s="6">
        <v>0.99997000000000003</v>
      </c>
      <c r="E447" s="6">
        <v>27993.07</v>
      </c>
      <c r="F447" s="6">
        <v>27984.5</v>
      </c>
      <c r="G447" s="6">
        <v>28102.6</v>
      </c>
      <c r="H447" s="6">
        <v>27990.2</v>
      </c>
      <c r="I447" s="5">
        <v>45011</v>
      </c>
      <c r="J447" s="7">
        <f t="shared" si="38"/>
        <v>-1.0252537503028361E-4</v>
      </c>
      <c r="K447" s="5">
        <v>45011</v>
      </c>
      <c r="L447" s="8">
        <f t="shared" si="36"/>
        <v>4.2201933213028122E-3</v>
      </c>
      <c r="M447" s="5">
        <v>45011</v>
      </c>
      <c r="N447" s="9">
        <f t="shared" si="37"/>
        <v>4.1176679462725284E-3</v>
      </c>
      <c r="O447" s="5">
        <v>45011</v>
      </c>
      <c r="P447">
        <f t="shared" si="39"/>
        <v>0.99600037007252007</v>
      </c>
      <c r="Q447" s="6">
        <f t="shared" si="40"/>
        <v>1.0000300009000269</v>
      </c>
      <c r="R447">
        <f t="shared" si="41"/>
        <v>-4.0376502888616267E-3</v>
      </c>
      <c r="T447" s="5">
        <v>45011</v>
      </c>
      <c r="U447" s="1">
        <v>-4.0376502888616267E-3</v>
      </c>
    </row>
    <row r="448" spans="3:21" x14ac:dyDescent="0.2">
      <c r="C448" s="5">
        <v>45012</v>
      </c>
      <c r="D448" s="6">
        <v>0.99995999999999996</v>
      </c>
      <c r="E448" s="6">
        <v>27142.880000000001</v>
      </c>
      <c r="F448" s="6">
        <v>27115</v>
      </c>
      <c r="G448" s="6">
        <v>27303.33</v>
      </c>
      <c r="H448" s="6">
        <v>27124.400000000001</v>
      </c>
      <c r="I448" s="5">
        <v>45012</v>
      </c>
      <c r="J448" s="7">
        <f t="shared" si="38"/>
        <v>-6.8084153192290433E-4</v>
      </c>
      <c r="K448" s="5">
        <v>45012</v>
      </c>
      <c r="L448" s="8">
        <f t="shared" si="36"/>
        <v>6.9456020652775858E-3</v>
      </c>
      <c r="M448" s="5">
        <v>45012</v>
      </c>
      <c r="N448" s="9">
        <f t="shared" si="37"/>
        <v>6.264760533354681E-3</v>
      </c>
      <c r="O448" s="5">
        <v>45012</v>
      </c>
      <c r="P448">
        <f t="shared" si="39"/>
        <v>0.99344658691815246</v>
      </c>
      <c r="Q448" s="6">
        <f t="shared" si="40"/>
        <v>1.0000400016000641</v>
      </c>
      <c r="R448">
        <f t="shared" si="41"/>
        <v>-6.6149817738908635E-3</v>
      </c>
      <c r="T448" s="5">
        <v>45012</v>
      </c>
      <c r="U448" s="1">
        <v>-6.6149817738908635E-3</v>
      </c>
    </row>
    <row r="449" spans="3:21" x14ac:dyDescent="0.2">
      <c r="C449" s="5">
        <v>45013</v>
      </c>
      <c r="D449" s="6">
        <v>0.99985000000000002</v>
      </c>
      <c r="E449" s="6">
        <v>27274.58</v>
      </c>
      <c r="F449" s="6">
        <v>27254</v>
      </c>
      <c r="G449" s="6">
        <v>27301.96</v>
      </c>
      <c r="H449" s="6">
        <v>27248.2</v>
      </c>
      <c r="I449" s="5">
        <v>45013</v>
      </c>
      <c r="J449" s="7">
        <f t="shared" si="38"/>
        <v>-9.6720096148138733E-4</v>
      </c>
      <c r="K449" s="5">
        <v>45013</v>
      </c>
      <c r="L449" s="8">
        <f t="shared" si="36"/>
        <v>1.7597416892932826E-3</v>
      </c>
      <c r="M449" s="5">
        <v>45013</v>
      </c>
      <c r="N449" s="9">
        <f t="shared" si="37"/>
        <v>7.9254072781189528E-4</v>
      </c>
      <c r="O449" s="5">
        <v>45013</v>
      </c>
      <c r="P449">
        <f t="shared" si="39"/>
        <v>0.99803091060129023</v>
      </c>
      <c r="Q449" s="6">
        <f t="shared" si="40"/>
        <v>1.0001500225033755</v>
      </c>
      <c r="R449">
        <f t="shared" si="41"/>
        <v>-2.1210418550545642E-3</v>
      </c>
      <c r="T449" s="5">
        <v>45013</v>
      </c>
      <c r="U449" s="1">
        <v>-2.1210418550545642E-3</v>
      </c>
    </row>
    <row r="450" spans="3:21" x14ac:dyDescent="0.2">
      <c r="C450" s="5">
        <v>45014</v>
      </c>
      <c r="D450" s="6">
        <v>0.99994000000000005</v>
      </c>
      <c r="E450" s="6">
        <v>28353.51</v>
      </c>
      <c r="F450" s="6">
        <v>28338</v>
      </c>
      <c r="G450" s="6">
        <v>28394.9</v>
      </c>
      <c r="H450" s="6">
        <v>28323</v>
      </c>
      <c r="I450" s="5">
        <v>45014</v>
      </c>
      <c r="J450" s="7">
        <f t="shared" si="38"/>
        <v>-1.0760572500546988E-3</v>
      </c>
      <c r="K450" s="5">
        <v>45014</v>
      </c>
      <c r="L450" s="8">
        <f t="shared" si="36"/>
        <v>2.0079045804220993E-3</v>
      </c>
      <c r="M450" s="5">
        <v>45014</v>
      </c>
      <c r="N450" s="9">
        <f t="shared" si="37"/>
        <v>9.3184733036740051E-4</v>
      </c>
      <c r="O450" s="5">
        <v>45014</v>
      </c>
      <c r="P450">
        <f t="shared" si="39"/>
        <v>0.99746785514300107</v>
      </c>
      <c r="Q450" s="6">
        <f t="shared" si="40"/>
        <v>1.0000600036002159</v>
      </c>
      <c r="R450">
        <f t="shared" si="41"/>
        <v>-2.5953579579907119E-3</v>
      </c>
      <c r="T450" s="5">
        <v>45014</v>
      </c>
      <c r="U450" s="1">
        <v>-2.5953579579907119E-3</v>
      </c>
    </row>
    <row r="451" spans="3:21" x14ac:dyDescent="0.2">
      <c r="C451" s="5">
        <v>45015</v>
      </c>
      <c r="D451" s="6">
        <v>0.99995999999999996</v>
      </c>
      <c r="E451" s="6">
        <v>28031.48</v>
      </c>
      <c r="F451" s="6">
        <v>28028.5</v>
      </c>
      <c r="G451" s="6">
        <v>28131.03</v>
      </c>
      <c r="H451" s="6">
        <v>28018.9</v>
      </c>
      <c r="I451" s="5">
        <v>45015</v>
      </c>
      <c r="J451" s="7">
        <f t="shared" si="38"/>
        <v>-4.4878115604306691E-4</v>
      </c>
      <c r="K451" s="5">
        <v>45015</v>
      </c>
      <c r="L451" s="8">
        <f t="shared" si="36"/>
        <v>3.6580623294146615E-3</v>
      </c>
      <c r="M451" s="5">
        <v>45015</v>
      </c>
      <c r="N451" s="9">
        <f t="shared" si="37"/>
        <v>3.2092811733715945E-3</v>
      </c>
      <c r="O451" s="5">
        <v>45015</v>
      </c>
      <c r="P451">
        <f t="shared" si="39"/>
        <v>0.99601401015177904</v>
      </c>
      <c r="Q451" s="6">
        <f t="shared" si="40"/>
        <v>1.0000400016000641</v>
      </c>
      <c r="R451">
        <f t="shared" si="41"/>
        <v>-4.0339558790425485E-3</v>
      </c>
      <c r="T451" s="5">
        <v>45015</v>
      </c>
      <c r="U451" s="1">
        <v>-4.0339558790425485E-3</v>
      </c>
    </row>
    <row r="452" spans="3:21" x14ac:dyDescent="0.2">
      <c r="C452" s="5">
        <v>45016</v>
      </c>
      <c r="D452" s="6">
        <v>0.99999000000000005</v>
      </c>
      <c r="E452" s="6">
        <v>28475.63</v>
      </c>
      <c r="F452" s="6">
        <v>28465.5</v>
      </c>
      <c r="G452" s="6">
        <v>28539.72</v>
      </c>
      <c r="H452" s="6">
        <v>28466.799999999999</v>
      </c>
      <c r="I452" s="5">
        <v>45016</v>
      </c>
      <c r="J452" s="7">
        <f t="shared" si="38"/>
        <v>-3.1008971531101316E-4</v>
      </c>
      <c r="K452" s="5">
        <v>45016</v>
      </c>
      <c r="L452" s="8">
        <f t="shared" si="36"/>
        <v>2.6073668124572259E-3</v>
      </c>
      <c r="M452" s="5">
        <v>45016</v>
      </c>
      <c r="N452" s="9">
        <f t="shared" si="37"/>
        <v>2.2972770971462129E-3</v>
      </c>
      <c r="O452" s="5">
        <v>45016</v>
      </c>
      <c r="P452">
        <f t="shared" si="39"/>
        <v>0.99744496442151487</v>
      </c>
      <c r="Q452" s="6">
        <f t="shared" si="40"/>
        <v>1.000010000100001</v>
      </c>
      <c r="R452">
        <f t="shared" si="41"/>
        <v>-2.5683053024987833E-3</v>
      </c>
      <c r="T452" s="5">
        <v>45016</v>
      </c>
      <c r="U452" s="1">
        <v>-2.5683053024987833E-3</v>
      </c>
    </row>
    <row r="453" spans="3:21" x14ac:dyDescent="0.2">
      <c r="C453" s="5">
        <v>45017</v>
      </c>
      <c r="D453" s="6">
        <v>1.00003</v>
      </c>
      <c r="E453" s="6">
        <v>28466.35</v>
      </c>
      <c r="F453" s="6">
        <v>28437.5</v>
      </c>
      <c r="G453" s="6">
        <v>28521.23</v>
      </c>
      <c r="H453" s="6">
        <v>28467.4</v>
      </c>
      <c r="I453" s="5">
        <v>45017</v>
      </c>
      <c r="J453" s="7">
        <f t="shared" si="38"/>
        <v>3.6885656222273329E-5</v>
      </c>
      <c r="K453" s="5">
        <v>45017</v>
      </c>
      <c r="L453" s="8">
        <f t="shared" si="36"/>
        <v>2.9443516483516328E-3</v>
      </c>
      <c r="M453" s="5">
        <v>45017</v>
      </c>
      <c r="N453" s="9">
        <f t="shared" si="37"/>
        <v>2.9812373045739063E-3</v>
      </c>
      <c r="O453" s="5">
        <v>45017</v>
      </c>
      <c r="P453">
        <f t="shared" si="39"/>
        <v>0.99811263399229289</v>
      </c>
      <c r="Q453" s="6">
        <f t="shared" si="40"/>
        <v>0.99997000089997301</v>
      </c>
      <c r="R453">
        <f t="shared" si="41"/>
        <v>-1.8591497771259194E-3</v>
      </c>
      <c r="T453" s="5">
        <v>45017</v>
      </c>
      <c r="U453" s="1">
        <v>-1.8591497771259194E-3</v>
      </c>
    </row>
    <row r="454" spans="3:21" x14ac:dyDescent="0.2">
      <c r="C454" s="5">
        <v>45018</v>
      </c>
      <c r="D454" s="6">
        <v>1</v>
      </c>
      <c r="E454" s="6">
        <v>28188.05</v>
      </c>
      <c r="F454" s="6">
        <v>28178.5</v>
      </c>
      <c r="G454" s="6">
        <v>28284.73</v>
      </c>
      <c r="H454" s="6">
        <v>28172.400000000001</v>
      </c>
      <c r="I454" s="5">
        <v>45018</v>
      </c>
      <c r="J454" s="7">
        <f t="shared" si="38"/>
        <v>-5.5519980984842219E-4</v>
      </c>
      <c r="K454" s="5">
        <v>45018</v>
      </c>
      <c r="L454" s="8">
        <f t="shared" si="36"/>
        <v>3.7698954876945034E-3</v>
      </c>
      <c r="M454" s="5">
        <v>45018</v>
      </c>
      <c r="N454" s="9">
        <f t="shared" si="37"/>
        <v>3.2146956778460814E-3</v>
      </c>
      <c r="O454" s="5">
        <v>45018</v>
      </c>
      <c r="P454">
        <f t="shared" si="39"/>
        <v>0.99602859917701181</v>
      </c>
      <c r="Q454" s="6">
        <f t="shared" si="40"/>
        <v>1</v>
      </c>
      <c r="R454">
        <f t="shared" si="41"/>
        <v>-3.979307776634391E-3</v>
      </c>
      <c r="T454" s="5">
        <v>45018</v>
      </c>
      <c r="U454" s="1">
        <v>-3.979307776634391E-3</v>
      </c>
    </row>
    <row r="455" spans="3:21" x14ac:dyDescent="0.2">
      <c r="C455" s="5">
        <v>45019</v>
      </c>
      <c r="D455" s="6">
        <v>1.0001800000000001</v>
      </c>
      <c r="E455" s="6">
        <v>27805.51</v>
      </c>
      <c r="F455" s="6">
        <v>27798</v>
      </c>
      <c r="G455" s="6">
        <v>27988.61</v>
      </c>
      <c r="H455" s="6">
        <v>27799.5</v>
      </c>
      <c r="I455" s="5">
        <v>45019</v>
      </c>
      <c r="J455" s="7">
        <f t="shared" si="38"/>
        <v>-2.1614421026618105E-4</v>
      </c>
      <c r="K455" s="5">
        <v>45019</v>
      </c>
      <c r="L455" s="8">
        <f t="shared" si="36"/>
        <v>6.8569681272034168E-3</v>
      </c>
      <c r="M455" s="5">
        <v>45019</v>
      </c>
      <c r="N455" s="9">
        <f t="shared" si="37"/>
        <v>6.6408239169372359E-3</v>
      </c>
      <c r="O455" s="5">
        <v>45019</v>
      </c>
      <c r="P455">
        <f t="shared" si="39"/>
        <v>0.99324332290885475</v>
      </c>
      <c r="Q455" s="6">
        <f t="shared" si="40"/>
        <v>0.99982003239416894</v>
      </c>
      <c r="R455">
        <f t="shared" si="41"/>
        <v>-6.599622975883639E-3</v>
      </c>
      <c r="T455" s="5">
        <v>45019</v>
      </c>
      <c r="U455" s="1">
        <v>-6.599622975883639E-3</v>
      </c>
    </row>
    <row r="456" spans="3:21" x14ac:dyDescent="0.2">
      <c r="C456" s="5">
        <v>45020</v>
      </c>
      <c r="D456" s="6">
        <v>1</v>
      </c>
      <c r="E456" s="6">
        <v>28173.18</v>
      </c>
      <c r="F456" s="6">
        <v>28169</v>
      </c>
      <c r="G456" s="6">
        <v>28265.439999999999</v>
      </c>
      <c r="H456" s="6">
        <v>28158.400000000001</v>
      </c>
      <c r="I456" s="5">
        <v>45020</v>
      </c>
      <c r="J456" s="7">
        <f t="shared" si="38"/>
        <v>-5.2461241506989397E-4</v>
      </c>
      <c r="K456" s="5">
        <v>45020</v>
      </c>
      <c r="L456" s="8">
        <f t="shared" si="36"/>
        <v>3.4236217118108095E-3</v>
      </c>
      <c r="M456" s="5">
        <v>45020</v>
      </c>
      <c r="N456" s="9">
        <f t="shared" si="37"/>
        <v>2.8990092967409154E-3</v>
      </c>
      <c r="O456" s="5">
        <v>45020</v>
      </c>
      <c r="P456">
        <f t="shared" si="39"/>
        <v>0.99621304320753556</v>
      </c>
      <c r="Q456" s="6">
        <f t="shared" si="40"/>
        <v>1</v>
      </c>
      <c r="R456">
        <f t="shared" si="41"/>
        <v>-3.7941454678795498E-3</v>
      </c>
      <c r="T456" s="5">
        <v>45020</v>
      </c>
      <c r="U456" s="1">
        <v>-3.7941454678795498E-3</v>
      </c>
    </row>
    <row r="457" spans="3:21" x14ac:dyDescent="0.2">
      <c r="C457" s="5">
        <v>45021</v>
      </c>
      <c r="D457" s="6">
        <v>0.99994000000000005</v>
      </c>
      <c r="E457" s="6">
        <v>28175.41</v>
      </c>
      <c r="F457" s="6">
        <v>28164.5</v>
      </c>
      <c r="G457" s="6">
        <v>28265.7</v>
      </c>
      <c r="H457" s="6">
        <v>28182.5</v>
      </c>
      <c r="I457" s="5">
        <v>45021</v>
      </c>
      <c r="J457" s="7">
        <f t="shared" si="38"/>
        <v>2.5163786436471183E-4</v>
      </c>
      <c r="K457" s="5">
        <v>45021</v>
      </c>
      <c r="L457" s="8">
        <f t="shared" si="36"/>
        <v>3.5931758064230053E-3</v>
      </c>
      <c r="M457" s="5">
        <v>45021</v>
      </c>
      <c r="N457" s="9">
        <f t="shared" si="37"/>
        <v>3.8448136707877169E-3</v>
      </c>
      <c r="O457" s="5">
        <v>45021</v>
      </c>
      <c r="P457">
        <f t="shared" si="39"/>
        <v>0.99705650311154503</v>
      </c>
      <c r="Q457" s="6">
        <f t="shared" si="40"/>
        <v>1.0000600036002159</v>
      </c>
      <c r="R457">
        <f t="shared" si="41"/>
        <v>-3.0078392952939056E-3</v>
      </c>
      <c r="T457" s="5">
        <v>45021</v>
      </c>
      <c r="U457" s="1">
        <v>-3.0078392952939056E-3</v>
      </c>
    </row>
    <row r="458" spans="3:21" x14ac:dyDescent="0.2">
      <c r="C458" s="5">
        <v>45022</v>
      </c>
      <c r="D458" s="6">
        <v>1.0000199999999999</v>
      </c>
      <c r="E458" s="6">
        <v>28049.22</v>
      </c>
      <c r="F458" s="6">
        <v>28036.5</v>
      </c>
      <c r="G458" s="6">
        <v>28158.19</v>
      </c>
      <c r="H458" s="6">
        <v>28063.5</v>
      </c>
      <c r="I458" s="5">
        <v>45022</v>
      </c>
      <c r="J458" s="7">
        <f t="shared" si="38"/>
        <v>5.0910506602318479E-4</v>
      </c>
      <c r="K458" s="5">
        <v>45022</v>
      </c>
      <c r="L458" s="8">
        <f t="shared" si="36"/>
        <v>4.3404133896883948E-3</v>
      </c>
      <c r="M458" s="5">
        <v>45022</v>
      </c>
      <c r="N458" s="9">
        <f t="shared" si="37"/>
        <v>4.8495184557115793E-3</v>
      </c>
      <c r="O458" s="5">
        <v>45022</v>
      </c>
      <c r="P458">
        <f t="shared" si="39"/>
        <v>0.99663721283221696</v>
      </c>
      <c r="Q458" s="6">
        <f t="shared" si="40"/>
        <v>0.99998000039999213</v>
      </c>
      <c r="R458">
        <f t="shared" si="41"/>
        <v>-3.3484542444484249E-3</v>
      </c>
      <c r="T458" s="5">
        <v>45022</v>
      </c>
      <c r="U458" s="1">
        <v>-3.3484542444484249E-3</v>
      </c>
    </row>
    <row r="459" spans="3:21" x14ac:dyDescent="0.2">
      <c r="C459" s="5">
        <v>45023</v>
      </c>
      <c r="D459" s="6">
        <v>1.00023</v>
      </c>
      <c r="E459" s="6">
        <v>27922.58</v>
      </c>
      <c r="F459" s="6">
        <v>27905</v>
      </c>
      <c r="G459" s="6">
        <v>27995.71</v>
      </c>
      <c r="H459" s="6">
        <v>27904</v>
      </c>
      <c r="I459" s="5">
        <v>45023</v>
      </c>
      <c r="J459" s="7">
        <f t="shared" si="38"/>
        <v>-6.6541129079052672E-4</v>
      </c>
      <c r="K459" s="5">
        <v>45023</v>
      </c>
      <c r="L459" s="8">
        <f t="shared" ref="L459:L522" si="42">(G459-F459)/F459</f>
        <v>3.2506719225944857E-3</v>
      </c>
      <c r="M459" s="5">
        <v>45023</v>
      </c>
      <c r="N459" s="9">
        <f t="shared" ref="N459:N522" si="43">J459+L459</f>
        <v>2.5852606318039588E-3</v>
      </c>
      <c r="O459" s="5">
        <v>45023</v>
      </c>
      <c r="P459">
        <f t="shared" si="39"/>
        <v>0.99672414094873829</v>
      </c>
      <c r="Q459" s="6">
        <f t="shared" si="40"/>
        <v>0.99977005288783583</v>
      </c>
      <c r="R459">
        <f t="shared" si="41"/>
        <v>-3.051262870357807E-3</v>
      </c>
      <c r="T459" s="5">
        <v>45023</v>
      </c>
      <c r="U459" s="1">
        <v>-3.051262870357807E-3</v>
      </c>
    </row>
    <row r="460" spans="3:21" x14ac:dyDescent="0.2">
      <c r="C460" s="5">
        <v>45024</v>
      </c>
      <c r="D460" s="6">
        <v>0.99990999999999997</v>
      </c>
      <c r="E460" s="6">
        <v>27952.89</v>
      </c>
      <c r="F460" s="6">
        <v>27943</v>
      </c>
      <c r="G460" s="6">
        <v>28007.84</v>
      </c>
      <c r="H460" s="6">
        <v>27937.9</v>
      </c>
      <c r="I460" s="5">
        <v>45024</v>
      </c>
      <c r="J460" s="7">
        <f t="shared" ref="J460:J523" si="44">(H460-E460)/E460</f>
        <v>-5.362593992963863E-4</v>
      </c>
      <c r="K460" s="5">
        <v>45024</v>
      </c>
      <c r="L460" s="8">
        <f t="shared" si="42"/>
        <v>2.3204380345703806E-3</v>
      </c>
      <c r="M460" s="5">
        <v>45024</v>
      </c>
      <c r="N460" s="9">
        <f t="shared" si="43"/>
        <v>1.7841786352739944E-3</v>
      </c>
      <c r="O460" s="5">
        <v>45024</v>
      </c>
      <c r="P460">
        <f t="shared" ref="P460:P523" si="45">(1/G460)*H460</f>
        <v>0.99750284206136564</v>
      </c>
      <c r="Q460" s="6">
        <f t="shared" ref="Q460:Q523" si="46">1/D460</f>
        <v>1.0000900081007291</v>
      </c>
      <c r="R460">
        <f t="shared" ref="R460:R523" si="47">LN(P460/Q460)</f>
        <v>-2.5902850880940641E-3</v>
      </c>
      <c r="T460" s="5">
        <v>45024</v>
      </c>
      <c r="U460" s="1">
        <v>-2.5902850880940641E-3</v>
      </c>
    </row>
    <row r="461" spans="3:21" x14ac:dyDescent="0.2">
      <c r="C461" s="5">
        <v>45025</v>
      </c>
      <c r="D461" s="6">
        <v>0.99992999999999999</v>
      </c>
      <c r="E461" s="6">
        <v>28340.17</v>
      </c>
      <c r="F461" s="6">
        <v>28319</v>
      </c>
      <c r="G461" s="6">
        <v>28393.599999999999</v>
      </c>
      <c r="H461" s="6">
        <v>28315.8</v>
      </c>
      <c r="I461" s="5">
        <v>45025</v>
      </c>
      <c r="J461" s="7">
        <f t="shared" si="44"/>
        <v>-8.5991015579648896E-4</v>
      </c>
      <c r="K461" s="5">
        <v>45025</v>
      </c>
      <c r="L461" s="8">
        <f t="shared" si="42"/>
        <v>2.6342738091033775E-3</v>
      </c>
      <c r="M461" s="5">
        <v>45025</v>
      </c>
      <c r="N461" s="9">
        <f t="shared" si="43"/>
        <v>1.7743636533068886E-3</v>
      </c>
      <c r="O461" s="5">
        <v>45025</v>
      </c>
      <c r="P461">
        <f t="shared" si="45"/>
        <v>0.99725994590330225</v>
      </c>
      <c r="Q461" s="6">
        <f t="shared" si="46"/>
        <v>1.000070004900343</v>
      </c>
      <c r="R461">
        <f t="shared" si="47"/>
        <v>-2.8138173665091149E-3</v>
      </c>
      <c r="T461" s="5">
        <v>45025</v>
      </c>
      <c r="U461" s="1">
        <v>-2.8138173665091149E-3</v>
      </c>
    </row>
    <row r="462" spans="3:21" x14ac:dyDescent="0.2">
      <c r="C462" s="5">
        <v>45026</v>
      </c>
      <c r="D462" s="6">
        <v>1</v>
      </c>
      <c r="E462" s="6">
        <v>29657.97</v>
      </c>
      <c r="F462" s="6">
        <v>29658.5</v>
      </c>
      <c r="G462" s="6">
        <v>29638.01</v>
      </c>
      <c r="H462" s="6">
        <v>29644.400000000001</v>
      </c>
      <c r="I462" s="5">
        <v>45026</v>
      </c>
      <c r="J462" s="7">
        <f t="shared" si="44"/>
        <v>-4.5754985927896305E-4</v>
      </c>
      <c r="K462" s="5">
        <v>45026</v>
      </c>
      <c r="L462" s="8">
        <f t="shared" si="42"/>
        <v>-6.9086433905968269E-4</v>
      </c>
      <c r="M462" s="5">
        <v>45026</v>
      </c>
      <c r="N462" s="9">
        <f t="shared" si="43"/>
        <v>-1.1484141983386458E-3</v>
      </c>
      <c r="O462" s="5">
        <v>45026</v>
      </c>
      <c r="P462">
        <f t="shared" si="45"/>
        <v>1.0002156015198052</v>
      </c>
      <c r="Q462" s="6">
        <f t="shared" si="46"/>
        <v>1</v>
      </c>
      <c r="R462">
        <f t="shared" si="47"/>
        <v>2.1557828113761662E-4</v>
      </c>
      <c r="T462" s="5">
        <v>45026</v>
      </c>
      <c r="U462" s="1">
        <v>2.1557828113761662E-4</v>
      </c>
    </row>
    <row r="463" spans="3:21" x14ac:dyDescent="0.2">
      <c r="C463" s="5">
        <v>45027</v>
      </c>
      <c r="D463" s="6">
        <v>1</v>
      </c>
      <c r="E463" s="6">
        <v>30229.59</v>
      </c>
      <c r="F463" s="6">
        <v>30226</v>
      </c>
      <c r="G463" s="6">
        <v>30337.83</v>
      </c>
      <c r="H463" s="6">
        <v>30210.1</v>
      </c>
      <c r="I463" s="5">
        <v>45027</v>
      </c>
      <c r="J463" s="7">
        <f t="shared" si="44"/>
        <v>-6.4473252862515176E-4</v>
      </c>
      <c r="K463" s="5">
        <v>45027</v>
      </c>
      <c r="L463" s="8">
        <f t="shared" si="42"/>
        <v>3.6997948785814118E-3</v>
      </c>
      <c r="M463" s="5">
        <v>45027</v>
      </c>
      <c r="N463" s="9">
        <f t="shared" si="43"/>
        <v>3.05506234995626E-3</v>
      </c>
      <c r="O463" s="5">
        <v>45027</v>
      </c>
      <c r="P463">
        <f t="shared" si="45"/>
        <v>0.9957897450147225</v>
      </c>
      <c r="Q463" s="6">
        <f t="shared" si="46"/>
        <v>1</v>
      </c>
      <c r="R463">
        <f t="shared" si="47"/>
        <v>-4.2191430649584933E-3</v>
      </c>
      <c r="T463" s="5">
        <v>45027</v>
      </c>
      <c r="U463" s="1">
        <v>-4.2191430649584933E-3</v>
      </c>
    </row>
    <row r="464" spans="3:21" x14ac:dyDescent="0.2">
      <c r="C464" s="5">
        <v>45028</v>
      </c>
      <c r="D464" s="6">
        <v>1</v>
      </c>
      <c r="E464" s="6">
        <v>29915.77</v>
      </c>
      <c r="F464" s="6">
        <v>29906</v>
      </c>
      <c r="G464" s="6">
        <v>30045.45</v>
      </c>
      <c r="H464" s="6">
        <v>29903.3</v>
      </c>
      <c r="I464" s="5">
        <v>45028</v>
      </c>
      <c r="J464" s="7">
        <f t="shared" si="44"/>
        <v>-4.1683700603398021E-4</v>
      </c>
      <c r="K464" s="5">
        <v>45028</v>
      </c>
      <c r="L464" s="8">
        <f t="shared" si="42"/>
        <v>4.6629438908580463E-3</v>
      </c>
      <c r="M464" s="5">
        <v>45028</v>
      </c>
      <c r="N464" s="9">
        <f t="shared" si="43"/>
        <v>4.2461068848240659E-3</v>
      </c>
      <c r="O464" s="5">
        <v>45028</v>
      </c>
      <c r="P464">
        <f t="shared" si="45"/>
        <v>0.99526883438257707</v>
      </c>
      <c r="Q464" s="6">
        <f t="shared" si="46"/>
        <v>1</v>
      </c>
      <c r="R464">
        <f t="shared" si="47"/>
        <v>-4.7423930078990427E-3</v>
      </c>
      <c r="T464" s="5">
        <v>45028</v>
      </c>
      <c r="U464" s="1">
        <v>-4.7423930078990427E-3</v>
      </c>
    </row>
    <row r="465" spans="3:21" x14ac:dyDescent="0.2">
      <c r="C465" s="5">
        <v>45029</v>
      </c>
      <c r="D465" s="6">
        <v>1.00014</v>
      </c>
      <c r="E465" s="6">
        <v>30411.94</v>
      </c>
      <c r="F465" s="6">
        <v>30395.5</v>
      </c>
      <c r="G465" s="6">
        <v>30532.12</v>
      </c>
      <c r="H465" s="6">
        <v>30399.599999999999</v>
      </c>
      <c r="I465" s="5">
        <v>45029</v>
      </c>
      <c r="J465" s="7">
        <f t="shared" si="44"/>
        <v>-4.0576168439106962E-4</v>
      </c>
      <c r="K465" s="5">
        <v>45029</v>
      </c>
      <c r="L465" s="8">
        <f t="shared" si="42"/>
        <v>4.4947442878057273E-3</v>
      </c>
      <c r="M465" s="5">
        <v>45029</v>
      </c>
      <c r="N465" s="9">
        <f t="shared" si="43"/>
        <v>4.0889826034146573E-3</v>
      </c>
      <c r="O465" s="5">
        <v>45029</v>
      </c>
      <c r="P465">
        <f t="shared" si="45"/>
        <v>0.9956596528508338</v>
      </c>
      <c r="Q465" s="6">
        <f t="shared" si="46"/>
        <v>0.99986001959725634</v>
      </c>
      <c r="R465">
        <f t="shared" si="47"/>
        <v>-4.2098035993457187E-3</v>
      </c>
      <c r="T465" s="5">
        <v>45029</v>
      </c>
      <c r="U465" s="1">
        <v>-4.2098035993457187E-3</v>
      </c>
    </row>
    <row r="466" spans="3:21" x14ac:dyDescent="0.2">
      <c r="C466" s="5">
        <v>45030</v>
      </c>
      <c r="D466" s="6">
        <v>1.0000899999999999</v>
      </c>
      <c r="E466" s="6">
        <v>30488.240000000002</v>
      </c>
      <c r="F466" s="6">
        <v>30464.5</v>
      </c>
      <c r="G466" s="6">
        <v>30546.75</v>
      </c>
      <c r="H466" s="6">
        <v>30468.6</v>
      </c>
      <c r="I466" s="5">
        <v>45030</v>
      </c>
      <c r="J466" s="7">
        <f t="shared" si="44"/>
        <v>-6.4418280622308979E-4</v>
      </c>
      <c r="K466" s="5">
        <v>45030</v>
      </c>
      <c r="L466" s="8">
        <f t="shared" si="42"/>
        <v>2.6998637758702754E-3</v>
      </c>
      <c r="M466" s="5">
        <v>45030</v>
      </c>
      <c r="N466" s="9">
        <f t="shared" si="43"/>
        <v>2.0556809696471857E-3</v>
      </c>
      <c r="O466" s="5">
        <v>45030</v>
      </c>
      <c r="P466">
        <f t="shared" si="45"/>
        <v>0.99744162635959621</v>
      </c>
      <c r="Q466" s="6">
        <f t="shared" si="46"/>
        <v>0.99991000809927111</v>
      </c>
      <c r="R466">
        <f t="shared" si="47"/>
        <v>-2.4716559204885288E-3</v>
      </c>
      <c r="T466" s="5">
        <v>45030</v>
      </c>
      <c r="U466" s="1">
        <v>-2.4716559204885288E-3</v>
      </c>
    </row>
    <row r="467" spans="3:21" x14ac:dyDescent="0.2">
      <c r="C467" s="5">
        <v>45031</v>
      </c>
      <c r="D467" s="6">
        <v>1.00007</v>
      </c>
      <c r="E467" s="6">
        <v>30320.45</v>
      </c>
      <c r="F467" s="6">
        <v>30321.5</v>
      </c>
      <c r="G467" s="6">
        <v>30418.21</v>
      </c>
      <c r="H467" s="6">
        <v>30314</v>
      </c>
      <c r="I467" s="5">
        <v>45031</v>
      </c>
      <c r="J467" s="7">
        <f t="shared" si="44"/>
        <v>-2.1272771347393351E-4</v>
      </c>
      <c r="K467" s="5">
        <v>45031</v>
      </c>
      <c r="L467" s="8">
        <f t="shared" si="42"/>
        <v>3.1894860082779257E-3</v>
      </c>
      <c r="M467" s="5">
        <v>45031</v>
      </c>
      <c r="N467" s="9">
        <f t="shared" si="43"/>
        <v>2.9767582948039923E-3</v>
      </c>
      <c r="O467" s="5">
        <v>45031</v>
      </c>
      <c r="P467">
        <f t="shared" si="45"/>
        <v>0.99657409163787092</v>
      </c>
      <c r="Q467" s="6">
        <f t="shared" si="46"/>
        <v>0.999930004899657</v>
      </c>
      <c r="R467">
        <f t="shared" si="47"/>
        <v>-3.3617926737226481E-3</v>
      </c>
      <c r="T467" s="5">
        <v>45031</v>
      </c>
      <c r="U467" s="1">
        <v>-3.3617926737226481E-3</v>
      </c>
    </row>
    <row r="468" spans="3:21" x14ac:dyDescent="0.2">
      <c r="C468" s="5">
        <v>45032</v>
      </c>
      <c r="D468" s="6">
        <v>1.00003</v>
      </c>
      <c r="E468" s="6">
        <v>30326.58</v>
      </c>
      <c r="F468" s="6">
        <v>30313.5</v>
      </c>
      <c r="G468" s="6">
        <v>30437.97</v>
      </c>
      <c r="H468" s="6">
        <v>30307.8</v>
      </c>
      <c r="I468" s="5">
        <v>45032</v>
      </c>
      <c r="J468" s="7">
        <f t="shared" si="44"/>
        <v>-6.1925874925568508E-4</v>
      </c>
      <c r="K468" s="5">
        <v>45032</v>
      </c>
      <c r="L468" s="8">
        <f t="shared" si="42"/>
        <v>4.1060913454401887E-3</v>
      </c>
      <c r="M468" s="5">
        <v>45032</v>
      </c>
      <c r="N468" s="9">
        <f t="shared" si="43"/>
        <v>3.4868325961845037E-3</v>
      </c>
      <c r="O468" s="5">
        <v>45032</v>
      </c>
      <c r="P468">
        <f t="shared" si="45"/>
        <v>0.9957234335929761</v>
      </c>
      <c r="Q468" s="6">
        <f t="shared" si="46"/>
        <v>0.99997000089997301</v>
      </c>
      <c r="R468">
        <f t="shared" si="47"/>
        <v>-4.2557375224440584E-3</v>
      </c>
      <c r="T468" s="5">
        <v>45032</v>
      </c>
      <c r="U468" s="1">
        <v>-4.2557375224440584E-3</v>
      </c>
    </row>
    <row r="469" spans="3:21" x14ac:dyDescent="0.2">
      <c r="C469" s="5">
        <v>45033</v>
      </c>
      <c r="D469" s="6">
        <v>0.99994000000000005</v>
      </c>
      <c r="E469" s="6">
        <v>29450.54</v>
      </c>
      <c r="F469" s="6">
        <v>29430</v>
      </c>
      <c r="G469" s="6">
        <v>29501.78</v>
      </c>
      <c r="H469" s="6">
        <v>29448.5</v>
      </c>
      <c r="I469" s="5">
        <v>45033</v>
      </c>
      <c r="J469" s="7">
        <f t="shared" si="44"/>
        <v>-6.9268678944456471E-5</v>
      </c>
      <c r="K469" s="5">
        <v>45033</v>
      </c>
      <c r="L469" s="8">
        <f t="shared" si="42"/>
        <v>2.4390078151545645E-3</v>
      </c>
      <c r="M469" s="5">
        <v>45033</v>
      </c>
      <c r="N469" s="9">
        <f t="shared" si="43"/>
        <v>2.3697391362101079E-3</v>
      </c>
      <c r="O469" s="5">
        <v>45033</v>
      </c>
      <c r="P469">
        <f t="shared" si="45"/>
        <v>0.99819400727684904</v>
      </c>
      <c r="Q469" s="6">
        <f t="shared" si="46"/>
        <v>1.0000600036002159</v>
      </c>
      <c r="R469">
        <f t="shared" si="47"/>
        <v>-1.8676272942253062E-3</v>
      </c>
      <c r="T469" s="5">
        <v>45033</v>
      </c>
      <c r="U469" s="1">
        <v>-1.8676272942253062E-3</v>
      </c>
    </row>
    <row r="470" spans="3:21" x14ac:dyDescent="0.2">
      <c r="C470" s="5">
        <v>45034</v>
      </c>
      <c r="D470" s="6">
        <v>1</v>
      </c>
      <c r="E470" s="6">
        <v>30390.86</v>
      </c>
      <c r="F470" s="6">
        <v>30387</v>
      </c>
      <c r="G470" s="6">
        <v>30481.32</v>
      </c>
      <c r="H470" s="6">
        <v>30372.9</v>
      </c>
      <c r="I470" s="5">
        <v>45034</v>
      </c>
      <c r="J470" s="7">
        <f t="shared" si="44"/>
        <v>-5.9096715262414842E-4</v>
      </c>
      <c r="K470" s="5">
        <v>45034</v>
      </c>
      <c r="L470" s="8">
        <f t="shared" si="42"/>
        <v>3.1039589298054995E-3</v>
      </c>
      <c r="M470" s="5">
        <v>45034</v>
      </c>
      <c r="N470" s="9">
        <f t="shared" si="43"/>
        <v>2.512991777181351E-3</v>
      </c>
      <c r="O470" s="5">
        <v>45034</v>
      </c>
      <c r="P470">
        <f t="shared" si="45"/>
        <v>0.99644306742621391</v>
      </c>
      <c r="Q470" s="6">
        <f t="shared" si="46"/>
        <v>1</v>
      </c>
      <c r="R470">
        <f t="shared" si="47"/>
        <v>-3.5632734990811627E-3</v>
      </c>
      <c r="T470" s="5">
        <v>45034</v>
      </c>
      <c r="U470" s="1">
        <v>-3.5632734990811627E-3</v>
      </c>
    </row>
    <row r="471" spans="3:21" x14ac:dyDescent="0.2">
      <c r="C471" s="5">
        <v>45035</v>
      </c>
      <c r="D471" s="6">
        <v>1.00013</v>
      </c>
      <c r="E471" s="6">
        <v>28818.61</v>
      </c>
      <c r="F471" s="6">
        <v>28801.5</v>
      </c>
      <c r="G471" s="6">
        <v>28924.959999999999</v>
      </c>
      <c r="H471" s="6">
        <v>28819.200000000001</v>
      </c>
      <c r="I471" s="5">
        <v>45035</v>
      </c>
      <c r="J471" s="7">
        <f t="shared" si="44"/>
        <v>2.0472881932894942E-5</v>
      </c>
      <c r="K471" s="5">
        <v>45035</v>
      </c>
      <c r="L471" s="8">
        <f t="shared" si="42"/>
        <v>4.2865822960609385E-3</v>
      </c>
      <c r="M471" s="5">
        <v>45035</v>
      </c>
      <c r="N471" s="9">
        <f t="shared" si="43"/>
        <v>4.3070551779938338E-3</v>
      </c>
      <c r="O471" s="5">
        <v>45035</v>
      </c>
      <c r="P471">
        <f t="shared" si="45"/>
        <v>0.99634364230754346</v>
      </c>
      <c r="Q471" s="6">
        <f t="shared" si="46"/>
        <v>0.9998700168978033</v>
      </c>
      <c r="R471">
        <f t="shared" si="47"/>
        <v>-3.5330669562148925E-3</v>
      </c>
      <c r="T471" s="5">
        <v>45035</v>
      </c>
      <c r="U471" s="1">
        <v>-3.5330669562148925E-3</v>
      </c>
    </row>
    <row r="472" spans="3:21" x14ac:dyDescent="0.2">
      <c r="C472" s="5">
        <v>45036</v>
      </c>
      <c r="D472" s="6">
        <v>0.99992000000000003</v>
      </c>
      <c r="E472" s="6">
        <v>28247.69</v>
      </c>
      <c r="F472" s="6">
        <v>28248</v>
      </c>
      <c r="G472" s="6">
        <v>28337.47</v>
      </c>
      <c r="H472" s="6">
        <v>28237.4</v>
      </c>
      <c r="I472" s="5">
        <v>45036</v>
      </c>
      <c r="J472" s="7">
        <f t="shared" si="44"/>
        <v>-3.6427757455555605E-4</v>
      </c>
      <c r="K472" s="5">
        <v>45036</v>
      </c>
      <c r="L472" s="8">
        <f t="shared" si="42"/>
        <v>3.1673038799207437E-3</v>
      </c>
      <c r="M472" s="5">
        <v>45036</v>
      </c>
      <c r="N472" s="9">
        <f t="shared" si="43"/>
        <v>2.8030263053651877E-3</v>
      </c>
      <c r="O472" s="5">
        <v>45036</v>
      </c>
      <c r="P472">
        <f t="shared" si="45"/>
        <v>0.99646863322660773</v>
      </c>
      <c r="Q472" s="6">
        <f t="shared" si="46"/>
        <v>1.000080006400512</v>
      </c>
      <c r="R472">
        <f t="shared" si="47"/>
        <v>-3.6176199675592921E-3</v>
      </c>
      <c r="T472" s="5">
        <v>45036</v>
      </c>
      <c r="U472" s="1">
        <v>-3.6176199675592921E-3</v>
      </c>
    </row>
    <row r="473" spans="3:21" x14ac:dyDescent="0.2">
      <c r="C473" s="5">
        <v>45037</v>
      </c>
      <c r="D473" s="6">
        <v>0.99980999999999998</v>
      </c>
      <c r="E473" s="6">
        <v>27255.08</v>
      </c>
      <c r="F473" s="6">
        <v>27249</v>
      </c>
      <c r="G473" s="6">
        <v>27362.38</v>
      </c>
      <c r="H473" s="6">
        <v>27252.9</v>
      </c>
      <c r="I473" s="5">
        <v>45037</v>
      </c>
      <c r="J473" s="7">
        <f t="shared" si="44"/>
        <v>-7.9985089018278088E-5</v>
      </c>
      <c r="K473" s="5">
        <v>45037</v>
      </c>
      <c r="L473" s="8">
        <f t="shared" si="42"/>
        <v>4.1608866380418007E-3</v>
      </c>
      <c r="M473" s="5">
        <v>45037</v>
      </c>
      <c r="N473" s="9">
        <f t="shared" si="43"/>
        <v>4.0809015490235225E-3</v>
      </c>
      <c r="O473" s="5">
        <v>45037</v>
      </c>
      <c r="P473">
        <f t="shared" si="45"/>
        <v>0.99599888606181186</v>
      </c>
      <c r="Q473" s="6">
        <f t="shared" si="46"/>
        <v>1.0001900361068603</v>
      </c>
      <c r="R473">
        <f t="shared" si="47"/>
        <v>-4.1991578622863623E-3</v>
      </c>
      <c r="T473" s="5">
        <v>45037</v>
      </c>
      <c r="U473" s="1">
        <v>-4.1991578622863623E-3</v>
      </c>
    </row>
    <row r="474" spans="3:21" x14ac:dyDescent="0.2">
      <c r="C474" s="5">
        <v>45038</v>
      </c>
      <c r="D474" s="6">
        <v>1.0000100000000001</v>
      </c>
      <c r="E474" s="6">
        <v>27815.41</v>
      </c>
      <c r="F474" s="6">
        <v>27791.5</v>
      </c>
      <c r="G474" s="6">
        <v>27889.15</v>
      </c>
      <c r="H474" s="6">
        <v>27792.2</v>
      </c>
      <c r="I474" s="5">
        <v>45038</v>
      </c>
      <c r="J474" s="7">
        <f t="shared" si="44"/>
        <v>-8.3442954822521493E-4</v>
      </c>
      <c r="K474" s="5">
        <v>45038</v>
      </c>
      <c r="L474" s="8">
        <f t="shared" si="42"/>
        <v>3.5136642498606215E-3</v>
      </c>
      <c r="M474" s="5">
        <v>45038</v>
      </c>
      <c r="N474" s="9">
        <f t="shared" si="43"/>
        <v>2.6792347016354064E-3</v>
      </c>
      <c r="O474" s="5">
        <v>45038</v>
      </c>
      <c r="P474">
        <f t="shared" si="45"/>
        <v>0.99652373772596148</v>
      </c>
      <c r="Q474" s="6">
        <f t="shared" si="46"/>
        <v>0.99999000009999894</v>
      </c>
      <c r="R474">
        <f t="shared" si="47"/>
        <v>-3.4723185631943604E-3</v>
      </c>
      <c r="T474" s="5">
        <v>45038</v>
      </c>
      <c r="U474" s="1">
        <v>-3.4723185631943604E-3</v>
      </c>
    </row>
    <row r="475" spans="3:21" x14ac:dyDescent="0.2">
      <c r="C475" s="5">
        <v>45039</v>
      </c>
      <c r="D475" s="6">
        <v>1.0001100000000001</v>
      </c>
      <c r="E475" s="6">
        <v>27595.1</v>
      </c>
      <c r="F475" s="6">
        <v>27573</v>
      </c>
      <c r="G475" s="6">
        <v>27682.42</v>
      </c>
      <c r="H475" s="6">
        <v>27573.599999999999</v>
      </c>
      <c r="I475" s="5">
        <v>45039</v>
      </c>
      <c r="J475" s="7">
        <f t="shared" si="44"/>
        <v>-7.7912382995531818E-4</v>
      </c>
      <c r="K475" s="5">
        <v>45039</v>
      </c>
      <c r="L475" s="8">
        <f t="shared" si="42"/>
        <v>3.9683748594639048E-3</v>
      </c>
      <c r="M475" s="5">
        <v>45039</v>
      </c>
      <c r="N475" s="9">
        <f t="shared" si="43"/>
        <v>3.1892510295085867E-3</v>
      </c>
      <c r="O475" s="5">
        <v>45039</v>
      </c>
      <c r="P475">
        <f t="shared" si="45"/>
        <v>0.99606898529825072</v>
      </c>
      <c r="Q475" s="6">
        <f t="shared" si="46"/>
        <v>0.99989001209866912</v>
      </c>
      <c r="R475">
        <f t="shared" si="47"/>
        <v>-3.8287674979794852E-3</v>
      </c>
      <c r="T475" s="5">
        <v>45039</v>
      </c>
      <c r="U475" s="1">
        <v>-3.8287674979794852E-3</v>
      </c>
    </row>
    <row r="476" spans="3:21" x14ac:dyDescent="0.2">
      <c r="C476" s="5">
        <v>45040</v>
      </c>
      <c r="D476" s="6">
        <v>0.99980999999999998</v>
      </c>
      <c r="E476" s="6">
        <v>27514.84</v>
      </c>
      <c r="F476" s="6">
        <v>27495</v>
      </c>
      <c r="G476" s="6">
        <v>27614.66</v>
      </c>
      <c r="H476" s="6">
        <v>27495.599999999999</v>
      </c>
      <c r="I476" s="5">
        <v>45040</v>
      </c>
      <c r="J476" s="7">
        <f t="shared" si="44"/>
        <v>-6.9925901804268533E-4</v>
      </c>
      <c r="K476" s="5">
        <v>45040</v>
      </c>
      <c r="L476" s="8">
        <f t="shared" si="42"/>
        <v>4.3520640116384741E-3</v>
      </c>
      <c r="M476" s="5">
        <v>45040</v>
      </c>
      <c r="N476" s="9">
        <f t="shared" si="43"/>
        <v>3.6528049935957889E-3</v>
      </c>
      <c r="O476" s="5">
        <v>45040</v>
      </c>
      <c r="P476">
        <f t="shared" si="45"/>
        <v>0.99568852196623092</v>
      </c>
      <c r="Q476" s="6">
        <f t="shared" si="46"/>
        <v>1.0001900361068603</v>
      </c>
      <c r="R476">
        <f t="shared" si="47"/>
        <v>-4.5108173092881119E-3</v>
      </c>
      <c r="T476" s="5">
        <v>45040</v>
      </c>
      <c r="U476" s="1">
        <v>-4.5108173092881119E-3</v>
      </c>
    </row>
    <row r="477" spans="3:21" x14ac:dyDescent="0.2">
      <c r="C477" s="5">
        <v>45041</v>
      </c>
      <c r="D477" s="6">
        <v>0.99990000000000001</v>
      </c>
      <c r="E477" s="6">
        <v>28301.74</v>
      </c>
      <c r="F477" s="6">
        <v>28279</v>
      </c>
      <c r="G477" s="6">
        <v>28377.86</v>
      </c>
      <c r="H477" s="6">
        <v>28284.400000000001</v>
      </c>
      <c r="I477" s="5">
        <v>45041</v>
      </c>
      <c r="J477" s="7">
        <f t="shared" si="44"/>
        <v>-6.1268317778342051E-4</v>
      </c>
      <c r="K477" s="5">
        <v>45041</v>
      </c>
      <c r="L477" s="8">
        <f t="shared" si="42"/>
        <v>3.4958803352311109E-3</v>
      </c>
      <c r="M477" s="5">
        <v>45041</v>
      </c>
      <c r="N477" s="9">
        <f t="shared" si="43"/>
        <v>2.8831971574476904E-3</v>
      </c>
      <c r="O477" s="5">
        <v>45041</v>
      </c>
      <c r="P477">
        <f t="shared" si="45"/>
        <v>0.99670658745937857</v>
      </c>
      <c r="Q477" s="6">
        <f t="shared" si="46"/>
        <v>1.000100010001</v>
      </c>
      <c r="R477">
        <f t="shared" si="47"/>
        <v>-3.398852760931425E-3</v>
      </c>
      <c r="T477" s="5">
        <v>45041</v>
      </c>
      <c r="U477" s="1">
        <v>-3.398852760931425E-3</v>
      </c>
    </row>
    <row r="478" spans="3:21" x14ac:dyDescent="0.2">
      <c r="C478" s="5">
        <v>45042</v>
      </c>
      <c r="D478" s="6">
        <v>1.0000100000000001</v>
      </c>
      <c r="E478" s="6">
        <v>28427.54</v>
      </c>
      <c r="F478" s="6">
        <v>28418.5</v>
      </c>
      <c r="G478" s="6">
        <v>28504.84</v>
      </c>
      <c r="H478" s="6">
        <v>28446.7</v>
      </c>
      <c r="I478" s="5">
        <v>45042</v>
      </c>
      <c r="J478" s="7">
        <f t="shared" si="44"/>
        <v>6.7399430270786195E-4</v>
      </c>
      <c r="K478" s="5">
        <v>45042</v>
      </c>
      <c r="L478" s="8">
        <f t="shared" si="42"/>
        <v>3.03816176082482E-3</v>
      </c>
      <c r="M478" s="5">
        <v>45042</v>
      </c>
      <c r="N478" s="9">
        <f t="shared" si="43"/>
        <v>3.712156063532682E-3</v>
      </c>
      <c r="O478" s="5">
        <v>45042</v>
      </c>
      <c r="P478">
        <f t="shared" si="45"/>
        <v>0.99796034638328102</v>
      </c>
      <c r="Q478" s="6">
        <f t="shared" si="46"/>
        <v>0.99999000009999894</v>
      </c>
      <c r="R478">
        <f t="shared" si="47"/>
        <v>-2.0317365929372385E-3</v>
      </c>
      <c r="T478" s="5">
        <v>45042</v>
      </c>
      <c r="U478" s="1">
        <v>-2.0317365929372385E-3</v>
      </c>
    </row>
    <row r="479" spans="3:21" x14ac:dyDescent="0.2">
      <c r="C479" s="5">
        <v>45043</v>
      </c>
      <c r="D479" s="6">
        <v>0.99999000000000005</v>
      </c>
      <c r="E479" s="6">
        <v>29482.35</v>
      </c>
      <c r="F479" s="6">
        <v>29473.5</v>
      </c>
      <c r="G479" s="6">
        <v>29537.32</v>
      </c>
      <c r="H479" s="6">
        <v>29478.2</v>
      </c>
      <c r="I479" s="5">
        <v>45043</v>
      </c>
      <c r="J479" s="7">
        <f t="shared" si="44"/>
        <v>-1.4076218483254616E-4</v>
      </c>
      <c r="K479" s="5">
        <v>45043</v>
      </c>
      <c r="L479" s="8">
        <f t="shared" si="42"/>
        <v>2.1653349619149306E-3</v>
      </c>
      <c r="M479" s="5">
        <v>45043</v>
      </c>
      <c r="N479" s="9">
        <f t="shared" si="43"/>
        <v>2.0245727770823846E-3</v>
      </c>
      <c r="O479" s="5">
        <v>45043</v>
      </c>
      <c r="P479">
        <f t="shared" si="45"/>
        <v>0.99799846431565231</v>
      </c>
      <c r="Q479" s="6">
        <f t="shared" si="46"/>
        <v>1.000010000100001</v>
      </c>
      <c r="R479">
        <f t="shared" si="47"/>
        <v>-2.0135414837287187E-3</v>
      </c>
      <c r="T479" s="5">
        <v>45043</v>
      </c>
      <c r="U479" s="1">
        <v>-2.0135414837287187E-3</v>
      </c>
    </row>
    <row r="480" spans="3:21" x14ac:dyDescent="0.2">
      <c r="C480" s="5">
        <v>45044</v>
      </c>
      <c r="D480" s="6">
        <v>1</v>
      </c>
      <c r="E480" s="6">
        <v>29338.880000000001</v>
      </c>
      <c r="F480" s="6">
        <v>29319</v>
      </c>
      <c r="G480" s="6">
        <v>29358.87</v>
      </c>
      <c r="H480" s="6">
        <v>29331.4</v>
      </c>
      <c r="I480" s="5">
        <v>45044</v>
      </c>
      <c r="J480" s="7">
        <f t="shared" si="44"/>
        <v>-2.5495179093406304E-4</v>
      </c>
      <c r="K480" s="5">
        <v>45044</v>
      </c>
      <c r="L480" s="8">
        <f t="shared" si="42"/>
        <v>1.3598690269108421E-3</v>
      </c>
      <c r="M480" s="5">
        <v>45044</v>
      </c>
      <c r="N480" s="9">
        <f t="shared" si="43"/>
        <v>1.1049172359767791E-3</v>
      </c>
      <c r="O480" s="5">
        <v>45044</v>
      </c>
      <c r="P480">
        <f t="shared" si="45"/>
        <v>0.99906433728546107</v>
      </c>
      <c r="Q480" s="6">
        <f t="shared" si="46"/>
        <v>1</v>
      </c>
      <c r="R480">
        <f t="shared" si="47"/>
        <v>-9.3610072013493816E-4</v>
      </c>
      <c r="T480" s="5">
        <v>45044</v>
      </c>
      <c r="U480" s="1">
        <v>-9.3610072013493816E-4</v>
      </c>
    </row>
    <row r="481" spans="3:21" x14ac:dyDescent="0.2">
      <c r="C481" s="5">
        <v>45045</v>
      </c>
      <c r="D481" s="6">
        <v>1.0000599999999999</v>
      </c>
      <c r="E481" s="6">
        <v>29240.17</v>
      </c>
      <c r="F481" s="6">
        <v>29232.5</v>
      </c>
      <c r="G481" s="6">
        <v>29206.33</v>
      </c>
      <c r="H481" s="6">
        <v>29242</v>
      </c>
      <c r="I481" s="5">
        <v>45045</v>
      </c>
      <c r="J481" s="7">
        <f t="shared" si="44"/>
        <v>6.2585135448998627E-5</v>
      </c>
      <c r="K481" s="5">
        <v>45045</v>
      </c>
      <c r="L481" s="8">
        <f t="shared" si="42"/>
        <v>-8.9523646626180639E-4</v>
      </c>
      <c r="M481" s="5">
        <v>45045</v>
      </c>
      <c r="N481" s="9">
        <f t="shared" si="43"/>
        <v>-8.3265133081280771E-4</v>
      </c>
      <c r="O481" s="5">
        <v>45045</v>
      </c>
      <c r="P481">
        <f t="shared" si="45"/>
        <v>1.001221310585753</v>
      </c>
      <c r="Q481" s="6">
        <f t="shared" si="46"/>
        <v>0.99994000359978408</v>
      </c>
      <c r="R481">
        <f t="shared" si="47"/>
        <v>1.2805635927313212E-3</v>
      </c>
      <c r="T481" s="5">
        <v>45045</v>
      </c>
      <c r="U481" s="1">
        <v>1.2805635927313212E-3</v>
      </c>
    </row>
    <row r="482" spans="3:21" x14ac:dyDescent="0.2">
      <c r="C482" s="5">
        <v>45046</v>
      </c>
      <c r="D482" s="6">
        <v>1</v>
      </c>
      <c r="E482" s="6">
        <v>29253.06</v>
      </c>
      <c r="F482" s="6">
        <v>29237</v>
      </c>
      <c r="G482" s="6">
        <v>29302.15</v>
      </c>
      <c r="H482" s="6">
        <v>29236.400000000001</v>
      </c>
      <c r="I482" s="5">
        <v>45046</v>
      </c>
      <c r="J482" s="7">
        <f t="shared" si="44"/>
        <v>-5.695130697438098E-4</v>
      </c>
      <c r="K482" s="5">
        <v>45046</v>
      </c>
      <c r="L482" s="8">
        <f t="shared" si="42"/>
        <v>2.2283408010398283E-3</v>
      </c>
      <c r="M482" s="5">
        <v>45046</v>
      </c>
      <c r="N482" s="9">
        <f t="shared" si="43"/>
        <v>1.6588277312960184E-3</v>
      </c>
      <c r="O482" s="5">
        <v>45046</v>
      </c>
      <c r="P482">
        <f t="shared" si="45"/>
        <v>0.99775613734828339</v>
      </c>
      <c r="Q482" s="6">
        <f t="shared" si="46"/>
        <v>1</v>
      </c>
      <c r="R482">
        <f t="shared" si="47"/>
        <v>-2.2463838837548447E-3</v>
      </c>
      <c r="T482" s="5">
        <v>45046</v>
      </c>
      <c r="U482" s="1">
        <v>-2.2463838837548447E-3</v>
      </c>
    </row>
    <row r="483" spans="3:21" x14ac:dyDescent="0.2">
      <c r="C483" s="5">
        <v>45047</v>
      </c>
      <c r="D483" s="6">
        <v>0.99982000000000004</v>
      </c>
      <c r="E483" s="6">
        <v>28082.46</v>
      </c>
      <c r="F483" s="6">
        <v>28068</v>
      </c>
      <c r="G483" s="6">
        <v>28178.65</v>
      </c>
      <c r="H483" s="6">
        <v>28079.1</v>
      </c>
      <c r="I483" s="5">
        <v>45047</v>
      </c>
      <c r="J483" s="7">
        <f t="shared" si="44"/>
        <v>-1.1964763770697375E-4</v>
      </c>
      <c r="K483" s="5">
        <v>45047</v>
      </c>
      <c r="L483" s="8">
        <f t="shared" si="42"/>
        <v>3.9422117714123361E-3</v>
      </c>
      <c r="M483" s="5">
        <v>45047</v>
      </c>
      <c r="N483" s="9">
        <f t="shared" si="43"/>
        <v>3.8225641337053624E-3</v>
      </c>
      <c r="O483" s="5">
        <v>45047</v>
      </c>
      <c r="P483">
        <f t="shared" si="45"/>
        <v>0.99646718348820829</v>
      </c>
      <c r="Q483" s="6">
        <f t="shared" si="46"/>
        <v>1.000180032405833</v>
      </c>
      <c r="R483">
        <f t="shared" si="47"/>
        <v>-3.7190878464917407E-3</v>
      </c>
      <c r="T483" s="5">
        <v>45047</v>
      </c>
      <c r="U483" s="1">
        <v>-3.7190878464917407E-3</v>
      </c>
    </row>
    <row r="484" spans="3:21" x14ac:dyDescent="0.2">
      <c r="C484" s="5">
        <v>45048</v>
      </c>
      <c r="D484" s="6">
        <v>1.0001100000000001</v>
      </c>
      <c r="E484" s="6">
        <v>28680.76</v>
      </c>
      <c r="F484" s="6">
        <v>28665</v>
      </c>
      <c r="G484" s="6">
        <v>28771.82</v>
      </c>
      <c r="H484" s="6">
        <v>28674</v>
      </c>
      <c r="I484" s="5">
        <v>45048</v>
      </c>
      <c r="J484" s="7">
        <f t="shared" si="44"/>
        <v>-2.3569807773568064E-4</v>
      </c>
      <c r="K484" s="5">
        <v>45048</v>
      </c>
      <c r="L484" s="8">
        <f t="shared" si="42"/>
        <v>3.7264957264957163E-3</v>
      </c>
      <c r="M484" s="5">
        <v>45048</v>
      </c>
      <c r="N484" s="9">
        <f t="shared" si="43"/>
        <v>3.4907976487600356E-3</v>
      </c>
      <c r="O484" s="5">
        <v>45048</v>
      </c>
      <c r="P484">
        <f t="shared" si="45"/>
        <v>0.99660014555909215</v>
      </c>
      <c r="Q484" s="6">
        <f t="shared" si="46"/>
        <v>0.99989001209866912</v>
      </c>
      <c r="R484">
        <f t="shared" si="47"/>
        <v>-3.2956531287184282E-3</v>
      </c>
      <c r="T484" s="5">
        <v>45048</v>
      </c>
      <c r="U484" s="1">
        <v>-3.2956531287184282E-3</v>
      </c>
    </row>
    <row r="485" spans="3:21" x14ac:dyDescent="0.2">
      <c r="C485" s="5">
        <v>45049</v>
      </c>
      <c r="D485" s="6">
        <v>0.99992999999999999</v>
      </c>
      <c r="E485" s="6">
        <v>29041.45</v>
      </c>
      <c r="F485" s="6">
        <v>29036</v>
      </c>
      <c r="G485" s="6">
        <v>29097.18</v>
      </c>
      <c r="H485" s="6">
        <v>29025.5</v>
      </c>
      <c r="I485" s="5">
        <v>45049</v>
      </c>
      <c r="J485" s="7">
        <f t="shared" si="44"/>
        <v>-5.4921500131710802E-4</v>
      </c>
      <c r="K485" s="5">
        <v>45049</v>
      </c>
      <c r="L485" s="8">
        <f t="shared" si="42"/>
        <v>2.1070395371263358E-3</v>
      </c>
      <c r="M485" s="5">
        <v>45049</v>
      </c>
      <c r="N485" s="9">
        <f t="shared" si="43"/>
        <v>1.5578245358092279E-3</v>
      </c>
      <c r="O485" s="5">
        <v>45049</v>
      </c>
      <c r="P485">
        <f t="shared" si="45"/>
        <v>0.99753653103152962</v>
      </c>
      <c r="Q485" s="6">
        <f t="shared" si="46"/>
        <v>1.000070004900343</v>
      </c>
      <c r="R485">
        <f t="shared" si="47"/>
        <v>-2.5365107508238702E-3</v>
      </c>
      <c r="T485" s="5">
        <v>45049</v>
      </c>
      <c r="U485" s="1">
        <v>-2.5365107508238702E-3</v>
      </c>
    </row>
    <row r="486" spans="3:21" x14ac:dyDescent="0.2">
      <c r="C486" s="5">
        <v>45050</v>
      </c>
      <c r="D486" s="6">
        <v>0.99999000000000005</v>
      </c>
      <c r="E486" s="6">
        <v>28852.02</v>
      </c>
      <c r="F486" s="6">
        <v>28831</v>
      </c>
      <c r="G486" s="6">
        <v>28936.04</v>
      </c>
      <c r="H486" s="6">
        <v>28826.9</v>
      </c>
      <c r="I486" s="5">
        <v>45050</v>
      </c>
      <c r="J486" s="7">
        <f t="shared" si="44"/>
        <v>-8.7064961136166488E-4</v>
      </c>
      <c r="K486" s="5">
        <v>45050</v>
      </c>
      <c r="L486" s="8">
        <f t="shared" si="42"/>
        <v>3.6433006139225442E-3</v>
      </c>
      <c r="M486" s="5">
        <v>45050</v>
      </c>
      <c r="N486" s="9">
        <f t="shared" si="43"/>
        <v>2.7726510025608796E-3</v>
      </c>
      <c r="O486" s="5">
        <v>45050</v>
      </c>
      <c r="P486">
        <f t="shared" si="45"/>
        <v>0.99622823302704855</v>
      </c>
      <c r="Q486" s="6">
        <f t="shared" si="46"/>
        <v>1.000010000100001</v>
      </c>
      <c r="R486">
        <f t="shared" si="47"/>
        <v>-3.7888980727536045E-3</v>
      </c>
      <c r="T486" s="5">
        <v>45050</v>
      </c>
      <c r="U486" s="1">
        <v>-3.7888980727536045E-3</v>
      </c>
    </row>
    <row r="487" spans="3:21" x14ac:dyDescent="0.2">
      <c r="C487" s="5">
        <v>45051</v>
      </c>
      <c r="D487" s="6">
        <v>1.0001899999999999</v>
      </c>
      <c r="E487" s="6">
        <v>29540.81</v>
      </c>
      <c r="F487" s="6">
        <v>29519.5</v>
      </c>
      <c r="G487" s="6">
        <v>29482.57</v>
      </c>
      <c r="H487" s="6">
        <v>29507.3</v>
      </c>
      <c r="I487" s="5">
        <v>45051</v>
      </c>
      <c r="J487" s="7">
        <f t="shared" si="44"/>
        <v>-1.1343629372384183E-3</v>
      </c>
      <c r="K487" s="5">
        <v>45051</v>
      </c>
      <c r="L487" s="8">
        <f t="shared" si="42"/>
        <v>-1.2510374498213145E-3</v>
      </c>
      <c r="M487" s="5">
        <v>45051</v>
      </c>
      <c r="N487" s="9">
        <f t="shared" si="43"/>
        <v>-2.3854003870597325E-3</v>
      </c>
      <c r="O487" s="5">
        <v>45051</v>
      </c>
      <c r="P487">
        <f t="shared" si="45"/>
        <v>1.0008388006879998</v>
      </c>
      <c r="Q487" s="6">
        <f t="shared" si="46"/>
        <v>0.99981003609314234</v>
      </c>
      <c r="R487">
        <f t="shared" si="47"/>
        <v>1.0284310435880256E-3</v>
      </c>
      <c r="T487" s="5">
        <v>45051</v>
      </c>
      <c r="U487" s="1">
        <v>1.0284310435880256E-3</v>
      </c>
    </row>
    <row r="488" spans="3:21" x14ac:dyDescent="0.2">
      <c r="C488" s="5">
        <v>45052</v>
      </c>
      <c r="D488" s="6">
        <v>1.0000899999999999</v>
      </c>
      <c r="E488" s="6">
        <v>28899.03</v>
      </c>
      <c r="F488" s="6">
        <v>28897.5</v>
      </c>
      <c r="G488" s="6">
        <v>28798.55</v>
      </c>
      <c r="H488" s="6">
        <v>28902.2</v>
      </c>
      <c r="I488" s="5">
        <v>45052</v>
      </c>
      <c r="J488" s="7">
        <f t="shared" si="44"/>
        <v>1.0969226302757885E-4</v>
      </c>
      <c r="K488" s="5">
        <v>45052</v>
      </c>
      <c r="L488" s="8">
        <f t="shared" si="42"/>
        <v>-3.4241716411454529E-3</v>
      </c>
      <c r="M488" s="5">
        <v>45052</v>
      </c>
      <c r="N488" s="9">
        <f t="shared" si="43"/>
        <v>-3.3144793781178742E-3</v>
      </c>
      <c r="O488" s="5">
        <v>45052</v>
      </c>
      <c r="P488">
        <f t="shared" si="45"/>
        <v>1.0035991395400117</v>
      </c>
      <c r="Q488" s="6">
        <f t="shared" si="46"/>
        <v>0.99991000809927111</v>
      </c>
      <c r="R488">
        <f t="shared" si="47"/>
        <v>3.6826740865615599E-3</v>
      </c>
      <c r="T488" s="5">
        <v>45052</v>
      </c>
      <c r="U488" s="1">
        <v>3.6826740865615599E-3</v>
      </c>
    </row>
    <row r="489" spans="3:21" x14ac:dyDescent="0.2">
      <c r="C489" s="5">
        <v>45053</v>
      </c>
      <c r="D489" s="6">
        <v>1.0000599999999999</v>
      </c>
      <c r="E489" s="6">
        <v>28464.97</v>
      </c>
      <c r="F489" s="6">
        <v>28457.5</v>
      </c>
      <c r="G489" s="6">
        <v>28517.31</v>
      </c>
      <c r="H489" s="6">
        <v>28433</v>
      </c>
      <c r="I489" s="5">
        <v>45053</v>
      </c>
      <c r="J489" s="7">
        <f t="shared" si="44"/>
        <v>-1.1231348566325965E-3</v>
      </c>
      <c r="K489" s="5">
        <v>45053</v>
      </c>
      <c r="L489" s="8">
        <f t="shared" si="42"/>
        <v>2.101730650970792E-3</v>
      </c>
      <c r="M489" s="5">
        <v>45053</v>
      </c>
      <c r="N489" s="9">
        <f t="shared" si="43"/>
        <v>9.7859579433819555E-4</v>
      </c>
      <c r="O489" s="5">
        <v>45053</v>
      </c>
      <c r="P489">
        <f t="shared" si="45"/>
        <v>0.99704355004030887</v>
      </c>
      <c r="Q489" s="6">
        <f t="shared" si="46"/>
        <v>0.99994000359978408</v>
      </c>
      <c r="R489">
        <f t="shared" si="47"/>
        <v>-2.9008306906580443E-3</v>
      </c>
      <c r="T489" s="5">
        <v>45053</v>
      </c>
      <c r="U489" s="1">
        <v>-2.9008306906580443E-3</v>
      </c>
    </row>
    <row r="490" spans="3:21" x14ac:dyDescent="0.2">
      <c r="C490" s="5">
        <v>45054</v>
      </c>
      <c r="D490" s="6">
        <v>1</v>
      </c>
      <c r="E490" s="6">
        <v>27695.82</v>
      </c>
      <c r="F490" s="6">
        <v>27664</v>
      </c>
      <c r="G490" s="6">
        <v>27793.98</v>
      </c>
      <c r="H490" s="6">
        <v>27706.9</v>
      </c>
      <c r="I490" s="5">
        <v>45054</v>
      </c>
      <c r="J490" s="7">
        <f t="shared" si="44"/>
        <v>4.0006037012089719E-4</v>
      </c>
      <c r="K490" s="5">
        <v>45054</v>
      </c>
      <c r="L490" s="8">
        <f t="shared" si="42"/>
        <v>4.6985251590514589E-3</v>
      </c>
      <c r="M490" s="5">
        <v>45054</v>
      </c>
      <c r="N490" s="9">
        <f t="shared" si="43"/>
        <v>5.0985855291723562E-3</v>
      </c>
      <c r="O490" s="5">
        <v>45054</v>
      </c>
      <c r="P490">
        <f t="shared" si="45"/>
        <v>0.99686694744689319</v>
      </c>
      <c r="Q490" s="6">
        <f t="shared" si="46"/>
        <v>1</v>
      </c>
      <c r="R490">
        <f t="shared" si="47"/>
        <v>-3.1379708377732266E-3</v>
      </c>
      <c r="T490" s="5">
        <v>45054</v>
      </c>
      <c r="U490" s="1">
        <v>-3.1379708377732266E-3</v>
      </c>
    </row>
    <row r="491" spans="3:21" x14ac:dyDescent="0.2">
      <c r="C491" s="5">
        <v>45055</v>
      </c>
      <c r="D491" s="6">
        <v>1.0000199999999999</v>
      </c>
      <c r="E491" s="6">
        <v>27639.52</v>
      </c>
      <c r="F491" s="6">
        <v>27629</v>
      </c>
      <c r="G491" s="6">
        <v>27729.82</v>
      </c>
      <c r="H491" s="6">
        <v>27630.799999999999</v>
      </c>
      <c r="I491" s="5">
        <v>45055</v>
      </c>
      <c r="J491" s="7">
        <f t="shared" si="44"/>
        <v>-3.1549028347819223E-4</v>
      </c>
      <c r="K491" s="5">
        <v>45055</v>
      </c>
      <c r="L491" s="8">
        <f t="shared" si="42"/>
        <v>3.64906438886676E-3</v>
      </c>
      <c r="M491" s="5">
        <v>45055</v>
      </c>
      <c r="N491" s="9">
        <f t="shared" si="43"/>
        <v>3.3335741053885678E-3</v>
      </c>
      <c r="O491" s="5">
        <v>45055</v>
      </c>
      <c r="P491">
        <f t="shared" si="45"/>
        <v>0.99642911493835862</v>
      </c>
      <c r="Q491" s="6">
        <f t="shared" si="46"/>
        <v>0.99998000039999213</v>
      </c>
      <c r="R491">
        <f t="shared" si="47"/>
        <v>-3.5572760901792992E-3</v>
      </c>
      <c r="T491" s="5">
        <v>45055</v>
      </c>
      <c r="U491" s="1">
        <v>-3.5572760901792992E-3</v>
      </c>
    </row>
    <row r="492" spans="3:21" x14ac:dyDescent="0.2">
      <c r="C492" s="5">
        <v>45056</v>
      </c>
      <c r="D492" s="6">
        <v>1.00003</v>
      </c>
      <c r="E492" s="6">
        <v>27617.5</v>
      </c>
      <c r="F492" s="6">
        <v>27595.5</v>
      </c>
      <c r="G492" s="6">
        <v>27721.21</v>
      </c>
      <c r="H492" s="6">
        <v>27621.1</v>
      </c>
      <c r="I492" s="5">
        <v>45056</v>
      </c>
      <c r="J492" s="7">
        <f t="shared" si="44"/>
        <v>1.3035213180043613E-4</v>
      </c>
      <c r="K492" s="5">
        <v>45056</v>
      </c>
      <c r="L492" s="8">
        <f t="shared" si="42"/>
        <v>4.5554528818104083E-3</v>
      </c>
      <c r="M492" s="5">
        <v>45056</v>
      </c>
      <c r="N492" s="9">
        <f t="shared" si="43"/>
        <v>4.6858050136108446E-3</v>
      </c>
      <c r="O492" s="5">
        <v>45056</v>
      </c>
      <c r="P492">
        <f t="shared" si="45"/>
        <v>0.99638868577526019</v>
      </c>
      <c r="Q492" s="6">
        <f t="shared" si="46"/>
        <v>0.99997000089997301</v>
      </c>
      <c r="R492">
        <f t="shared" si="47"/>
        <v>-3.5878512116834286E-3</v>
      </c>
      <c r="T492" s="5">
        <v>45056</v>
      </c>
      <c r="U492" s="1">
        <v>-3.5878512116834286E-3</v>
      </c>
    </row>
    <row r="493" spans="3:21" x14ac:dyDescent="0.2">
      <c r="C493" s="5">
        <v>45057</v>
      </c>
      <c r="D493" s="6">
        <v>1.00004</v>
      </c>
      <c r="E493" s="6">
        <v>26986.26</v>
      </c>
      <c r="F493" s="6">
        <v>26975</v>
      </c>
      <c r="G493" s="6">
        <v>27059.67</v>
      </c>
      <c r="H493" s="6">
        <v>26988.1</v>
      </c>
      <c r="I493" s="5">
        <v>45057</v>
      </c>
      <c r="J493" s="7">
        <f t="shared" si="44"/>
        <v>6.8182845640712923E-5</v>
      </c>
      <c r="K493" s="5">
        <v>45057</v>
      </c>
      <c r="L493" s="8">
        <f t="shared" si="42"/>
        <v>3.1388322520851993E-3</v>
      </c>
      <c r="M493" s="5">
        <v>45057</v>
      </c>
      <c r="N493" s="9">
        <f t="shared" si="43"/>
        <v>3.2070150977259121E-3</v>
      </c>
      <c r="O493" s="5">
        <v>45057</v>
      </c>
      <c r="P493">
        <f t="shared" si="45"/>
        <v>0.99735510447836218</v>
      </c>
      <c r="Q493" s="6">
        <f t="shared" si="46"/>
        <v>0.99996000159993592</v>
      </c>
      <c r="R493">
        <f t="shared" si="47"/>
        <v>-2.6084002374677858E-3</v>
      </c>
      <c r="T493" s="5">
        <v>45057</v>
      </c>
      <c r="U493" s="1">
        <v>-2.6084002374677858E-3</v>
      </c>
    </row>
    <row r="494" spans="3:21" x14ac:dyDescent="0.2">
      <c r="C494" s="5">
        <v>45058</v>
      </c>
      <c r="D494" s="6">
        <v>1.0002200000000001</v>
      </c>
      <c r="E494" s="6">
        <v>26806.21</v>
      </c>
      <c r="F494" s="6">
        <v>26787.5</v>
      </c>
      <c r="G494" s="6">
        <v>26828.11</v>
      </c>
      <c r="H494" s="6">
        <v>26785.1</v>
      </c>
      <c r="I494" s="5">
        <v>45058</v>
      </c>
      <c r="J494" s="7">
        <f t="shared" si="44"/>
        <v>-7.875040895374834E-4</v>
      </c>
      <c r="K494" s="5">
        <v>45058</v>
      </c>
      <c r="L494" s="8">
        <f t="shared" si="42"/>
        <v>1.5160055996267133E-3</v>
      </c>
      <c r="M494" s="5">
        <v>45058</v>
      </c>
      <c r="N494" s="9">
        <f t="shared" si="43"/>
        <v>7.2850151008922986E-4</v>
      </c>
      <c r="O494" s="5">
        <v>45058</v>
      </c>
      <c r="P494">
        <f t="shared" si="45"/>
        <v>0.99839683078681263</v>
      </c>
      <c r="Q494" s="6">
        <f t="shared" si="46"/>
        <v>0.99978004838935419</v>
      </c>
      <c r="R494">
        <f t="shared" si="47"/>
        <v>-1.3844798605176789E-3</v>
      </c>
      <c r="T494" s="5">
        <v>45058</v>
      </c>
      <c r="U494" s="1">
        <v>-1.3844798605176789E-3</v>
      </c>
    </row>
    <row r="495" spans="3:21" x14ac:dyDescent="0.2">
      <c r="C495" s="5">
        <v>45059</v>
      </c>
      <c r="D495" s="6">
        <v>1.0000199999999999</v>
      </c>
      <c r="E495" s="6">
        <v>26786.49</v>
      </c>
      <c r="F495" s="6">
        <v>26770</v>
      </c>
      <c r="G495" s="6">
        <v>26907.75</v>
      </c>
      <c r="H495" s="6">
        <v>26782</v>
      </c>
      <c r="I495" s="5">
        <v>45059</v>
      </c>
      <c r="J495" s="7">
        <f t="shared" si="44"/>
        <v>-1.6762181233904107E-4</v>
      </c>
      <c r="K495" s="5">
        <v>45059</v>
      </c>
      <c r="L495" s="8">
        <f t="shared" si="42"/>
        <v>5.1456854688083677E-3</v>
      </c>
      <c r="M495" s="5">
        <v>45059</v>
      </c>
      <c r="N495" s="9">
        <f t="shared" si="43"/>
        <v>4.9780636564693264E-3</v>
      </c>
      <c r="O495" s="5">
        <v>45059</v>
      </c>
      <c r="P495">
        <f t="shared" si="45"/>
        <v>0.99532662522879101</v>
      </c>
      <c r="Q495" s="6">
        <f t="shared" si="46"/>
        <v>0.99998000039999213</v>
      </c>
      <c r="R495">
        <f t="shared" si="47"/>
        <v>-4.6643293296221066E-3</v>
      </c>
      <c r="T495" s="5">
        <v>45059</v>
      </c>
      <c r="U495" s="1">
        <v>-4.6643293296221066E-3</v>
      </c>
    </row>
    <row r="496" spans="3:21" x14ac:dyDescent="0.2">
      <c r="C496" s="5">
        <v>45060</v>
      </c>
      <c r="D496" s="6">
        <v>0.99999000000000005</v>
      </c>
      <c r="E496" s="6">
        <v>26929.13</v>
      </c>
      <c r="F496" s="6">
        <v>26909.5</v>
      </c>
      <c r="G496" s="6">
        <v>27016.46</v>
      </c>
      <c r="H496" s="6">
        <v>26906.799999999999</v>
      </c>
      <c r="I496" s="5">
        <v>45060</v>
      </c>
      <c r="J496" s="7">
        <f t="shared" si="44"/>
        <v>-8.2921356909791536E-4</v>
      </c>
      <c r="K496" s="5">
        <v>45060</v>
      </c>
      <c r="L496" s="8">
        <f t="shared" si="42"/>
        <v>3.974804437094674E-3</v>
      </c>
      <c r="M496" s="5">
        <v>45060</v>
      </c>
      <c r="N496" s="9">
        <f t="shared" si="43"/>
        <v>3.1455908679967589E-3</v>
      </c>
      <c r="O496" s="5">
        <v>45060</v>
      </c>
      <c r="P496">
        <f t="shared" si="45"/>
        <v>0.99594099300944683</v>
      </c>
      <c r="Q496" s="6">
        <f t="shared" si="46"/>
        <v>1.000010000100001</v>
      </c>
      <c r="R496">
        <f t="shared" si="47"/>
        <v>-4.0772671689510917E-3</v>
      </c>
      <c r="T496" s="5">
        <v>45060</v>
      </c>
      <c r="U496" s="1">
        <v>-4.0772671689510917E-3</v>
      </c>
    </row>
    <row r="497" spans="3:21" x14ac:dyDescent="0.2">
      <c r="C497" s="5">
        <v>45061</v>
      </c>
      <c r="D497" s="6">
        <v>1.00004</v>
      </c>
      <c r="E497" s="6">
        <v>27173.96</v>
      </c>
      <c r="F497" s="6">
        <v>27161.5</v>
      </c>
      <c r="G497" s="6">
        <v>27258.28</v>
      </c>
      <c r="H497" s="6">
        <v>27159.9</v>
      </c>
      <c r="I497" s="5">
        <v>45061</v>
      </c>
      <c r="J497" s="7">
        <f t="shared" si="44"/>
        <v>-5.1740710592043529E-4</v>
      </c>
      <c r="K497" s="5">
        <v>45061</v>
      </c>
      <c r="L497" s="8">
        <f t="shared" si="42"/>
        <v>3.5631316385324389E-3</v>
      </c>
      <c r="M497" s="5">
        <v>45061</v>
      </c>
      <c r="N497" s="9">
        <f t="shared" si="43"/>
        <v>3.0457245326120036E-3</v>
      </c>
      <c r="O497" s="5">
        <v>45061</v>
      </c>
      <c r="P497">
        <f t="shared" si="45"/>
        <v>0.99639082143113955</v>
      </c>
      <c r="Q497" s="6">
        <f t="shared" si="46"/>
        <v>0.99996000159993592</v>
      </c>
      <c r="R497">
        <f t="shared" si="47"/>
        <v>-3.5757081676108908E-3</v>
      </c>
      <c r="T497" s="5">
        <v>45061</v>
      </c>
      <c r="U497" s="1">
        <v>-3.5757081676108908E-3</v>
      </c>
    </row>
    <row r="498" spans="3:21" x14ac:dyDescent="0.2">
      <c r="C498" s="5">
        <v>45062</v>
      </c>
      <c r="D498" s="6">
        <v>1.0000199999999999</v>
      </c>
      <c r="E498" s="6">
        <v>27038.58</v>
      </c>
      <c r="F498" s="6">
        <v>27028.5</v>
      </c>
      <c r="G498" s="6">
        <v>27088.36</v>
      </c>
      <c r="H498" s="6">
        <v>27023.9</v>
      </c>
      <c r="I498" s="5">
        <v>45062</v>
      </c>
      <c r="J498" s="7">
        <f t="shared" si="44"/>
        <v>-5.4292792003131417E-4</v>
      </c>
      <c r="K498" s="5">
        <v>45062</v>
      </c>
      <c r="L498" s="8">
        <f t="shared" si="42"/>
        <v>2.214699298888232E-3</v>
      </c>
      <c r="M498" s="5">
        <v>45062</v>
      </c>
      <c r="N498" s="9">
        <f t="shared" si="43"/>
        <v>1.6717713788569179E-3</v>
      </c>
      <c r="O498" s="5">
        <v>45062</v>
      </c>
      <c r="P498">
        <f t="shared" si="45"/>
        <v>0.99762038011898835</v>
      </c>
      <c r="Q498" s="6">
        <f t="shared" si="46"/>
        <v>0.99998000039999213</v>
      </c>
      <c r="R498">
        <f t="shared" si="47"/>
        <v>-2.3624558760342545E-3</v>
      </c>
      <c r="T498" s="5">
        <v>45062</v>
      </c>
      <c r="U498" s="1">
        <v>-2.3624558760342545E-3</v>
      </c>
    </row>
    <row r="499" spans="3:21" x14ac:dyDescent="0.2">
      <c r="C499" s="5">
        <v>45063</v>
      </c>
      <c r="D499" s="6">
        <v>0.99995999999999996</v>
      </c>
      <c r="E499" s="6">
        <v>27406.41</v>
      </c>
      <c r="F499" s="6">
        <v>27384.5</v>
      </c>
      <c r="G499" s="6">
        <v>27462.71</v>
      </c>
      <c r="H499" s="6">
        <v>27385.3</v>
      </c>
      <c r="I499" s="5">
        <v>45063</v>
      </c>
      <c r="J499" s="7">
        <f t="shared" si="44"/>
        <v>-7.7025776086691331E-4</v>
      </c>
      <c r="K499" s="5">
        <v>45063</v>
      </c>
      <c r="L499" s="8">
        <f t="shared" si="42"/>
        <v>2.8559951797549389E-3</v>
      </c>
      <c r="M499" s="5">
        <v>45063</v>
      </c>
      <c r="N499" s="9">
        <f t="shared" si="43"/>
        <v>2.0857374188880257E-3</v>
      </c>
      <c r="O499" s="5">
        <v>45063</v>
      </c>
      <c r="P499">
        <f t="shared" si="45"/>
        <v>0.99718126870946089</v>
      </c>
      <c r="Q499" s="6">
        <f t="shared" si="46"/>
        <v>1.0000400016000641</v>
      </c>
      <c r="R499">
        <f t="shared" si="47"/>
        <v>-2.8627121945934077E-3</v>
      </c>
      <c r="T499" s="5">
        <v>45063</v>
      </c>
      <c r="U499" s="1">
        <v>-2.8627121945934077E-3</v>
      </c>
    </row>
    <row r="500" spans="3:21" x14ac:dyDescent="0.2">
      <c r="C500" s="5">
        <v>45064</v>
      </c>
      <c r="D500" s="6">
        <v>1</v>
      </c>
      <c r="E500" s="6">
        <v>26826.43</v>
      </c>
      <c r="F500" s="6">
        <v>26818</v>
      </c>
      <c r="G500" s="6">
        <v>26889.47</v>
      </c>
      <c r="H500" s="6">
        <v>26817.8</v>
      </c>
      <c r="I500" s="5">
        <v>45064</v>
      </c>
      <c r="J500" s="7">
        <f t="shared" si="44"/>
        <v>-3.2169766905253583E-4</v>
      </c>
      <c r="K500" s="5">
        <v>45064</v>
      </c>
      <c r="L500" s="8">
        <f t="shared" si="42"/>
        <v>2.6650011186516954E-3</v>
      </c>
      <c r="M500" s="5">
        <v>45064</v>
      </c>
      <c r="N500" s="9">
        <f t="shared" si="43"/>
        <v>2.3433034495991597E-3</v>
      </c>
      <c r="O500" s="5">
        <v>45064</v>
      </c>
      <c r="P500">
        <f t="shared" si="45"/>
        <v>0.9973346443793798</v>
      </c>
      <c r="Q500" s="6">
        <f t="shared" si="46"/>
        <v>1</v>
      </c>
      <c r="R500">
        <f t="shared" si="47"/>
        <v>-2.6689140052257266E-3</v>
      </c>
      <c r="T500" s="5">
        <v>45064</v>
      </c>
      <c r="U500" s="1">
        <v>-2.6689140052257266E-3</v>
      </c>
    </row>
    <row r="501" spans="3:21" x14ac:dyDescent="0.2">
      <c r="C501" s="5">
        <v>45065</v>
      </c>
      <c r="D501" s="6">
        <v>0.99990000000000001</v>
      </c>
      <c r="E501" s="6">
        <v>26890.36</v>
      </c>
      <c r="F501" s="6">
        <v>26870.5</v>
      </c>
      <c r="G501" s="6">
        <v>26948.81</v>
      </c>
      <c r="H501" s="6">
        <v>26860.400000000001</v>
      </c>
      <c r="I501" s="5">
        <v>45065</v>
      </c>
      <c r="J501" s="7">
        <f t="shared" si="44"/>
        <v>-1.1141539198433611E-3</v>
      </c>
      <c r="K501" s="5">
        <v>45065</v>
      </c>
      <c r="L501" s="8">
        <f t="shared" si="42"/>
        <v>2.9143484490426791E-3</v>
      </c>
      <c r="M501" s="5">
        <v>45065</v>
      </c>
      <c r="N501" s="9">
        <f t="shared" si="43"/>
        <v>1.800194529199318E-3</v>
      </c>
      <c r="O501" s="5">
        <v>45065</v>
      </c>
      <c r="P501">
        <f t="shared" si="45"/>
        <v>0.99671933565897708</v>
      </c>
      <c r="Q501" s="6">
        <f t="shared" si="46"/>
        <v>1.000100010001</v>
      </c>
      <c r="R501">
        <f t="shared" si="47"/>
        <v>-3.3860625193169532E-3</v>
      </c>
      <c r="T501" s="5">
        <v>45065</v>
      </c>
      <c r="U501" s="1">
        <v>-3.3860625193169532E-3</v>
      </c>
    </row>
    <row r="502" spans="3:21" x14ac:dyDescent="0.2">
      <c r="C502" s="5">
        <v>45066</v>
      </c>
      <c r="D502" s="6">
        <v>0.99995999999999996</v>
      </c>
      <c r="E502" s="6">
        <v>27113.51</v>
      </c>
      <c r="F502" s="6">
        <v>27103</v>
      </c>
      <c r="G502" s="6">
        <v>27144.58</v>
      </c>
      <c r="H502" s="6">
        <v>27112.400000000001</v>
      </c>
      <c r="I502" s="5">
        <v>45066</v>
      </c>
      <c r="J502" s="7">
        <f t="shared" si="44"/>
        <v>-4.093900052029207E-5</v>
      </c>
      <c r="K502" s="5">
        <v>45066</v>
      </c>
      <c r="L502" s="8">
        <f t="shared" si="42"/>
        <v>1.534147511345672E-3</v>
      </c>
      <c r="M502" s="5">
        <v>45066</v>
      </c>
      <c r="N502" s="9">
        <f t="shared" si="43"/>
        <v>1.49320851082538E-3</v>
      </c>
      <c r="O502" s="5">
        <v>45066</v>
      </c>
      <c r="P502">
        <f t="shared" si="45"/>
        <v>0.99881449630091901</v>
      </c>
      <c r="Q502" s="6">
        <f t="shared" si="46"/>
        <v>1.0000400016000641</v>
      </c>
      <c r="R502">
        <f t="shared" si="47"/>
        <v>-1.2262077644834292E-3</v>
      </c>
      <c r="T502" s="5">
        <v>45066</v>
      </c>
      <c r="U502" s="1">
        <v>-1.2262077644834292E-3</v>
      </c>
    </row>
    <row r="503" spans="3:21" x14ac:dyDescent="0.2">
      <c r="C503" s="5">
        <v>45067</v>
      </c>
      <c r="D503" s="6">
        <v>0.99995999999999996</v>
      </c>
      <c r="E503" s="6">
        <v>26751.99</v>
      </c>
      <c r="F503" s="6">
        <v>26749</v>
      </c>
      <c r="G503" s="6">
        <v>26808.26</v>
      </c>
      <c r="H503" s="6">
        <v>26722.1</v>
      </c>
      <c r="I503" s="5">
        <v>45067</v>
      </c>
      <c r="J503" s="7">
        <f t="shared" si="44"/>
        <v>-1.1173000587994782E-3</v>
      </c>
      <c r="K503" s="5">
        <v>45067</v>
      </c>
      <c r="L503" s="8">
        <f t="shared" si="42"/>
        <v>2.2154099218661782E-3</v>
      </c>
      <c r="M503" s="5">
        <v>45067</v>
      </c>
      <c r="N503" s="9">
        <f t="shared" si="43"/>
        <v>1.0981098630667E-3</v>
      </c>
      <c r="O503" s="5">
        <v>45067</v>
      </c>
      <c r="P503">
        <f t="shared" si="45"/>
        <v>0.99678606519035562</v>
      </c>
      <c r="Q503" s="6">
        <f t="shared" si="46"/>
        <v>1.0000400016000641</v>
      </c>
      <c r="R503">
        <f t="shared" si="47"/>
        <v>-3.259111390870342E-3</v>
      </c>
      <c r="T503" s="5">
        <v>45067</v>
      </c>
      <c r="U503" s="1">
        <v>-3.259111390870342E-3</v>
      </c>
    </row>
    <row r="504" spans="3:21" x14ac:dyDescent="0.2">
      <c r="C504" s="5">
        <v>45068</v>
      </c>
      <c r="D504" s="6">
        <v>1</v>
      </c>
      <c r="E504" s="6">
        <v>26858.18</v>
      </c>
      <c r="F504" s="6">
        <v>26846</v>
      </c>
      <c r="G504" s="6">
        <v>26896.26</v>
      </c>
      <c r="H504" s="6">
        <v>26834.3</v>
      </c>
      <c r="I504" s="5">
        <v>45068</v>
      </c>
      <c r="J504" s="7">
        <f t="shared" si="44"/>
        <v>-8.8911460121277833E-4</v>
      </c>
      <c r="K504" s="5">
        <v>45068</v>
      </c>
      <c r="L504" s="8">
        <f t="shared" si="42"/>
        <v>1.8721597258436415E-3</v>
      </c>
      <c r="M504" s="5">
        <v>45068</v>
      </c>
      <c r="N504" s="9">
        <f t="shared" si="43"/>
        <v>9.8304512463086302E-4</v>
      </c>
      <c r="O504" s="5">
        <v>45068</v>
      </c>
      <c r="P504">
        <f t="shared" si="45"/>
        <v>0.99769633398844304</v>
      </c>
      <c r="Q504" s="6">
        <f t="shared" si="46"/>
        <v>1</v>
      </c>
      <c r="R504">
        <f t="shared" si="47"/>
        <v>-2.3063235322478932E-3</v>
      </c>
      <c r="T504" s="5">
        <v>45068</v>
      </c>
      <c r="U504" s="1">
        <v>-2.3063235322478932E-3</v>
      </c>
    </row>
    <row r="505" spans="3:21" x14ac:dyDescent="0.2">
      <c r="C505" s="5">
        <v>45069</v>
      </c>
      <c r="D505" s="6">
        <v>0.99992999999999999</v>
      </c>
      <c r="E505" s="6">
        <v>27220.13</v>
      </c>
      <c r="F505" s="6">
        <v>27215</v>
      </c>
      <c r="G505" s="6">
        <v>27225.53</v>
      </c>
      <c r="H505" s="6">
        <v>27217.8</v>
      </c>
      <c r="I505" s="5">
        <v>45069</v>
      </c>
      <c r="J505" s="7">
        <f t="shared" si="44"/>
        <v>-8.5598415584412941E-5</v>
      </c>
      <c r="K505" s="5">
        <v>45069</v>
      </c>
      <c r="L505" s="8">
        <f t="shared" si="42"/>
        <v>3.8691897850445843E-4</v>
      </c>
      <c r="M505" s="5">
        <v>45069</v>
      </c>
      <c r="N505" s="9">
        <f t="shared" si="43"/>
        <v>3.0132056292004548E-4</v>
      </c>
      <c r="O505" s="5">
        <v>45069</v>
      </c>
      <c r="P505">
        <f t="shared" si="45"/>
        <v>0.99971607531607287</v>
      </c>
      <c r="Q505" s="6">
        <f t="shared" si="46"/>
        <v>1.000070004900343</v>
      </c>
      <c r="R505">
        <f t="shared" si="47"/>
        <v>-3.5396744828555154E-4</v>
      </c>
      <c r="T505" s="5">
        <v>45069</v>
      </c>
      <c r="U505" s="1">
        <v>-3.5396744828555154E-4</v>
      </c>
    </row>
    <row r="506" spans="3:21" x14ac:dyDescent="0.2">
      <c r="C506" s="5">
        <v>45070</v>
      </c>
      <c r="D506" s="6">
        <v>1.00004</v>
      </c>
      <c r="E506" s="6">
        <v>26321.32</v>
      </c>
      <c r="F506" s="6">
        <v>26318.5</v>
      </c>
      <c r="G506" s="6">
        <v>26406.07</v>
      </c>
      <c r="H506" s="6">
        <v>26335</v>
      </c>
      <c r="I506" s="5">
        <v>45070</v>
      </c>
      <c r="J506" s="7">
        <f t="shared" si="44"/>
        <v>5.1973077338067736E-4</v>
      </c>
      <c r="K506" s="5">
        <v>45070</v>
      </c>
      <c r="L506" s="8">
        <f t="shared" si="42"/>
        <v>3.3273172863194978E-3</v>
      </c>
      <c r="M506" s="5">
        <v>45070</v>
      </c>
      <c r="N506" s="9">
        <f t="shared" si="43"/>
        <v>3.847048059700175E-3</v>
      </c>
      <c r="O506" s="5">
        <v>45070</v>
      </c>
      <c r="P506">
        <f t="shared" si="45"/>
        <v>0.99730857336968359</v>
      </c>
      <c r="Q506" s="6">
        <f t="shared" si="46"/>
        <v>0.99996000159993592</v>
      </c>
      <c r="R506">
        <f t="shared" si="47"/>
        <v>-2.6550558307929292E-3</v>
      </c>
      <c r="T506" s="5">
        <v>45070</v>
      </c>
      <c r="U506" s="1">
        <v>-2.6550558307929292E-3</v>
      </c>
    </row>
    <row r="507" spans="3:21" x14ac:dyDescent="0.2">
      <c r="C507" s="5">
        <v>45071</v>
      </c>
      <c r="D507" s="6">
        <v>1.00003</v>
      </c>
      <c r="E507" s="6">
        <v>26476.91</v>
      </c>
      <c r="F507" s="6">
        <v>26463</v>
      </c>
      <c r="G507" s="6">
        <v>26505.37</v>
      </c>
      <c r="H507" s="6">
        <v>26461.7</v>
      </c>
      <c r="I507" s="5">
        <v>45071</v>
      </c>
      <c r="J507" s="7">
        <f t="shared" si="44"/>
        <v>-5.7446280551616958E-4</v>
      </c>
      <c r="K507" s="5">
        <v>45071</v>
      </c>
      <c r="L507" s="8">
        <f t="shared" si="42"/>
        <v>1.601103427426935E-3</v>
      </c>
      <c r="M507" s="5">
        <v>45071</v>
      </c>
      <c r="N507" s="9">
        <f t="shared" si="43"/>
        <v>1.0266406219107654E-3</v>
      </c>
      <c r="O507" s="5">
        <v>45071</v>
      </c>
      <c r="P507">
        <f t="shared" si="45"/>
        <v>0.99835240934195602</v>
      </c>
      <c r="Q507" s="6">
        <f t="shared" si="46"/>
        <v>0.99997000089997301</v>
      </c>
      <c r="R507">
        <f t="shared" si="47"/>
        <v>-1.6189498781929747E-3</v>
      </c>
      <c r="T507" s="5">
        <v>45071</v>
      </c>
      <c r="U507" s="1">
        <v>-1.6189498781929747E-3</v>
      </c>
    </row>
    <row r="508" spans="3:21" x14ac:dyDescent="0.2">
      <c r="C508" s="5">
        <v>45072</v>
      </c>
      <c r="D508" s="6">
        <v>1.0000599999999999</v>
      </c>
      <c r="E508" s="6">
        <v>26713.17</v>
      </c>
      <c r="F508" s="6">
        <v>26704</v>
      </c>
      <c r="G508" s="6">
        <v>26792.87</v>
      </c>
      <c r="H508" s="6">
        <v>26708.5</v>
      </c>
      <c r="I508" s="5">
        <v>45072</v>
      </c>
      <c r="J508" s="7">
        <f t="shared" si="44"/>
        <v>-1.7482013553607654E-4</v>
      </c>
      <c r="K508" s="5">
        <v>45072</v>
      </c>
      <c r="L508" s="8">
        <f t="shared" si="42"/>
        <v>3.3279658478130238E-3</v>
      </c>
      <c r="M508" s="5">
        <v>45072</v>
      </c>
      <c r="N508" s="9">
        <f t="shared" si="43"/>
        <v>3.1531457122769471E-3</v>
      </c>
      <c r="O508" s="5">
        <v>45072</v>
      </c>
      <c r="P508">
        <f t="shared" si="45"/>
        <v>0.99685102790406555</v>
      </c>
      <c r="Q508" s="6">
        <f t="shared" si="46"/>
        <v>0.99994000359978408</v>
      </c>
      <c r="R508">
        <f t="shared" si="47"/>
        <v>-3.0939423415659306E-3</v>
      </c>
      <c r="T508" s="5">
        <v>45072</v>
      </c>
      <c r="U508" s="1">
        <v>-3.0939423415659306E-3</v>
      </c>
    </row>
    <row r="509" spans="3:21" x14ac:dyDescent="0.2">
      <c r="C509" s="5">
        <v>45073</v>
      </c>
      <c r="D509" s="6">
        <v>1.0000599999999999</v>
      </c>
      <c r="E509" s="6">
        <v>26863.61</v>
      </c>
      <c r="F509" s="6">
        <v>26850</v>
      </c>
      <c r="G509" s="6">
        <v>26918.799999999999</v>
      </c>
      <c r="H509" s="6">
        <v>26844.9</v>
      </c>
      <c r="I509" s="5">
        <v>45073</v>
      </c>
      <c r="J509" s="7">
        <f t="shared" si="44"/>
        <v>-6.9648122497308171E-4</v>
      </c>
      <c r="K509" s="5">
        <v>45073</v>
      </c>
      <c r="L509" s="8">
        <f t="shared" si="42"/>
        <v>2.5623836126629153E-3</v>
      </c>
      <c r="M509" s="5">
        <v>45073</v>
      </c>
      <c r="N509" s="9">
        <f t="shared" si="43"/>
        <v>1.8659023876898336E-3</v>
      </c>
      <c r="O509" s="5">
        <v>45073</v>
      </c>
      <c r="P509">
        <f t="shared" si="45"/>
        <v>0.99725470674770067</v>
      </c>
      <c r="Q509" s="6">
        <f t="shared" si="46"/>
        <v>0.99994000359978408</v>
      </c>
      <c r="R509">
        <f t="shared" si="47"/>
        <v>-2.6890702807371757E-3</v>
      </c>
      <c r="T509" s="5">
        <v>45073</v>
      </c>
      <c r="U509" s="1">
        <v>-2.6890702807371757E-3</v>
      </c>
    </row>
    <row r="510" spans="3:21" x14ac:dyDescent="0.2">
      <c r="C510" s="5">
        <v>45074</v>
      </c>
      <c r="D510" s="6">
        <v>1.00007</v>
      </c>
      <c r="E510" s="6">
        <v>28074.99</v>
      </c>
      <c r="F510" s="6">
        <v>28076</v>
      </c>
      <c r="G510" s="6">
        <v>28069.46</v>
      </c>
      <c r="H510" s="6">
        <v>28044.7</v>
      </c>
      <c r="I510" s="5">
        <v>45074</v>
      </c>
      <c r="J510" s="7">
        <f t="shared" si="44"/>
        <v>-1.0788961990725863E-3</v>
      </c>
      <c r="K510" s="5">
        <v>45074</v>
      </c>
      <c r="L510" s="8">
        <f t="shared" si="42"/>
        <v>-2.3293916512326802E-4</v>
      </c>
      <c r="M510" s="5">
        <v>45074</v>
      </c>
      <c r="N510" s="9">
        <f t="shared" si="43"/>
        <v>-1.3118353641958544E-3</v>
      </c>
      <c r="O510" s="5">
        <v>45074</v>
      </c>
      <c r="P510">
        <f t="shared" si="45"/>
        <v>0.9991179025175404</v>
      </c>
      <c r="Q510" s="6">
        <f t="shared" si="46"/>
        <v>0.999930004899657</v>
      </c>
      <c r="R510">
        <f t="shared" si="47"/>
        <v>-8.124892092664939E-4</v>
      </c>
      <c r="T510" s="5">
        <v>45074</v>
      </c>
      <c r="U510" s="1">
        <v>-8.124892092664939E-4</v>
      </c>
    </row>
    <row r="511" spans="3:21" x14ac:dyDescent="0.2">
      <c r="C511" s="5">
        <v>45075</v>
      </c>
      <c r="D511" s="6">
        <v>1.00004</v>
      </c>
      <c r="E511" s="6">
        <v>27746.1</v>
      </c>
      <c r="F511" s="6">
        <v>27741.5</v>
      </c>
      <c r="G511" s="6">
        <v>27772.38</v>
      </c>
      <c r="H511" s="6">
        <v>27746.3</v>
      </c>
      <c r="I511" s="5">
        <v>45075</v>
      </c>
      <c r="J511" s="7">
        <f t="shared" si="44"/>
        <v>7.2082202544043166E-6</v>
      </c>
      <c r="K511" s="5">
        <v>45075</v>
      </c>
      <c r="L511" s="8">
        <f t="shared" si="42"/>
        <v>1.113133752681038E-3</v>
      </c>
      <c r="M511" s="5">
        <v>45075</v>
      </c>
      <c r="N511" s="9">
        <f t="shared" si="43"/>
        <v>1.1203419729354422E-3</v>
      </c>
      <c r="O511" s="5">
        <v>45075</v>
      </c>
      <c r="P511">
        <f t="shared" si="45"/>
        <v>0.99906093752137914</v>
      </c>
      <c r="Q511" s="6">
        <f t="shared" si="46"/>
        <v>0.99996000159993592</v>
      </c>
      <c r="R511">
        <f t="shared" si="47"/>
        <v>-8.9950447399714728E-4</v>
      </c>
      <c r="T511" s="5">
        <v>45075</v>
      </c>
      <c r="U511" s="1">
        <v>-8.9950447399714728E-4</v>
      </c>
    </row>
    <row r="512" spans="3:21" x14ac:dyDescent="0.2">
      <c r="C512" s="5">
        <v>45076</v>
      </c>
      <c r="D512" s="6">
        <v>1.00003</v>
      </c>
      <c r="E512" s="6">
        <v>27702.47</v>
      </c>
      <c r="F512" s="6">
        <v>27703</v>
      </c>
      <c r="G512" s="6">
        <v>27763.73</v>
      </c>
      <c r="H512" s="6">
        <v>27678.2</v>
      </c>
      <c r="I512" s="5">
        <v>45076</v>
      </c>
      <c r="J512" s="7">
        <f t="shared" si="44"/>
        <v>-8.7609516407744273E-4</v>
      </c>
      <c r="K512" s="5">
        <v>45076</v>
      </c>
      <c r="L512" s="8">
        <f t="shared" si="42"/>
        <v>2.1921813522001068E-3</v>
      </c>
      <c r="M512" s="5">
        <v>45076</v>
      </c>
      <c r="N512" s="9">
        <f t="shared" si="43"/>
        <v>1.3160861881226641E-3</v>
      </c>
      <c r="O512" s="5">
        <v>45076</v>
      </c>
      <c r="P512">
        <f t="shared" si="45"/>
        <v>0.99691936205978082</v>
      </c>
      <c r="Q512" s="6">
        <f t="shared" si="46"/>
        <v>0.99997000089997301</v>
      </c>
      <c r="R512">
        <f t="shared" si="47"/>
        <v>-3.0553933232654899E-3</v>
      </c>
      <c r="T512" s="5">
        <v>45076</v>
      </c>
      <c r="U512" s="1">
        <v>-3.0553933232654899E-3</v>
      </c>
    </row>
    <row r="513" spans="3:21" x14ac:dyDescent="0.2">
      <c r="C513" s="5">
        <v>45077</v>
      </c>
      <c r="D513" s="6">
        <v>1.0000500000000001</v>
      </c>
      <c r="E513" s="6">
        <v>27220.82</v>
      </c>
      <c r="F513" s="6">
        <v>27210.5</v>
      </c>
      <c r="G513" s="6">
        <v>27284.28</v>
      </c>
      <c r="H513" s="6">
        <v>27201.200000000001</v>
      </c>
      <c r="I513" s="5">
        <v>45077</v>
      </c>
      <c r="J513" s="7">
        <f t="shared" si="44"/>
        <v>-7.2077182098110866E-4</v>
      </c>
      <c r="K513" s="5">
        <v>45077</v>
      </c>
      <c r="L513" s="8">
        <f t="shared" si="42"/>
        <v>2.7114532992778095E-3</v>
      </c>
      <c r="M513" s="5">
        <v>45077</v>
      </c>
      <c r="N513" s="9">
        <f t="shared" si="43"/>
        <v>1.9906814782967011E-3</v>
      </c>
      <c r="O513" s="5">
        <v>45077</v>
      </c>
      <c r="P513">
        <f t="shared" si="45"/>
        <v>0.99695502318551199</v>
      </c>
      <c r="Q513" s="6">
        <f t="shared" si="46"/>
        <v>0.99995000249987487</v>
      </c>
      <c r="R513">
        <f t="shared" si="47"/>
        <v>-2.9996234387813891E-3</v>
      </c>
      <c r="T513" s="5">
        <v>45077</v>
      </c>
      <c r="U513" s="1">
        <v>-2.9996234387813891E-3</v>
      </c>
    </row>
    <row r="514" spans="3:21" x14ac:dyDescent="0.2">
      <c r="C514" s="5">
        <v>45078</v>
      </c>
      <c r="D514" s="6">
        <v>1.00003</v>
      </c>
      <c r="E514" s="6">
        <v>26828.3</v>
      </c>
      <c r="F514" s="6">
        <v>26808.5</v>
      </c>
      <c r="G514" s="6">
        <v>26891.35</v>
      </c>
      <c r="H514" s="6">
        <v>26811.200000000001</v>
      </c>
      <c r="I514" s="5">
        <v>45078</v>
      </c>
      <c r="J514" s="7">
        <f t="shared" si="44"/>
        <v>-6.3738664022687031E-4</v>
      </c>
      <c r="K514" s="5">
        <v>45078</v>
      </c>
      <c r="L514" s="8">
        <f t="shared" si="42"/>
        <v>3.0904377343006339E-3</v>
      </c>
      <c r="M514" s="5">
        <v>45078</v>
      </c>
      <c r="N514" s="9">
        <f t="shared" si="43"/>
        <v>2.4530510940737635E-3</v>
      </c>
      <c r="O514" s="5">
        <v>45078</v>
      </c>
      <c r="P514">
        <f t="shared" si="45"/>
        <v>0.99701948767912374</v>
      </c>
      <c r="Q514" s="6">
        <f t="shared" si="46"/>
        <v>0.99997000089997301</v>
      </c>
      <c r="R514">
        <f t="shared" si="47"/>
        <v>-2.9549633432385983E-3</v>
      </c>
      <c r="T514" s="5">
        <v>45078</v>
      </c>
      <c r="U514" s="1">
        <v>-2.9549633432385983E-3</v>
      </c>
    </row>
    <row r="515" spans="3:21" x14ac:dyDescent="0.2">
      <c r="C515" s="5">
        <v>45079</v>
      </c>
      <c r="D515" s="6">
        <v>1.0000599999999999</v>
      </c>
      <c r="E515" s="6">
        <v>27251.37</v>
      </c>
      <c r="F515" s="6">
        <v>27239.5</v>
      </c>
      <c r="G515" s="6">
        <v>27305.06</v>
      </c>
      <c r="H515" s="6">
        <v>27250.2</v>
      </c>
      <c r="I515" s="5">
        <v>45079</v>
      </c>
      <c r="J515" s="7">
        <f t="shared" si="44"/>
        <v>-4.2933621318790718E-5</v>
      </c>
      <c r="K515" s="5">
        <v>45079</v>
      </c>
      <c r="L515" s="8">
        <f t="shared" si="42"/>
        <v>2.4067989500541976E-3</v>
      </c>
      <c r="M515" s="5">
        <v>45079</v>
      </c>
      <c r="N515" s="9">
        <f t="shared" si="43"/>
        <v>2.3638653287354067E-3</v>
      </c>
      <c r="O515" s="5">
        <v>45079</v>
      </c>
      <c r="P515">
        <f t="shared" si="45"/>
        <v>0.99799084858264353</v>
      </c>
      <c r="Q515" s="6">
        <f t="shared" si="46"/>
        <v>0.99994000359978408</v>
      </c>
      <c r="R515">
        <f t="shared" si="47"/>
        <v>-1.9511742695138253E-3</v>
      </c>
      <c r="T515" s="5">
        <v>45079</v>
      </c>
      <c r="U515" s="1">
        <v>-1.9511742695138253E-3</v>
      </c>
    </row>
    <row r="516" spans="3:21" x14ac:dyDescent="0.2">
      <c r="C516" s="5">
        <v>45080</v>
      </c>
      <c r="D516" s="6">
        <v>1.0000599999999999</v>
      </c>
      <c r="E516" s="6">
        <v>27077.93</v>
      </c>
      <c r="F516" s="6">
        <v>27067</v>
      </c>
      <c r="G516" s="6">
        <v>27126.33</v>
      </c>
      <c r="H516" s="6">
        <v>27076.400000000001</v>
      </c>
      <c r="I516" s="5">
        <v>45080</v>
      </c>
      <c r="J516" s="7">
        <f t="shared" si="44"/>
        <v>-5.6503580591235588E-5</v>
      </c>
      <c r="K516" s="5">
        <v>45080</v>
      </c>
      <c r="L516" s="8">
        <f t="shared" si="42"/>
        <v>2.1919680792109116E-3</v>
      </c>
      <c r="M516" s="5">
        <v>45080</v>
      </c>
      <c r="N516" s="9">
        <f t="shared" si="43"/>
        <v>2.135464498619676E-3</v>
      </c>
      <c r="O516" s="5">
        <v>45080</v>
      </c>
      <c r="P516">
        <f t="shared" si="45"/>
        <v>0.99815935292389346</v>
      </c>
      <c r="Q516" s="6">
        <f t="shared" si="46"/>
        <v>0.99994000359978408</v>
      </c>
      <c r="R516">
        <f t="shared" si="47"/>
        <v>-1.7823449484306278E-3</v>
      </c>
      <c r="T516" s="5">
        <v>45080</v>
      </c>
      <c r="U516" s="1">
        <v>-1.7823449484306278E-3</v>
      </c>
    </row>
    <row r="517" spans="3:21" x14ac:dyDescent="0.2">
      <c r="C517" s="5">
        <v>45081</v>
      </c>
      <c r="D517" s="6">
        <v>1.0000100000000001</v>
      </c>
      <c r="E517" s="6">
        <v>27124.02</v>
      </c>
      <c r="F517" s="6">
        <v>27113</v>
      </c>
      <c r="G517" s="6">
        <v>27173.32</v>
      </c>
      <c r="H517" s="6">
        <v>27085.5</v>
      </c>
      <c r="I517" s="5">
        <v>45081</v>
      </c>
      <c r="J517" s="7">
        <f t="shared" si="44"/>
        <v>-1.420143474308028E-3</v>
      </c>
      <c r="K517" s="5">
        <v>45081</v>
      </c>
      <c r="L517" s="8">
        <f t="shared" si="42"/>
        <v>2.2247630288053594E-3</v>
      </c>
      <c r="M517" s="5">
        <v>45081</v>
      </c>
      <c r="N517" s="9">
        <f t="shared" si="43"/>
        <v>8.0461955449733142E-4</v>
      </c>
      <c r="O517" s="5">
        <v>45081</v>
      </c>
      <c r="P517">
        <f t="shared" si="45"/>
        <v>0.99676815346818137</v>
      </c>
      <c r="Q517" s="6">
        <f t="shared" si="46"/>
        <v>0.99999000009999894</v>
      </c>
      <c r="R517">
        <f t="shared" si="47"/>
        <v>-3.227080277196571E-3</v>
      </c>
      <c r="T517" s="5">
        <v>45081</v>
      </c>
      <c r="U517" s="1">
        <v>-3.227080277196571E-3</v>
      </c>
    </row>
    <row r="518" spans="3:21" x14ac:dyDescent="0.2">
      <c r="C518" s="5">
        <v>45082</v>
      </c>
      <c r="D518" s="6">
        <v>1.00003</v>
      </c>
      <c r="E518" s="6">
        <v>25736.74</v>
      </c>
      <c r="F518" s="6">
        <v>25720</v>
      </c>
      <c r="G518" s="6">
        <v>25878.16</v>
      </c>
      <c r="H518" s="6">
        <v>25728.5</v>
      </c>
      <c r="I518" s="5">
        <v>45082</v>
      </c>
      <c r="J518" s="7">
        <f t="shared" si="44"/>
        <v>-3.2016486936580158E-4</v>
      </c>
      <c r="K518" s="5">
        <v>45082</v>
      </c>
      <c r="L518" s="8">
        <f t="shared" si="42"/>
        <v>6.1493001555209901E-3</v>
      </c>
      <c r="M518" s="5">
        <v>45082</v>
      </c>
      <c r="N518" s="9">
        <f t="shared" si="43"/>
        <v>5.8291352861551881E-3</v>
      </c>
      <c r="O518" s="5">
        <v>45082</v>
      </c>
      <c r="P518">
        <f t="shared" si="45"/>
        <v>0.99421674493086065</v>
      </c>
      <c r="Q518" s="6">
        <f t="shared" si="46"/>
        <v>0.99997000089997301</v>
      </c>
      <c r="R518">
        <f t="shared" si="47"/>
        <v>-5.7700432953457816E-3</v>
      </c>
      <c r="T518" s="5">
        <v>45082</v>
      </c>
      <c r="U518" s="1">
        <v>-5.7700432953457816E-3</v>
      </c>
    </row>
    <row r="519" spans="3:21" x14ac:dyDescent="0.2">
      <c r="C519" s="5">
        <v>45083</v>
      </c>
      <c r="D519" s="6">
        <v>1.0000100000000001</v>
      </c>
      <c r="E519" s="6">
        <v>27242.98</v>
      </c>
      <c r="F519" s="6">
        <v>27229.5</v>
      </c>
      <c r="G519" s="6">
        <v>27319.97</v>
      </c>
      <c r="H519" s="6">
        <v>27219.5</v>
      </c>
      <c r="I519" s="5">
        <v>45083</v>
      </c>
      <c r="J519" s="7">
        <f t="shared" si="44"/>
        <v>-8.6187340738786886E-4</v>
      </c>
      <c r="K519" s="5">
        <v>45083</v>
      </c>
      <c r="L519" s="8">
        <f t="shared" si="42"/>
        <v>3.3224994950330033E-3</v>
      </c>
      <c r="M519" s="5">
        <v>45083</v>
      </c>
      <c r="N519" s="9">
        <f t="shared" si="43"/>
        <v>2.4606260876451347E-3</v>
      </c>
      <c r="O519" s="5">
        <v>45083</v>
      </c>
      <c r="P519">
        <f t="shared" si="45"/>
        <v>0.9963224703394622</v>
      </c>
      <c r="Q519" s="6">
        <f t="shared" si="46"/>
        <v>0.99999000009999894</v>
      </c>
      <c r="R519">
        <f t="shared" si="47"/>
        <v>-3.6743084471793489E-3</v>
      </c>
      <c r="T519" s="5">
        <v>45083</v>
      </c>
      <c r="U519" s="1">
        <v>-3.6743084471793489E-3</v>
      </c>
    </row>
    <row r="520" spans="3:21" x14ac:dyDescent="0.2">
      <c r="C520" s="5">
        <v>45084</v>
      </c>
      <c r="D520" s="6">
        <v>1.00004</v>
      </c>
      <c r="E520" s="6">
        <v>26345.1</v>
      </c>
      <c r="F520" s="6">
        <v>26332.5</v>
      </c>
      <c r="G520" s="6">
        <v>26422.68</v>
      </c>
      <c r="H520" s="6">
        <v>26339.4</v>
      </c>
      <c r="I520" s="5">
        <v>45084</v>
      </c>
      <c r="J520" s="7">
        <f t="shared" si="44"/>
        <v>-2.1635901932416616E-4</v>
      </c>
      <c r="K520" s="5">
        <v>45084</v>
      </c>
      <c r="L520" s="8">
        <f t="shared" si="42"/>
        <v>3.4246653375106916E-3</v>
      </c>
      <c r="M520" s="5">
        <v>45084</v>
      </c>
      <c r="N520" s="9">
        <f t="shared" si="43"/>
        <v>3.2083063181865255E-3</v>
      </c>
      <c r="O520" s="5">
        <v>45084</v>
      </c>
      <c r="P520">
        <f t="shared" si="45"/>
        <v>0.99684816226060335</v>
      </c>
      <c r="Q520" s="6">
        <f t="shared" si="46"/>
        <v>0.99996000159993592</v>
      </c>
      <c r="R520">
        <f t="shared" si="47"/>
        <v>-3.1168160415474344E-3</v>
      </c>
      <c r="T520" s="5">
        <v>45084</v>
      </c>
      <c r="U520" s="1">
        <v>-3.1168160415474344E-3</v>
      </c>
    </row>
    <row r="521" spans="3:21" x14ac:dyDescent="0.2">
      <c r="C521" s="5">
        <v>45085</v>
      </c>
      <c r="D521" s="6">
        <v>1.0000500000000001</v>
      </c>
      <c r="E521" s="6">
        <v>26504.62</v>
      </c>
      <c r="F521" s="6">
        <v>26493</v>
      </c>
      <c r="G521" s="6">
        <v>26580.87</v>
      </c>
      <c r="H521" s="6">
        <v>26491.8</v>
      </c>
      <c r="I521" s="5">
        <v>45085</v>
      </c>
      <c r="J521" s="7">
        <f t="shared" si="44"/>
        <v>-4.8368925870281143E-4</v>
      </c>
      <c r="K521" s="5">
        <v>45085</v>
      </c>
      <c r="L521" s="8">
        <f t="shared" si="42"/>
        <v>3.3167251726870864E-3</v>
      </c>
      <c r="M521" s="5">
        <v>45085</v>
      </c>
      <c r="N521" s="9">
        <f t="shared" si="43"/>
        <v>2.8330359139842748E-3</v>
      </c>
      <c r="O521" s="5">
        <v>45085</v>
      </c>
      <c r="P521">
        <f t="shared" si="45"/>
        <v>0.99664909387841716</v>
      </c>
      <c r="Q521" s="6">
        <f t="shared" si="46"/>
        <v>0.99995000249987487</v>
      </c>
      <c r="R521">
        <f t="shared" si="47"/>
        <v>-3.3065342310272024E-3</v>
      </c>
      <c r="T521" s="5">
        <v>45085</v>
      </c>
      <c r="U521" s="1">
        <v>-3.3065342310272024E-3</v>
      </c>
    </row>
    <row r="522" spans="3:21" x14ac:dyDescent="0.2">
      <c r="C522" s="5">
        <v>45086</v>
      </c>
      <c r="D522" s="6">
        <v>1.0000500000000001</v>
      </c>
      <c r="E522" s="6">
        <v>26481.93</v>
      </c>
      <c r="F522" s="6">
        <v>26470</v>
      </c>
      <c r="G522" s="6">
        <v>26551.16</v>
      </c>
      <c r="H522" s="6">
        <v>26465.3</v>
      </c>
      <c r="I522" s="5">
        <v>45086</v>
      </c>
      <c r="J522" s="7">
        <f t="shared" si="44"/>
        <v>-6.2797537792755353E-4</v>
      </c>
      <c r="K522" s="5">
        <v>45086</v>
      </c>
      <c r="L522" s="8">
        <f t="shared" si="42"/>
        <v>3.0661125802795564E-3</v>
      </c>
      <c r="M522" s="5">
        <v>45086</v>
      </c>
      <c r="N522" s="9">
        <f t="shared" si="43"/>
        <v>2.4381372023520027E-3</v>
      </c>
      <c r="O522" s="5">
        <v>45086</v>
      </c>
      <c r="P522">
        <f t="shared" si="45"/>
        <v>0.9967662429814742</v>
      </c>
      <c r="Q522" s="6">
        <f t="shared" si="46"/>
        <v>0.99995000249987487</v>
      </c>
      <c r="R522">
        <f t="shared" si="47"/>
        <v>-3.1889981601183836E-3</v>
      </c>
      <c r="T522" s="5">
        <v>45086</v>
      </c>
      <c r="U522" s="1">
        <v>-3.1889981601183836E-3</v>
      </c>
    </row>
    <row r="523" spans="3:21" x14ac:dyDescent="0.2">
      <c r="C523" s="5">
        <v>45087</v>
      </c>
      <c r="D523" s="6">
        <v>1.00004</v>
      </c>
      <c r="E523" s="6">
        <v>25854.27</v>
      </c>
      <c r="F523" s="6">
        <v>25840</v>
      </c>
      <c r="G523" s="6">
        <v>26205.1</v>
      </c>
      <c r="H523" s="6">
        <v>25836.9</v>
      </c>
      <c r="I523" s="5">
        <v>45087</v>
      </c>
      <c r="J523" s="7">
        <f t="shared" si="44"/>
        <v>-6.7184260085467436E-4</v>
      </c>
      <c r="K523" s="5">
        <v>45087</v>
      </c>
      <c r="L523" s="8">
        <f t="shared" ref="L523:L586" si="48">(G523-F523)/F523</f>
        <v>1.4129256965944217E-2</v>
      </c>
      <c r="M523" s="5">
        <v>45087</v>
      </c>
      <c r="N523" s="9">
        <f t="shared" ref="N523:N586" si="49">J523+L523</f>
        <v>1.3457414365089543E-2</v>
      </c>
      <c r="O523" s="5">
        <v>45087</v>
      </c>
      <c r="P523">
        <f t="shared" si="45"/>
        <v>0.98594929994543057</v>
      </c>
      <c r="Q523" s="6">
        <f t="shared" si="46"/>
        <v>0.99996000159993592</v>
      </c>
      <c r="R523">
        <f t="shared" si="47"/>
        <v>-1.4110346435170722E-2</v>
      </c>
      <c r="T523" s="5">
        <v>45087</v>
      </c>
      <c r="U523" s="1">
        <v>-1.4110346435170722E-2</v>
      </c>
    </row>
    <row r="524" spans="3:21" x14ac:dyDescent="0.2">
      <c r="C524" s="5">
        <v>45088</v>
      </c>
      <c r="D524" s="6">
        <v>1.0000899999999999</v>
      </c>
      <c r="E524" s="6">
        <v>25936.75</v>
      </c>
      <c r="F524" s="6">
        <v>25930.5</v>
      </c>
      <c r="G524" s="6">
        <v>26158.81</v>
      </c>
      <c r="H524" s="6">
        <v>25928.6</v>
      </c>
      <c r="I524" s="5">
        <v>45088</v>
      </c>
      <c r="J524" s="7">
        <f t="shared" ref="J524:J587" si="50">(H524-E524)/E524</f>
        <v>-3.142259535216037E-4</v>
      </c>
      <c r="K524" s="5">
        <v>45088</v>
      </c>
      <c r="L524" s="8">
        <f t="shared" si="48"/>
        <v>8.8046894583598979E-3</v>
      </c>
      <c r="M524" s="5">
        <v>45088</v>
      </c>
      <c r="N524" s="9">
        <f t="shared" si="49"/>
        <v>8.4904635048382946E-3</v>
      </c>
      <c r="O524" s="5">
        <v>45088</v>
      </c>
      <c r="P524">
        <f t="shared" ref="P524:P587" si="51">(1/G524)*H524</f>
        <v>0.99119952321990168</v>
      </c>
      <c r="Q524" s="6">
        <f t="shared" ref="Q524:Q587" si="52">1/D524</f>
        <v>0.99991000809927111</v>
      </c>
      <c r="R524">
        <f t="shared" ref="R524:R587" si="53">LN(P524/Q524)</f>
        <v>-8.749433730089913E-3</v>
      </c>
      <c r="T524" s="5">
        <v>45088</v>
      </c>
      <c r="U524" s="1">
        <v>-8.749433730089913E-3</v>
      </c>
    </row>
    <row r="525" spans="3:21" x14ac:dyDescent="0.2">
      <c r="C525" s="5">
        <v>45089</v>
      </c>
      <c r="D525" s="6">
        <v>1.0000599999999999</v>
      </c>
      <c r="E525" s="6">
        <v>25908.27</v>
      </c>
      <c r="F525" s="6">
        <v>25895.5</v>
      </c>
      <c r="G525" s="6">
        <v>26009.38</v>
      </c>
      <c r="H525" s="6">
        <v>25895</v>
      </c>
      <c r="I525" s="5">
        <v>45089</v>
      </c>
      <c r="J525" s="7">
        <f t="shared" si="50"/>
        <v>-5.1219166698511466E-4</v>
      </c>
      <c r="K525" s="5">
        <v>45089</v>
      </c>
      <c r="L525" s="8">
        <f t="shared" si="48"/>
        <v>4.3976752717654038E-3</v>
      </c>
      <c r="M525" s="5">
        <v>45089</v>
      </c>
      <c r="N525" s="9">
        <f t="shared" si="49"/>
        <v>3.8854836047802891E-3</v>
      </c>
      <c r="O525" s="5">
        <v>45089</v>
      </c>
      <c r="P525">
        <f t="shared" si="51"/>
        <v>0.99560235576549683</v>
      </c>
      <c r="Q525" s="6">
        <f t="shared" si="52"/>
        <v>0.99994000359978408</v>
      </c>
      <c r="R525">
        <f t="shared" si="53"/>
        <v>-4.3473441147533322E-3</v>
      </c>
      <c r="T525" s="5">
        <v>45089</v>
      </c>
      <c r="U525" s="1">
        <v>-4.3473441147533322E-3</v>
      </c>
    </row>
    <row r="526" spans="3:21" x14ac:dyDescent="0.2">
      <c r="C526" s="5">
        <v>45090</v>
      </c>
      <c r="D526" s="6">
        <v>1.00003</v>
      </c>
      <c r="E526" s="6">
        <v>25930.19</v>
      </c>
      <c r="F526" s="6">
        <v>25925.5</v>
      </c>
      <c r="G526" s="6">
        <v>26055.83</v>
      </c>
      <c r="H526" s="6">
        <v>25918.3</v>
      </c>
      <c r="I526" s="5">
        <v>45090</v>
      </c>
      <c r="J526" s="7">
        <f t="shared" si="50"/>
        <v>-4.5853886917139516E-4</v>
      </c>
      <c r="K526" s="5">
        <v>45090</v>
      </c>
      <c r="L526" s="8">
        <f t="shared" si="48"/>
        <v>5.0270968737344216E-3</v>
      </c>
      <c r="M526" s="5">
        <v>45090</v>
      </c>
      <c r="N526" s="9">
        <f t="shared" si="49"/>
        <v>4.5685580045630265E-3</v>
      </c>
      <c r="O526" s="5">
        <v>45090</v>
      </c>
      <c r="P526">
        <f t="shared" si="51"/>
        <v>0.99472171870940196</v>
      </c>
      <c r="Q526" s="6">
        <f t="shared" si="52"/>
        <v>0.99997000089997301</v>
      </c>
      <c r="R526">
        <f t="shared" si="53"/>
        <v>-5.2622610802365534E-3</v>
      </c>
      <c r="T526" s="5">
        <v>45090</v>
      </c>
      <c r="U526" s="1">
        <v>-5.2622610802365534E-3</v>
      </c>
    </row>
    <row r="527" spans="3:21" x14ac:dyDescent="0.2">
      <c r="C527" s="5">
        <v>45091</v>
      </c>
      <c r="D527" s="6">
        <v>1.0000500000000001</v>
      </c>
      <c r="E527" s="6">
        <v>25124</v>
      </c>
      <c r="F527" s="6">
        <v>25116.5</v>
      </c>
      <c r="G527" s="6">
        <v>25343.17</v>
      </c>
      <c r="H527" s="6">
        <v>25127.5</v>
      </c>
      <c r="I527" s="5">
        <v>45091</v>
      </c>
      <c r="J527" s="7">
        <f t="shared" si="50"/>
        <v>1.3930902722496418E-4</v>
      </c>
      <c r="K527" s="5">
        <v>45091</v>
      </c>
      <c r="L527" s="8">
        <f t="shared" si="48"/>
        <v>9.0247446897457149E-3</v>
      </c>
      <c r="M527" s="5">
        <v>45091</v>
      </c>
      <c r="N527" s="9">
        <f t="shared" si="49"/>
        <v>9.1640537169706791E-3</v>
      </c>
      <c r="O527" s="5">
        <v>45091</v>
      </c>
      <c r="P527">
        <f t="shared" si="51"/>
        <v>0.99149001486396537</v>
      </c>
      <c r="Q527" s="6">
        <f t="shared" si="52"/>
        <v>0.99995000249987487</v>
      </c>
      <c r="R527">
        <f t="shared" si="53"/>
        <v>-8.4964030602564331E-3</v>
      </c>
      <c r="T527" s="5">
        <v>45091</v>
      </c>
      <c r="U527" s="1">
        <v>-8.4964030602564331E-3</v>
      </c>
    </row>
    <row r="528" spans="3:21" x14ac:dyDescent="0.2">
      <c r="C528" s="5">
        <v>45092</v>
      </c>
      <c r="D528" s="6">
        <v>1.0000500000000001</v>
      </c>
      <c r="E528" s="6">
        <v>25567.29</v>
      </c>
      <c r="F528" s="6">
        <v>25583.5</v>
      </c>
      <c r="G528" s="6">
        <v>25672.77</v>
      </c>
      <c r="H528" s="6">
        <v>25569.9</v>
      </c>
      <c r="I528" s="5">
        <v>45092</v>
      </c>
      <c r="J528" s="7">
        <f t="shared" si="50"/>
        <v>1.020835606746191E-4</v>
      </c>
      <c r="K528" s="5">
        <v>45092</v>
      </c>
      <c r="L528" s="8">
        <f t="shared" si="48"/>
        <v>3.489358375515486E-3</v>
      </c>
      <c r="M528" s="5">
        <v>45092</v>
      </c>
      <c r="N528" s="9">
        <f t="shared" si="49"/>
        <v>3.5914419361901049E-3</v>
      </c>
      <c r="O528" s="5">
        <v>45092</v>
      </c>
      <c r="P528">
        <f t="shared" si="51"/>
        <v>0.99599303074814283</v>
      </c>
      <c r="Q528" s="6">
        <f t="shared" si="52"/>
        <v>0.99995000249987487</v>
      </c>
      <c r="R528">
        <f t="shared" si="53"/>
        <v>-3.9650199127983111E-3</v>
      </c>
      <c r="T528" s="5">
        <v>45092</v>
      </c>
      <c r="U528" s="1">
        <v>-3.9650199127983111E-3</v>
      </c>
    </row>
    <row r="529" spans="3:21" x14ac:dyDescent="0.2">
      <c r="C529" s="5">
        <v>45093</v>
      </c>
      <c r="D529" s="6">
        <v>1.0000500000000001</v>
      </c>
      <c r="E529" s="6">
        <v>26326.93</v>
      </c>
      <c r="F529" s="6">
        <v>26343.5</v>
      </c>
      <c r="G529" s="6">
        <v>26431.279999999999</v>
      </c>
      <c r="H529" s="6">
        <v>26314.6</v>
      </c>
      <c r="I529" s="5">
        <v>45093</v>
      </c>
      <c r="J529" s="7">
        <f t="shared" si="50"/>
        <v>-4.6834173221115206E-4</v>
      </c>
      <c r="K529" s="5">
        <v>45093</v>
      </c>
      <c r="L529" s="8">
        <f t="shared" si="48"/>
        <v>3.3321312657770925E-3</v>
      </c>
      <c r="M529" s="5">
        <v>45093</v>
      </c>
      <c r="N529" s="9">
        <f t="shared" si="49"/>
        <v>2.8637895335659404E-3</v>
      </c>
      <c r="O529" s="5">
        <v>45093</v>
      </c>
      <c r="P529">
        <f t="shared" si="51"/>
        <v>0.99558553350424195</v>
      </c>
      <c r="Q529" s="6">
        <f t="shared" si="52"/>
        <v>0.99995000249987487</v>
      </c>
      <c r="R529">
        <f t="shared" si="53"/>
        <v>-4.3742402738745027E-3</v>
      </c>
      <c r="T529" s="5">
        <v>45093</v>
      </c>
      <c r="U529" s="1">
        <v>-4.3742402738745027E-3</v>
      </c>
    </row>
    <row r="530" spans="3:21" x14ac:dyDescent="0.2">
      <c r="C530" s="5">
        <v>45094</v>
      </c>
      <c r="D530" s="6">
        <v>1.0000500000000001</v>
      </c>
      <c r="E530" s="6">
        <v>26509.93</v>
      </c>
      <c r="F530" s="6">
        <v>26519</v>
      </c>
      <c r="G530" s="6">
        <v>26595.81</v>
      </c>
      <c r="H530" s="6">
        <v>26495.1</v>
      </c>
      <c r="I530" s="5">
        <v>45094</v>
      </c>
      <c r="J530" s="7">
        <f t="shared" si="50"/>
        <v>-5.5941301995145762E-4</v>
      </c>
      <c r="K530" s="5">
        <v>45094</v>
      </c>
      <c r="L530" s="8">
        <f t="shared" si="48"/>
        <v>2.8964138919265925E-3</v>
      </c>
      <c r="M530" s="5">
        <v>45094</v>
      </c>
      <c r="N530" s="9">
        <f t="shared" si="49"/>
        <v>2.337000871975135E-3</v>
      </c>
      <c r="O530" s="5">
        <v>45094</v>
      </c>
      <c r="P530">
        <f t="shared" si="51"/>
        <v>0.99621331330010232</v>
      </c>
      <c r="Q530" s="6">
        <f t="shared" si="52"/>
        <v>0.99995000249987487</v>
      </c>
      <c r="R530">
        <f t="shared" si="53"/>
        <v>-3.7438755985907549E-3</v>
      </c>
      <c r="T530" s="5">
        <v>45094</v>
      </c>
      <c r="U530" s="1">
        <v>-3.7438755985907549E-3</v>
      </c>
    </row>
    <row r="531" spans="3:21" x14ac:dyDescent="0.2">
      <c r="C531" s="5">
        <v>45095</v>
      </c>
      <c r="D531" s="6">
        <v>1.0000199999999999</v>
      </c>
      <c r="E531" s="6">
        <v>26339.59</v>
      </c>
      <c r="F531" s="6">
        <v>26330.5</v>
      </c>
      <c r="G531" s="6">
        <v>26434.75</v>
      </c>
      <c r="H531" s="6">
        <v>26318.2</v>
      </c>
      <c r="I531" s="5">
        <v>45095</v>
      </c>
      <c r="J531" s="7">
        <f t="shared" si="50"/>
        <v>-8.1208553360167786E-4</v>
      </c>
      <c r="K531" s="5">
        <v>45095</v>
      </c>
      <c r="L531" s="8">
        <f t="shared" si="48"/>
        <v>3.9592867587018854E-3</v>
      </c>
      <c r="M531" s="5">
        <v>45095</v>
      </c>
      <c r="N531" s="9">
        <f t="shared" si="49"/>
        <v>3.1472012251002076E-3</v>
      </c>
      <c r="O531" s="5">
        <v>45095</v>
      </c>
      <c r="P531">
        <f t="shared" si="51"/>
        <v>0.9955910307455148</v>
      </c>
      <c r="Q531" s="6">
        <f t="shared" si="52"/>
        <v>0.99998000039999213</v>
      </c>
      <c r="R531">
        <f t="shared" si="53"/>
        <v>-4.3987176228950124E-3</v>
      </c>
      <c r="T531" s="5">
        <v>45095</v>
      </c>
      <c r="U531" s="1">
        <v>-4.3987176228950124E-3</v>
      </c>
    </row>
    <row r="532" spans="3:21" x14ac:dyDescent="0.2">
      <c r="C532" s="5">
        <v>45096</v>
      </c>
      <c r="D532" s="6">
        <v>1.00003</v>
      </c>
      <c r="E532" s="6">
        <v>26834.65</v>
      </c>
      <c r="F532" s="6">
        <v>26830.5</v>
      </c>
      <c r="G532" s="6">
        <v>26948.99</v>
      </c>
      <c r="H532" s="6">
        <v>26838</v>
      </c>
      <c r="I532" s="5">
        <v>45096</v>
      </c>
      <c r="J532" s="7">
        <f t="shared" si="50"/>
        <v>1.2483859487634623E-4</v>
      </c>
      <c r="K532" s="5">
        <v>45096</v>
      </c>
      <c r="L532" s="8">
        <f t="shared" si="48"/>
        <v>4.4162427088575169E-3</v>
      </c>
      <c r="M532" s="5">
        <v>45096</v>
      </c>
      <c r="N532" s="9">
        <f t="shared" si="49"/>
        <v>4.5410813037338633E-3</v>
      </c>
      <c r="O532" s="5">
        <v>45096</v>
      </c>
      <c r="P532">
        <f t="shared" si="51"/>
        <v>0.99588147830401064</v>
      </c>
      <c r="Q532" s="6">
        <f t="shared" si="52"/>
        <v>0.99997000089997301</v>
      </c>
      <c r="R532">
        <f t="shared" si="53"/>
        <v>-4.0970266150525559E-3</v>
      </c>
      <c r="T532" s="5">
        <v>45096</v>
      </c>
      <c r="U532" s="1">
        <v>-4.0970266150525559E-3</v>
      </c>
    </row>
    <row r="533" spans="3:21" x14ac:dyDescent="0.2">
      <c r="C533" s="5">
        <v>45097</v>
      </c>
      <c r="D533" s="6">
        <v>1.0000500000000001</v>
      </c>
      <c r="E533" s="6">
        <v>28311.93</v>
      </c>
      <c r="F533" s="6">
        <v>28313.5</v>
      </c>
      <c r="G533" s="6">
        <v>28366.07</v>
      </c>
      <c r="H533" s="6">
        <v>28288.400000000001</v>
      </c>
      <c r="I533" s="5">
        <v>45097</v>
      </c>
      <c r="J533" s="7">
        <f t="shared" si="50"/>
        <v>-8.310984097516077E-4</v>
      </c>
      <c r="K533" s="5">
        <v>45097</v>
      </c>
      <c r="L533" s="8">
        <f t="shared" si="48"/>
        <v>1.8567114627297829E-3</v>
      </c>
      <c r="M533" s="5">
        <v>45097</v>
      </c>
      <c r="N533" s="9">
        <f t="shared" si="49"/>
        <v>1.0256130529781751E-3</v>
      </c>
      <c r="O533" s="5">
        <v>45097</v>
      </c>
      <c r="P533">
        <f t="shared" si="51"/>
        <v>0.99726186955048757</v>
      </c>
      <c r="Q533" s="6">
        <f t="shared" si="52"/>
        <v>0.99995000249987487</v>
      </c>
      <c r="R533">
        <f t="shared" si="53"/>
        <v>-2.6918872356484309E-3</v>
      </c>
      <c r="T533" s="5">
        <v>45097</v>
      </c>
      <c r="U533" s="1">
        <v>-2.6918872356484309E-3</v>
      </c>
    </row>
    <row r="534" spans="3:21" x14ac:dyDescent="0.2">
      <c r="C534" s="5">
        <v>45098</v>
      </c>
      <c r="D534" s="6">
        <v>1.0000100000000001</v>
      </c>
      <c r="E534" s="6">
        <v>29995.45</v>
      </c>
      <c r="F534" s="6">
        <v>30001</v>
      </c>
      <c r="G534" s="6">
        <v>30060.33</v>
      </c>
      <c r="H534" s="6">
        <v>29986.9</v>
      </c>
      <c r="I534" s="5">
        <v>45098</v>
      </c>
      <c r="J534" s="7">
        <f t="shared" si="50"/>
        <v>-2.8504323155676184E-4</v>
      </c>
      <c r="K534" s="5">
        <v>45098</v>
      </c>
      <c r="L534" s="8">
        <f t="shared" si="48"/>
        <v>1.9776007466418368E-3</v>
      </c>
      <c r="M534" s="5">
        <v>45098</v>
      </c>
      <c r="N534" s="9">
        <f t="shared" si="49"/>
        <v>1.692557515085075E-3</v>
      </c>
      <c r="O534" s="5">
        <v>45098</v>
      </c>
      <c r="P534">
        <f t="shared" si="51"/>
        <v>0.99755724571220594</v>
      </c>
      <c r="Q534" s="6">
        <f t="shared" si="52"/>
        <v>0.99999000009999894</v>
      </c>
      <c r="R534">
        <f t="shared" si="53"/>
        <v>-2.4357427296455522E-3</v>
      </c>
      <c r="T534" s="5">
        <v>45098</v>
      </c>
      <c r="U534" s="1">
        <v>-2.4357427296455522E-3</v>
      </c>
    </row>
    <row r="535" spans="3:21" x14ac:dyDescent="0.2">
      <c r="C535" s="5">
        <v>45099</v>
      </c>
      <c r="D535" s="6">
        <v>1.0000100000000001</v>
      </c>
      <c r="E535" s="6">
        <v>29886.31</v>
      </c>
      <c r="F535" s="6">
        <v>29884.5</v>
      </c>
      <c r="G535" s="6">
        <v>29954.27</v>
      </c>
      <c r="H535" s="6">
        <v>29911.8</v>
      </c>
      <c r="I535" s="5">
        <v>45099</v>
      </c>
      <c r="J535" s="7">
        <f t="shared" si="50"/>
        <v>8.5289886908079186E-4</v>
      </c>
      <c r="K535" s="5">
        <v>45099</v>
      </c>
      <c r="L535" s="8">
        <f t="shared" si="48"/>
        <v>2.334655088758401E-3</v>
      </c>
      <c r="M535" s="5">
        <v>45099</v>
      </c>
      <c r="N535" s="9">
        <f t="shared" si="49"/>
        <v>3.1875539578391926E-3</v>
      </c>
      <c r="O535" s="5">
        <v>45099</v>
      </c>
      <c r="P535">
        <f t="shared" si="51"/>
        <v>0.99858217209099076</v>
      </c>
      <c r="Q535" s="6">
        <f t="shared" si="52"/>
        <v>0.99999000009999894</v>
      </c>
      <c r="R535">
        <f t="shared" si="53"/>
        <v>-1.408834028066274E-3</v>
      </c>
      <c r="T535" s="5">
        <v>45099</v>
      </c>
      <c r="U535" s="1">
        <v>-1.408834028066274E-3</v>
      </c>
    </row>
    <row r="536" spans="3:21" x14ac:dyDescent="0.2">
      <c r="C536" s="5">
        <v>45100</v>
      </c>
      <c r="D536" s="6">
        <v>1.0000599999999999</v>
      </c>
      <c r="E536" s="6">
        <v>30707.07</v>
      </c>
      <c r="F536" s="6">
        <v>30690</v>
      </c>
      <c r="G536" s="6">
        <v>30796.14</v>
      </c>
      <c r="H536" s="6">
        <v>30723.9</v>
      </c>
      <c r="I536" s="5">
        <v>45100</v>
      </c>
      <c r="J536" s="7">
        <f t="shared" si="50"/>
        <v>5.4808224946247713E-4</v>
      </c>
      <c r="K536" s="5">
        <v>45100</v>
      </c>
      <c r="L536" s="8">
        <f t="shared" si="48"/>
        <v>3.458455522971633E-3</v>
      </c>
      <c r="M536" s="5">
        <v>45100</v>
      </c>
      <c r="N536" s="9">
        <f t="shared" si="49"/>
        <v>4.0065377724341098E-3</v>
      </c>
      <c r="O536" s="5">
        <v>45100</v>
      </c>
      <c r="P536">
        <f t="shared" si="51"/>
        <v>0.99765425147437325</v>
      </c>
      <c r="Q536" s="6">
        <f t="shared" si="52"/>
        <v>0.99994000359978408</v>
      </c>
      <c r="R536">
        <f t="shared" si="53"/>
        <v>-2.2885059037332308E-3</v>
      </c>
      <c r="T536" s="5">
        <v>45100</v>
      </c>
      <c r="U536" s="1">
        <v>-2.2885059037332308E-3</v>
      </c>
    </row>
    <row r="537" spans="3:21" x14ac:dyDescent="0.2">
      <c r="C537" s="5">
        <v>45101</v>
      </c>
      <c r="D537" s="6">
        <v>1.0000199999999999</v>
      </c>
      <c r="E537" s="6">
        <v>30546.47</v>
      </c>
      <c r="F537" s="6">
        <v>30541.5</v>
      </c>
      <c r="G537" s="6">
        <v>30616.14</v>
      </c>
      <c r="H537" s="6">
        <v>30554.5</v>
      </c>
      <c r="I537" s="5">
        <v>45101</v>
      </c>
      <c r="J537" s="7">
        <f t="shared" si="50"/>
        <v>2.628781656276105E-4</v>
      </c>
      <c r="K537" s="5">
        <v>45101</v>
      </c>
      <c r="L537" s="8">
        <f t="shared" si="48"/>
        <v>2.4438878247630084E-3</v>
      </c>
      <c r="M537" s="5">
        <v>45101</v>
      </c>
      <c r="N537" s="9">
        <f t="shared" si="49"/>
        <v>2.7067659903906188E-3</v>
      </c>
      <c r="O537" s="5">
        <v>45101</v>
      </c>
      <c r="P537">
        <f t="shared" si="51"/>
        <v>0.997986682841142</v>
      </c>
      <c r="Q537" s="6">
        <f t="shared" si="52"/>
        <v>0.99998000039999213</v>
      </c>
      <c r="R537">
        <f t="shared" si="53"/>
        <v>-1.9953468062515961E-3</v>
      </c>
      <c r="T537" s="5">
        <v>45101</v>
      </c>
      <c r="U537" s="1">
        <v>-1.9953468062515961E-3</v>
      </c>
    </row>
    <row r="538" spans="3:21" x14ac:dyDescent="0.2">
      <c r="C538" s="5">
        <v>45102</v>
      </c>
      <c r="D538" s="6">
        <v>1.0000500000000001</v>
      </c>
      <c r="E538" s="6">
        <v>30483.16</v>
      </c>
      <c r="F538" s="6">
        <v>30475</v>
      </c>
      <c r="G538" s="6">
        <v>30540.23</v>
      </c>
      <c r="H538" s="6">
        <v>30477.200000000001</v>
      </c>
      <c r="I538" s="5">
        <v>45102</v>
      </c>
      <c r="J538" s="7">
        <f t="shared" si="50"/>
        <v>-1.955177875259365E-4</v>
      </c>
      <c r="K538" s="5">
        <v>45102</v>
      </c>
      <c r="L538" s="8">
        <f t="shared" si="48"/>
        <v>2.1404429860541283E-3</v>
      </c>
      <c r="M538" s="5">
        <v>45102</v>
      </c>
      <c r="N538" s="9">
        <f t="shared" si="49"/>
        <v>1.9449251985281918E-3</v>
      </c>
      <c r="O538" s="5">
        <v>45102</v>
      </c>
      <c r="P538">
        <f t="shared" si="51"/>
        <v>0.99793616485533998</v>
      </c>
      <c r="Q538" s="6">
        <f t="shared" si="52"/>
        <v>0.99995000249987487</v>
      </c>
      <c r="R538">
        <f t="shared" si="53"/>
        <v>-2.0159690371573946E-3</v>
      </c>
      <c r="T538" s="5">
        <v>45102</v>
      </c>
      <c r="U538" s="1">
        <v>-2.0159690371573946E-3</v>
      </c>
    </row>
    <row r="539" spans="3:21" x14ac:dyDescent="0.2">
      <c r="C539" s="5">
        <v>45103</v>
      </c>
      <c r="D539" s="6">
        <v>0.99995000000000001</v>
      </c>
      <c r="E539" s="6">
        <v>30274.21</v>
      </c>
      <c r="F539" s="6">
        <v>30259</v>
      </c>
      <c r="G539" s="6">
        <v>30335.32</v>
      </c>
      <c r="H539" s="6">
        <v>30282.6</v>
      </c>
      <c r="I539" s="5">
        <v>45103</v>
      </c>
      <c r="J539" s="7">
        <f t="shared" si="50"/>
        <v>2.7713357342766065E-4</v>
      </c>
      <c r="K539" s="5">
        <v>45103</v>
      </c>
      <c r="L539" s="8">
        <f t="shared" si="48"/>
        <v>2.5222247926236724E-3</v>
      </c>
      <c r="M539" s="5">
        <v>45103</v>
      </c>
      <c r="N539" s="9">
        <f t="shared" si="49"/>
        <v>2.799358366051333E-3</v>
      </c>
      <c r="O539" s="5">
        <v>45103</v>
      </c>
      <c r="P539">
        <f t="shared" si="51"/>
        <v>0.99826209184541304</v>
      </c>
      <c r="Q539" s="6">
        <f t="shared" si="52"/>
        <v>1.0000500025001251</v>
      </c>
      <c r="R539">
        <f t="shared" si="53"/>
        <v>-1.789421318971705E-3</v>
      </c>
      <c r="T539" s="5">
        <v>45103</v>
      </c>
      <c r="U539" s="1">
        <v>-1.789421318971705E-3</v>
      </c>
    </row>
    <row r="540" spans="3:21" x14ac:dyDescent="0.2">
      <c r="C540" s="5">
        <v>45104</v>
      </c>
      <c r="D540" s="6">
        <v>1</v>
      </c>
      <c r="E540" s="6">
        <v>30695.81</v>
      </c>
      <c r="F540" s="6">
        <v>30697</v>
      </c>
      <c r="G540" s="6">
        <v>30771.86</v>
      </c>
      <c r="H540" s="6">
        <v>30677.9</v>
      </c>
      <c r="I540" s="5">
        <v>45104</v>
      </c>
      <c r="J540" s="7">
        <f t="shared" si="50"/>
        <v>-5.8346725497714037E-4</v>
      </c>
      <c r="K540" s="5">
        <v>45104</v>
      </c>
      <c r="L540" s="8">
        <f t="shared" si="48"/>
        <v>2.4386747890673545E-3</v>
      </c>
      <c r="M540" s="5">
        <v>45104</v>
      </c>
      <c r="N540" s="9">
        <f t="shared" si="49"/>
        <v>1.8552075340902141E-3</v>
      </c>
      <c r="O540" s="5">
        <v>45104</v>
      </c>
      <c r="P540">
        <f t="shared" si="51"/>
        <v>0.99694656091636968</v>
      </c>
      <c r="Q540" s="6">
        <f t="shared" si="52"/>
        <v>1</v>
      </c>
      <c r="R540">
        <f t="shared" si="53"/>
        <v>-3.0581103401039543E-3</v>
      </c>
      <c r="T540" s="5">
        <v>45104</v>
      </c>
      <c r="U540" s="1">
        <v>-3.0581103401039543E-3</v>
      </c>
    </row>
    <row r="541" spans="3:21" x14ac:dyDescent="0.2">
      <c r="C541" s="5">
        <v>45105</v>
      </c>
      <c r="D541" s="6">
        <v>1.0000100000000001</v>
      </c>
      <c r="E541" s="6">
        <v>30077.599999999999</v>
      </c>
      <c r="F541" s="6">
        <v>30065.5</v>
      </c>
      <c r="G541" s="6">
        <v>30182.31</v>
      </c>
      <c r="H541" s="6">
        <v>30084.1</v>
      </c>
      <c r="I541" s="5">
        <v>45105</v>
      </c>
      <c r="J541" s="7">
        <f t="shared" si="50"/>
        <v>2.1610766816501317E-4</v>
      </c>
      <c r="K541" s="5">
        <v>45105</v>
      </c>
      <c r="L541" s="8">
        <f t="shared" si="48"/>
        <v>3.8851840149008434E-3</v>
      </c>
      <c r="M541" s="5">
        <v>45105</v>
      </c>
      <c r="N541" s="9">
        <f t="shared" si="49"/>
        <v>4.1012916830658564E-3</v>
      </c>
      <c r="O541" s="5">
        <v>45105</v>
      </c>
      <c r="P541">
        <f t="shared" si="51"/>
        <v>0.99674610723963786</v>
      </c>
      <c r="Q541" s="6">
        <f t="shared" si="52"/>
        <v>0.99999000009999894</v>
      </c>
      <c r="R541">
        <f t="shared" si="53"/>
        <v>-3.2491982313832806E-3</v>
      </c>
      <c r="T541" s="5">
        <v>45105</v>
      </c>
      <c r="U541" s="1">
        <v>-3.2491982313832806E-3</v>
      </c>
    </row>
    <row r="542" spans="3:21" x14ac:dyDescent="0.2">
      <c r="C542" s="5">
        <v>45106</v>
      </c>
      <c r="D542" s="6">
        <v>1.00003</v>
      </c>
      <c r="E542" s="6">
        <v>30450.23</v>
      </c>
      <c r="F542" s="6">
        <v>30456</v>
      </c>
      <c r="G542" s="6">
        <v>30532.77</v>
      </c>
      <c r="H542" s="6">
        <v>30436.9</v>
      </c>
      <c r="I542" s="5">
        <v>45106</v>
      </c>
      <c r="J542" s="7">
        <f t="shared" si="50"/>
        <v>-4.377635242820205E-4</v>
      </c>
      <c r="K542" s="5">
        <v>45106</v>
      </c>
      <c r="L542" s="8">
        <f t="shared" si="48"/>
        <v>2.5206855791962317E-3</v>
      </c>
      <c r="M542" s="5">
        <v>45106</v>
      </c>
      <c r="N542" s="9">
        <f t="shared" si="49"/>
        <v>2.0829220549142113E-3</v>
      </c>
      <c r="O542" s="5">
        <v>45106</v>
      </c>
      <c r="P542">
        <f t="shared" si="51"/>
        <v>0.99686009490786465</v>
      </c>
      <c r="Q542" s="6">
        <f t="shared" si="52"/>
        <v>0.99997000089997301</v>
      </c>
      <c r="R542">
        <f t="shared" si="53"/>
        <v>-3.1148453872602995E-3</v>
      </c>
      <c r="T542" s="5">
        <v>45106</v>
      </c>
      <c r="U542" s="1">
        <v>-3.1148453872602995E-3</v>
      </c>
    </row>
    <row r="543" spans="3:21" x14ac:dyDescent="0.2">
      <c r="C543" s="5">
        <v>45107</v>
      </c>
      <c r="D543" s="6">
        <v>1.00004</v>
      </c>
      <c r="E543" s="6">
        <v>30464.55</v>
      </c>
      <c r="F543" s="6">
        <v>30460.5</v>
      </c>
      <c r="G543" s="6">
        <v>30466.14</v>
      </c>
      <c r="H543" s="6">
        <v>30480</v>
      </c>
      <c r="I543" s="5">
        <v>45107</v>
      </c>
      <c r="J543" s="7">
        <f t="shared" si="50"/>
        <v>5.0714683131707929E-4</v>
      </c>
      <c r="K543" s="5">
        <v>45107</v>
      </c>
      <c r="L543" s="8">
        <f t="shared" si="48"/>
        <v>1.851578273501557E-4</v>
      </c>
      <c r="M543" s="5">
        <v>45107</v>
      </c>
      <c r="N543" s="9">
        <f t="shared" si="49"/>
        <v>6.9230465866723504E-4</v>
      </c>
      <c r="O543" s="5">
        <v>45107</v>
      </c>
      <c r="P543">
        <f t="shared" si="51"/>
        <v>1.0004549312778055</v>
      </c>
      <c r="Q543" s="6">
        <f t="shared" si="52"/>
        <v>0.99996000159993592</v>
      </c>
      <c r="R543">
        <f t="shared" si="53"/>
        <v>4.9482702796711363E-4</v>
      </c>
      <c r="T543" s="5">
        <v>45107</v>
      </c>
      <c r="U543" s="1">
        <v>4.9482702796711363E-4</v>
      </c>
    </row>
    <row r="544" spans="3:21" x14ac:dyDescent="0.2">
      <c r="C544" s="5">
        <v>45108</v>
      </c>
      <c r="D544" s="6">
        <v>1.00003</v>
      </c>
      <c r="E544" s="6">
        <v>30582.65</v>
      </c>
      <c r="F544" s="6">
        <v>30590.5</v>
      </c>
      <c r="G544" s="6">
        <v>30635.87</v>
      </c>
      <c r="H544" s="6">
        <v>30589</v>
      </c>
      <c r="I544" s="5">
        <v>45108</v>
      </c>
      <c r="J544" s="7">
        <f t="shared" si="50"/>
        <v>2.0763406702815305E-4</v>
      </c>
      <c r="K544" s="5">
        <v>45108</v>
      </c>
      <c r="L544" s="8">
        <f t="shared" si="48"/>
        <v>1.4831401905820102E-3</v>
      </c>
      <c r="M544" s="5">
        <v>45108</v>
      </c>
      <c r="N544" s="9">
        <f t="shared" si="49"/>
        <v>1.6907742576101632E-3</v>
      </c>
      <c r="O544" s="5">
        <v>45108</v>
      </c>
      <c r="P544">
        <f t="shared" si="51"/>
        <v>0.99847009404335496</v>
      </c>
      <c r="Q544" s="6">
        <f t="shared" si="52"/>
        <v>0.99997000089997301</v>
      </c>
      <c r="R544">
        <f t="shared" si="53"/>
        <v>-1.5010779077643411E-3</v>
      </c>
      <c r="T544" s="5">
        <v>45108</v>
      </c>
      <c r="U544" s="1">
        <v>-1.5010779077643411E-3</v>
      </c>
    </row>
    <row r="545" spans="3:21" x14ac:dyDescent="0.2">
      <c r="C545" s="5">
        <v>45109</v>
      </c>
      <c r="D545" s="6">
        <v>1.00004</v>
      </c>
      <c r="E545" s="6">
        <v>30612.74</v>
      </c>
      <c r="F545" s="6">
        <v>30619.5</v>
      </c>
      <c r="G545" s="6">
        <v>30631.09</v>
      </c>
      <c r="H545" s="6">
        <v>30618.7</v>
      </c>
      <c r="I545" s="5">
        <v>45109</v>
      </c>
      <c r="J545" s="7">
        <f t="shared" si="50"/>
        <v>1.9469018454405345E-4</v>
      </c>
      <c r="K545" s="5">
        <v>45109</v>
      </c>
      <c r="L545" s="8">
        <f t="shared" si="48"/>
        <v>3.7851695814759042E-4</v>
      </c>
      <c r="M545" s="5">
        <v>45109</v>
      </c>
      <c r="N545" s="9">
        <f t="shared" si="49"/>
        <v>5.7320714269164393E-4</v>
      </c>
      <c r="O545" s="5">
        <v>45109</v>
      </c>
      <c r="P545">
        <f t="shared" si="51"/>
        <v>0.99959550900735183</v>
      </c>
      <c r="Q545" s="6">
        <f t="shared" si="52"/>
        <v>0.99996000159993592</v>
      </c>
      <c r="R545">
        <f t="shared" si="53"/>
        <v>-3.6457362117496605E-4</v>
      </c>
      <c r="T545" s="5">
        <v>45109</v>
      </c>
      <c r="U545" s="1">
        <v>-3.6457362117496605E-4</v>
      </c>
    </row>
    <row r="546" spans="3:21" x14ac:dyDescent="0.2">
      <c r="C546" s="5">
        <v>45110</v>
      </c>
      <c r="D546" s="6">
        <v>1.0000599999999999</v>
      </c>
      <c r="E546" s="6">
        <v>31160.01</v>
      </c>
      <c r="F546" s="6">
        <v>31167</v>
      </c>
      <c r="G546" s="6">
        <v>31227.1</v>
      </c>
      <c r="H546" s="6">
        <v>31144.7</v>
      </c>
      <c r="I546" s="5">
        <v>45110</v>
      </c>
      <c r="J546" s="7">
        <f t="shared" si="50"/>
        <v>-4.9133488724803596E-4</v>
      </c>
      <c r="K546" s="5">
        <v>45110</v>
      </c>
      <c r="L546" s="8">
        <f t="shared" si="48"/>
        <v>1.9283216222285926E-3</v>
      </c>
      <c r="M546" s="5">
        <v>45110</v>
      </c>
      <c r="N546" s="9">
        <f t="shared" si="49"/>
        <v>1.4369867349805568E-3</v>
      </c>
      <c r="O546" s="5">
        <v>45110</v>
      </c>
      <c r="P546">
        <f t="shared" si="51"/>
        <v>0.997361266335971</v>
      </c>
      <c r="Q546" s="6">
        <f t="shared" si="52"/>
        <v>0.99994000359978408</v>
      </c>
      <c r="R546">
        <f t="shared" si="53"/>
        <v>-2.5822230582045178E-3</v>
      </c>
      <c r="T546" s="5">
        <v>45110</v>
      </c>
      <c r="U546" s="1">
        <v>-2.5822230582045178E-3</v>
      </c>
    </row>
    <row r="547" spans="3:21" x14ac:dyDescent="0.2">
      <c r="C547" s="5">
        <v>45111</v>
      </c>
      <c r="D547" s="6">
        <v>1.0000100000000001</v>
      </c>
      <c r="E547" s="6">
        <v>30774.22</v>
      </c>
      <c r="F547" s="6">
        <v>30769.5</v>
      </c>
      <c r="G547" s="6">
        <v>30865.35</v>
      </c>
      <c r="H547" s="6">
        <v>30751.599999999999</v>
      </c>
      <c r="I547" s="5">
        <v>45111</v>
      </c>
      <c r="J547" s="7">
        <f t="shared" si="50"/>
        <v>-7.3503081475347282E-4</v>
      </c>
      <c r="K547" s="5">
        <v>45111</v>
      </c>
      <c r="L547" s="8">
        <f t="shared" si="48"/>
        <v>3.1150977428947022E-3</v>
      </c>
      <c r="M547" s="5">
        <v>45111</v>
      </c>
      <c r="N547" s="9">
        <f t="shared" si="49"/>
        <v>2.3800669281412294E-3</v>
      </c>
      <c r="O547" s="5">
        <v>45111</v>
      </c>
      <c r="P547">
        <f t="shared" si="51"/>
        <v>0.99631463761143169</v>
      </c>
      <c r="Q547" s="6">
        <f t="shared" si="52"/>
        <v>0.99999000009999894</v>
      </c>
      <c r="R547">
        <f t="shared" si="53"/>
        <v>-3.6821701175250043E-3</v>
      </c>
      <c r="T547" s="5">
        <v>45111</v>
      </c>
      <c r="U547" s="1">
        <v>-3.6821701175250043E-3</v>
      </c>
    </row>
    <row r="548" spans="3:21" x14ac:dyDescent="0.2">
      <c r="C548" s="5">
        <v>45112</v>
      </c>
      <c r="D548" s="6">
        <v>1</v>
      </c>
      <c r="E548" s="6">
        <v>30495.74</v>
      </c>
      <c r="F548" s="6">
        <v>30505.5</v>
      </c>
      <c r="G548" s="6">
        <v>30565.42</v>
      </c>
      <c r="H548" s="6">
        <v>30513.9</v>
      </c>
      <c r="I548" s="5">
        <v>45112</v>
      </c>
      <c r="J548" s="7">
        <f t="shared" si="50"/>
        <v>5.954930098433373E-4</v>
      </c>
      <c r="K548" s="5">
        <v>45112</v>
      </c>
      <c r="L548" s="8">
        <f t="shared" si="48"/>
        <v>1.9642359574502384E-3</v>
      </c>
      <c r="M548" s="5">
        <v>45112</v>
      </c>
      <c r="N548" s="9">
        <f t="shared" si="49"/>
        <v>2.5597289672935758E-3</v>
      </c>
      <c r="O548" s="5">
        <v>45112</v>
      </c>
      <c r="P548">
        <f t="shared" si="51"/>
        <v>0.99831443507074358</v>
      </c>
      <c r="Q548" s="6">
        <f t="shared" si="52"/>
        <v>1</v>
      </c>
      <c r="R548">
        <f t="shared" si="53"/>
        <v>-1.6869870921450614E-3</v>
      </c>
      <c r="T548" s="5">
        <v>45112</v>
      </c>
      <c r="U548" s="1">
        <v>-1.6869870921450614E-3</v>
      </c>
    </row>
    <row r="549" spans="3:21" x14ac:dyDescent="0.2">
      <c r="C549" s="5">
        <v>45113</v>
      </c>
      <c r="D549" s="6">
        <v>0.99995999999999996</v>
      </c>
      <c r="E549" s="6">
        <v>29887.47</v>
      </c>
      <c r="F549" s="6">
        <v>29882.5</v>
      </c>
      <c r="G549" s="6">
        <v>29981.5</v>
      </c>
      <c r="H549" s="6">
        <v>29899.4</v>
      </c>
      <c r="I549" s="5">
        <v>45113</v>
      </c>
      <c r="J549" s="7">
        <f t="shared" si="50"/>
        <v>3.9916393057024533E-4</v>
      </c>
      <c r="K549" s="5">
        <v>45113</v>
      </c>
      <c r="L549" s="8">
        <f t="shared" si="48"/>
        <v>3.3129758219693803E-3</v>
      </c>
      <c r="M549" s="5">
        <v>45113</v>
      </c>
      <c r="N549" s="9">
        <f t="shared" si="49"/>
        <v>3.7121397525396258E-3</v>
      </c>
      <c r="O549" s="5">
        <v>45113</v>
      </c>
      <c r="P549">
        <f t="shared" si="51"/>
        <v>0.99726164468088652</v>
      </c>
      <c r="Q549" s="6">
        <f t="shared" si="52"/>
        <v>1.0000400016000641</v>
      </c>
      <c r="R549">
        <f t="shared" si="53"/>
        <v>-2.782112272750996E-3</v>
      </c>
      <c r="T549" s="5">
        <v>45113</v>
      </c>
      <c r="U549" s="1">
        <v>-2.782112272750996E-3</v>
      </c>
    </row>
    <row r="550" spans="3:21" x14ac:dyDescent="0.2">
      <c r="C550" s="5">
        <v>45114</v>
      </c>
      <c r="D550" s="6">
        <v>1</v>
      </c>
      <c r="E550" s="6">
        <v>30345.65</v>
      </c>
      <c r="F550" s="6">
        <v>30330</v>
      </c>
      <c r="G550" s="6">
        <v>30441.38</v>
      </c>
      <c r="H550" s="6">
        <v>30336.7</v>
      </c>
      <c r="I550" s="5">
        <v>45114</v>
      </c>
      <c r="J550" s="7">
        <f t="shared" si="50"/>
        <v>-2.9493518840429279E-4</v>
      </c>
      <c r="K550" s="5">
        <v>45114</v>
      </c>
      <c r="L550" s="8">
        <f t="shared" si="48"/>
        <v>3.6722716782064298E-3</v>
      </c>
      <c r="M550" s="5">
        <v>45114</v>
      </c>
      <c r="N550" s="9">
        <f t="shared" si="49"/>
        <v>3.3773364898021371E-3</v>
      </c>
      <c r="O550" s="5">
        <v>45114</v>
      </c>
      <c r="P550">
        <f t="shared" si="51"/>
        <v>0.99656125970636011</v>
      </c>
      <c r="Q550" s="6">
        <f t="shared" si="52"/>
        <v>1</v>
      </c>
      <c r="R550">
        <f t="shared" si="53"/>
        <v>-3.4446663503904149E-3</v>
      </c>
      <c r="T550" s="5">
        <v>45114</v>
      </c>
      <c r="U550" s="1">
        <v>-3.4446663503904149E-3</v>
      </c>
    </row>
    <row r="551" spans="3:21" x14ac:dyDescent="0.2">
      <c r="C551" s="5">
        <v>45115</v>
      </c>
      <c r="D551" s="6">
        <v>1</v>
      </c>
      <c r="E551" s="6">
        <v>30289.56</v>
      </c>
      <c r="F551" s="6">
        <v>30272</v>
      </c>
      <c r="G551" s="6">
        <v>30396.92</v>
      </c>
      <c r="H551" s="6">
        <v>30275.5</v>
      </c>
      <c r="I551" s="5">
        <v>45115</v>
      </c>
      <c r="J551" s="7">
        <f t="shared" si="50"/>
        <v>-4.6418634011194978E-4</v>
      </c>
      <c r="K551" s="5">
        <v>45115</v>
      </c>
      <c r="L551" s="8">
        <f t="shared" si="48"/>
        <v>4.1265856236785891E-3</v>
      </c>
      <c r="M551" s="5">
        <v>45115</v>
      </c>
      <c r="N551" s="9">
        <f t="shared" si="49"/>
        <v>3.6623992835666391E-3</v>
      </c>
      <c r="O551" s="5">
        <v>45115</v>
      </c>
      <c r="P551">
        <f t="shared" si="51"/>
        <v>0.99600551634836687</v>
      </c>
      <c r="Q551" s="6">
        <f t="shared" si="52"/>
        <v>1</v>
      </c>
      <c r="R551">
        <f t="shared" si="53"/>
        <v>-4.0024829104998898E-3</v>
      </c>
      <c r="T551" s="5">
        <v>45115</v>
      </c>
      <c r="U551" s="1">
        <v>-4.0024829104998898E-3</v>
      </c>
    </row>
    <row r="552" spans="3:21" x14ac:dyDescent="0.2">
      <c r="C552" s="5">
        <v>45116</v>
      </c>
      <c r="D552" s="6">
        <v>0.99997000000000003</v>
      </c>
      <c r="E552" s="6">
        <v>30170.51</v>
      </c>
      <c r="F552" s="6">
        <v>30162</v>
      </c>
      <c r="G552" s="6">
        <v>30287.05</v>
      </c>
      <c r="H552" s="6">
        <v>30160.6</v>
      </c>
      <c r="I552" s="5">
        <v>45116</v>
      </c>
      <c r="J552" s="7">
        <f t="shared" si="50"/>
        <v>-3.2846643957957139E-4</v>
      </c>
      <c r="K552" s="5">
        <v>45116</v>
      </c>
      <c r="L552" s="8">
        <f t="shared" si="48"/>
        <v>4.1459452290961898E-3</v>
      </c>
      <c r="M552" s="5">
        <v>45116</v>
      </c>
      <c r="N552" s="9">
        <f t="shared" si="49"/>
        <v>3.8174787895166183E-3</v>
      </c>
      <c r="O552" s="5">
        <v>45116</v>
      </c>
      <c r="P552">
        <f t="shared" si="51"/>
        <v>0.99582494828647883</v>
      </c>
      <c r="Q552" s="6">
        <f t="shared" si="52"/>
        <v>1.0000300009000269</v>
      </c>
      <c r="R552">
        <f t="shared" si="53"/>
        <v>-4.2137920266716103E-3</v>
      </c>
      <c r="T552" s="5">
        <v>45116</v>
      </c>
      <c r="U552" s="1">
        <v>-4.2137920266716103E-3</v>
      </c>
    </row>
    <row r="553" spans="3:21" x14ac:dyDescent="0.2">
      <c r="C553" s="5">
        <v>45117</v>
      </c>
      <c r="D553" s="6">
        <v>1</v>
      </c>
      <c r="E553" s="6">
        <v>30420.080000000002</v>
      </c>
      <c r="F553" s="6">
        <v>30416.5</v>
      </c>
      <c r="G553" s="6">
        <v>30469.39</v>
      </c>
      <c r="H553" s="6">
        <v>30415.7</v>
      </c>
      <c r="I553" s="5">
        <v>45117</v>
      </c>
      <c r="J553" s="7">
        <f t="shared" si="50"/>
        <v>-1.439838422515989E-4</v>
      </c>
      <c r="K553" s="5">
        <v>45117</v>
      </c>
      <c r="L553" s="8">
        <f t="shared" si="48"/>
        <v>1.7388588430621347E-3</v>
      </c>
      <c r="M553" s="5">
        <v>45117</v>
      </c>
      <c r="N553" s="9">
        <f t="shared" si="49"/>
        <v>1.5948750008105358E-3</v>
      </c>
      <c r="O553" s="5">
        <v>45117</v>
      </c>
      <c r="P553">
        <f t="shared" si="51"/>
        <v>0.99823790367972587</v>
      </c>
      <c r="Q553" s="6">
        <f t="shared" si="52"/>
        <v>1</v>
      </c>
      <c r="R553">
        <f t="shared" si="53"/>
        <v>-1.7636506381686922E-3</v>
      </c>
      <c r="T553" s="5">
        <v>45117</v>
      </c>
      <c r="U553" s="1">
        <v>-1.7636506381686922E-3</v>
      </c>
    </row>
    <row r="554" spans="3:21" x14ac:dyDescent="0.2">
      <c r="C554" s="5">
        <v>45118</v>
      </c>
      <c r="D554" s="6">
        <v>1.0001199999999999</v>
      </c>
      <c r="E554" s="6">
        <v>30622.94</v>
      </c>
      <c r="F554" s="6">
        <v>30623.5</v>
      </c>
      <c r="G554" s="6">
        <v>30713.65</v>
      </c>
      <c r="H554" s="6">
        <v>30609.7</v>
      </c>
      <c r="I554" s="5">
        <v>45118</v>
      </c>
      <c r="J554" s="7">
        <f t="shared" si="50"/>
        <v>-4.3235561314485037E-4</v>
      </c>
      <c r="K554" s="5">
        <v>45118</v>
      </c>
      <c r="L554" s="8">
        <f t="shared" si="48"/>
        <v>2.9438176563750537E-3</v>
      </c>
      <c r="M554" s="5">
        <v>45118</v>
      </c>
      <c r="N554" s="9">
        <f t="shared" si="49"/>
        <v>2.5114620432302032E-3</v>
      </c>
      <c r="O554" s="5">
        <v>45118</v>
      </c>
      <c r="P554">
        <f t="shared" si="51"/>
        <v>0.99661551134430459</v>
      </c>
      <c r="Q554" s="6">
        <f t="shared" si="52"/>
        <v>0.99988001439827234</v>
      </c>
      <c r="R554">
        <f t="shared" si="53"/>
        <v>-3.2702361925808269E-3</v>
      </c>
      <c r="T554" s="5">
        <v>45118</v>
      </c>
      <c r="U554" s="1">
        <v>-3.2702361925808269E-3</v>
      </c>
    </row>
    <row r="555" spans="3:21" x14ac:dyDescent="0.2">
      <c r="C555" s="5">
        <v>45119</v>
      </c>
      <c r="D555" s="6">
        <v>1.00004</v>
      </c>
      <c r="E555" s="6">
        <v>30383.62</v>
      </c>
      <c r="F555" s="6">
        <v>30380.5</v>
      </c>
      <c r="G555" s="6">
        <v>30487.45</v>
      </c>
      <c r="H555" s="6">
        <v>30395.7</v>
      </c>
      <c r="I555" s="5">
        <v>45119</v>
      </c>
      <c r="J555" s="7">
        <f t="shared" si="50"/>
        <v>3.9758264485935998E-4</v>
      </c>
      <c r="K555" s="5">
        <v>45119</v>
      </c>
      <c r="L555" s="8">
        <f t="shared" si="48"/>
        <v>3.5203502246507045E-3</v>
      </c>
      <c r="M555" s="5">
        <v>45119</v>
      </c>
      <c r="N555" s="9">
        <f t="shared" si="49"/>
        <v>3.9179328695100645E-3</v>
      </c>
      <c r="O555" s="5">
        <v>45119</v>
      </c>
      <c r="P555">
        <f t="shared" si="51"/>
        <v>0.99699056497017624</v>
      </c>
      <c r="Q555" s="6">
        <f t="shared" si="52"/>
        <v>0.99996000159993592</v>
      </c>
      <c r="R555">
        <f t="shared" si="53"/>
        <v>-2.9739732851397677E-3</v>
      </c>
      <c r="T555" s="5">
        <v>45119</v>
      </c>
      <c r="U555" s="1">
        <v>-2.9739732851397677E-3</v>
      </c>
    </row>
    <row r="556" spans="3:21" x14ac:dyDescent="0.2">
      <c r="C556" s="5">
        <v>45120</v>
      </c>
      <c r="D556" s="6">
        <v>1.00004</v>
      </c>
      <c r="E556" s="6">
        <v>31470.55</v>
      </c>
      <c r="F556" s="6">
        <v>31474</v>
      </c>
      <c r="G556" s="6">
        <v>31534.5</v>
      </c>
      <c r="H556" s="6">
        <v>31470.5</v>
      </c>
      <c r="I556" s="5">
        <v>45120</v>
      </c>
      <c r="J556" s="7">
        <f t="shared" si="50"/>
        <v>-1.5887869770077868E-6</v>
      </c>
      <c r="K556" s="5">
        <v>45120</v>
      </c>
      <c r="L556" s="8">
        <f t="shared" si="48"/>
        <v>1.9222215161720786E-3</v>
      </c>
      <c r="M556" s="5">
        <v>45120</v>
      </c>
      <c r="N556" s="9">
        <f t="shared" si="49"/>
        <v>1.9206327291950709E-3</v>
      </c>
      <c r="O556" s="5">
        <v>45120</v>
      </c>
      <c r="P556">
        <f t="shared" si="51"/>
        <v>0.99797047677940032</v>
      </c>
      <c r="Q556" s="6">
        <f t="shared" si="52"/>
        <v>0.99996000159993592</v>
      </c>
      <c r="R556">
        <f t="shared" si="53"/>
        <v>-1.9915862935894527E-3</v>
      </c>
      <c r="T556" s="5">
        <v>45120</v>
      </c>
      <c r="U556" s="1">
        <v>-1.9915862935894527E-3</v>
      </c>
    </row>
    <row r="557" spans="3:21" x14ac:dyDescent="0.2">
      <c r="C557" s="5">
        <v>45121</v>
      </c>
      <c r="D557" s="6">
        <v>0.99999000000000005</v>
      </c>
      <c r="E557" s="6">
        <v>30328.36</v>
      </c>
      <c r="F557" s="6">
        <v>30314.5</v>
      </c>
      <c r="G557" s="6">
        <v>30408.13</v>
      </c>
      <c r="H557" s="6">
        <v>30323</v>
      </c>
      <c r="I557" s="5">
        <v>45121</v>
      </c>
      <c r="J557" s="7">
        <f t="shared" si="50"/>
        <v>-1.7673227302764086E-4</v>
      </c>
      <c r="K557" s="5">
        <v>45121</v>
      </c>
      <c r="L557" s="8">
        <f t="shared" si="48"/>
        <v>3.0886209569678212E-3</v>
      </c>
      <c r="M557" s="5">
        <v>45121</v>
      </c>
      <c r="N557" s="9">
        <f t="shared" si="49"/>
        <v>2.9118886839401802E-3</v>
      </c>
      <c r="O557" s="5">
        <v>45121</v>
      </c>
      <c r="P557">
        <f t="shared" si="51"/>
        <v>0.9972004197561638</v>
      </c>
      <c r="Q557" s="6">
        <f t="shared" si="52"/>
        <v>1.000010000100001</v>
      </c>
      <c r="R557">
        <f t="shared" si="53"/>
        <v>-2.8135064480419095E-3</v>
      </c>
      <c r="T557" s="5">
        <v>45121</v>
      </c>
      <c r="U557" s="1">
        <v>-2.8135064480419095E-3</v>
      </c>
    </row>
    <row r="558" spans="3:21" x14ac:dyDescent="0.2">
      <c r="C558" s="5">
        <v>45122</v>
      </c>
      <c r="D558" s="6">
        <v>1.0000100000000001</v>
      </c>
      <c r="E558" s="6">
        <v>30298.959999999999</v>
      </c>
      <c r="F558" s="6">
        <v>30283</v>
      </c>
      <c r="G558" s="6">
        <v>30462.94</v>
      </c>
      <c r="H558" s="6">
        <v>30295</v>
      </c>
      <c r="I558" s="5">
        <v>45122</v>
      </c>
      <c r="J558" s="7">
        <f t="shared" si="50"/>
        <v>-1.306975552955985E-4</v>
      </c>
      <c r="K558" s="5">
        <v>45122</v>
      </c>
      <c r="L558" s="8">
        <f t="shared" si="48"/>
        <v>5.9419476273816557E-3</v>
      </c>
      <c r="M558" s="5">
        <v>45122</v>
      </c>
      <c r="N558" s="9">
        <f t="shared" si="49"/>
        <v>5.8112500720860572E-3</v>
      </c>
      <c r="O558" s="5">
        <v>45122</v>
      </c>
      <c r="P558">
        <f t="shared" si="51"/>
        <v>0.99448707183219998</v>
      </c>
      <c r="Q558" s="6">
        <f t="shared" si="52"/>
        <v>0.99999000009999894</v>
      </c>
      <c r="R558">
        <f t="shared" si="53"/>
        <v>-5.5181804885689901E-3</v>
      </c>
      <c r="T558" s="5">
        <v>45122</v>
      </c>
      <c r="U558" s="1">
        <v>-5.5181804885689901E-3</v>
      </c>
    </row>
    <row r="559" spans="3:21" x14ac:dyDescent="0.2">
      <c r="C559" s="5">
        <v>45123</v>
      </c>
      <c r="D559" s="6">
        <v>1.0000100000000001</v>
      </c>
      <c r="E559" s="6">
        <v>30246.31</v>
      </c>
      <c r="F559" s="6">
        <v>30231.5</v>
      </c>
      <c r="G559" s="6">
        <v>30381.17</v>
      </c>
      <c r="H559" s="6">
        <v>30231.3</v>
      </c>
      <c r="I559" s="5">
        <v>45123</v>
      </c>
      <c r="J559" s="7">
        <f t="shared" si="50"/>
        <v>-4.9625888248854282E-4</v>
      </c>
      <c r="K559" s="5">
        <v>45123</v>
      </c>
      <c r="L559" s="8">
        <f t="shared" si="48"/>
        <v>4.9507963547954373E-3</v>
      </c>
      <c r="M559" s="5">
        <v>45123</v>
      </c>
      <c r="N559" s="9">
        <f t="shared" si="49"/>
        <v>4.4545374723068947E-3</v>
      </c>
      <c r="O559" s="5">
        <v>45123</v>
      </c>
      <c r="P559">
        <f t="shared" si="51"/>
        <v>0.99506701025668209</v>
      </c>
      <c r="Q559" s="6">
        <f t="shared" si="52"/>
        <v>0.99999000009999894</v>
      </c>
      <c r="R559">
        <f t="shared" si="53"/>
        <v>-4.9351971496103698E-3</v>
      </c>
      <c r="T559" s="5">
        <v>45123</v>
      </c>
      <c r="U559" s="1">
        <v>-4.9351971496103698E-3</v>
      </c>
    </row>
    <row r="560" spans="3:21" x14ac:dyDescent="0.2">
      <c r="C560" s="5">
        <v>45124</v>
      </c>
      <c r="D560" s="6">
        <v>1</v>
      </c>
      <c r="E560" s="6">
        <v>30144.880000000001</v>
      </c>
      <c r="F560" s="6">
        <v>30136.5</v>
      </c>
      <c r="G560" s="6">
        <v>30256.34</v>
      </c>
      <c r="H560" s="6">
        <v>30137.1</v>
      </c>
      <c r="I560" s="5">
        <v>45124</v>
      </c>
      <c r="J560" s="7">
        <f t="shared" si="50"/>
        <v>-2.5808694544488062E-4</v>
      </c>
      <c r="K560" s="5">
        <v>45124</v>
      </c>
      <c r="L560" s="8">
        <f t="shared" si="48"/>
        <v>3.9765732583412188E-3</v>
      </c>
      <c r="M560" s="5">
        <v>45124</v>
      </c>
      <c r="N560" s="9">
        <f t="shared" si="49"/>
        <v>3.7184863128963382E-3</v>
      </c>
      <c r="O560" s="5">
        <v>45124</v>
      </c>
      <c r="P560">
        <f t="shared" si="51"/>
        <v>0.99605900779803502</v>
      </c>
      <c r="Q560" s="6">
        <f t="shared" si="52"/>
        <v>1</v>
      </c>
      <c r="R560">
        <f t="shared" si="53"/>
        <v>-3.9487783752977183E-3</v>
      </c>
      <c r="T560" s="5">
        <v>45124</v>
      </c>
      <c r="U560" s="1">
        <v>-3.9487783752977183E-3</v>
      </c>
    </row>
    <row r="561" spans="3:21" x14ac:dyDescent="0.2">
      <c r="C561" s="5">
        <v>45125</v>
      </c>
      <c r="D561" s="6">
        <v>1.0000100000000001</v>
      </c>
      <c r="E561" s="6">
        <v>29858.560000000001</v>
      </c>
      <c r="F561" s="6">
        <v>29860</v>
      </c>
      <c r="G561" s="6">
        <v>29956.17</v>
      </c>
      <c r="H561" s="6">
        <v>29856.3</v>
      </c>
      <c r="I561" s="5">
        <v>45125</v>
      </c>
      <c r="J561" s="7">
        <f t="shared" si="50"/>
        <v>-7.5690187336631005E-5</v>
      </c>
      <c r="K561" s="5">
        <v>45125</v>
      </c>
      <c r="L561" s="8">
        <f t="shared" si="48"/>
        <v>3.2206965840588832E-3</v>
      </c>
      <c r="M561" s="5">
        <v>45125</v>
      </c>
      <c r="N561" s="9">
        <f t="shared" si="49"/>
        <v>3.1450063967222524E-3</v>
      </c>
      <c r="O561" s="5">
        <v>45125</v>
      </c>
      <c r="P561">
        <f t="shared" si="51"/>
        <v>0.9966661292147827</v>
      </c>
      <c r="Q561" s="6">
        <f t="shared" si="52"/>
        <v>0.99999000009999894</v>
      </c>
      <c r="R561">
        <f t="shared" si="53"/>
        <v>-3.3294405650415851E-3</v>
      </c>
      <c r="T561" s="5">
        <v>45125</v>
      </c>
      <c r="U561" s="1">
        <v>-3.3294405650415851E-3</v>
      </c>
    </row>
    <row r="562" spans="3:21" x14ac:dyDescent="0.2">
      <c r="C562" s="5">
        <v>45126</v>
      </c>
      <c r="D562" s="6">
        <v>1.0000100000000001</v>
      </c>
      <c r="E562" s="6">
        <v>29913.59</v>
      </c>
      <c r="F562" s="6">
        <v>29893</v>
      </c>
      <c r="G562" s="6">
        <v>30012.35</v>
      </c>
      <c r="H562" s="6">
        <v>29898.799999999999</v>
      </c>
      <c r="I562" s="5">
        <v>45126</v>
      </c>
      <c r="J562" s="7">
        <f t="shared" si="50"/>
        <v>-4.9442410623401847E-4</v>
      </c>
      <c r="K562" s="5">
        <v>45126</v>
      </c>
      <c r="L562" s="8">
        <f t="shared" si="48"/>
        <v>3.9925735121934414E-3</v>
      </c>
      <c r="M562" s="5">
        <v>45126</v>
      </c>
      <c r="N562" s="9">
        <f t="shared" si="49"/>
        <v>3.4981494059594231E-3</v>
      </c>
      <c r="O562" s="5">
        <v>45126</v>
      </c>
      <c r="P562">
        <f t="shared" si="51"/>
        <v>0.99621655751715532</v>
      </c>
      <c r="Q562" s="6">
        <f t="shared" si="52"/>
        <v>0.99999000009999894</v>
      </c>
      <c r="R562">
        <f t="shared" si="53"/>
        <v>-3.7806178553524599E-3</v>
      </c>
      <c r="T562" s="5">
        <v>45126</v>
      </c>
      <c r="U562" s="1">
        <v>-3.7806178553524599E-3</v>
      </c>
    </row>
    <row r="563" spans="3:21" x14ac:dyDescent="0.2">
      <c r="C563" s="5">
        <v>45127</v>
      </c>
      <c r="D563" s="6">
        <v>0.99997999999999998</v>
      </c>
      <c r="E563" s="6">
        <v>29800.95</v>
      </c>
      <c r="F563" s="6">
        <v>29796.5</v>
      </c>
      <c r="G563" s="6">
        <v>29895.68</v>
      </c>
      <c r="H563" s="6">
        <v>29793.1</v>
      </c>
      <c r="I563" s="5">
        <v>45127</v>
      </c>
      <c r="J563" s="7">
        <f t="shared" si="50"/>
        <v>-2.6341442135241266E-4</v>
      </c>
      <c r="K563" s="5">
        <v>45127</v>
      </c>
      <c r="L563" s="8">
        <f t="shared" si="48"/>
        <v>3.3285788599332236E-3</v>
      </c>
      <c r="M563" s="5">
        <v>45127</v>
      </c>
      <c r="N563" s="9">
        <f t="shared" si="49"/>
        <v>3.065164438580811E-3</v>
      </c>
      <c r="O563" s="5">
        <v>45127</v>
      </c>
      <c r="P563">
        <f t="shared" si="51"/>
        <v>0.99656873501455734</v>
      </c>
      <c r="Q563" s="6">
        <f t="shared" si="52"/>
        <v>1.0000200004000079</v>
      </c>
      <c r="R563">
        <f t="shared" si="53"/>
        <v>-3.4571654759853851E-3</v>
      </c>
      <c r="T563" s="5">
        <v>45127</v>
      </c>
      <c r="U563" s="1">
        <v>-3.4571654759853851E-3</v>
      </c>
    </row>
    <row r="564" spans="3:21" x14ac:dyDescent="0.2">
      <c r="C564" s="5">
        <v>45128</v>
      </c>
      <c r="D564" s="6">
        <v>0.99997999999999998</v>
      </c>
      <c r="E564" s="6">
        <v>29904.02</v>
      </c>
      <c r="F564" s="6">
        <v>29887.5</v>
      </c>
      <c r="G564" s="6">
        <v>30005.64</v>
      </c>
      <c r="H564" s="6">
        <v>29885.8</v>
      </c>
      <c r="I564" s="5">
        <v>45128</v>
      </c>
      <c r="J564" s="7">
        <f t="shared" si="50"/>
        <v>-6.0928263156596212E-4</v>
      </c>
      <c r="K564" s="5">
        <v>45128</v>
      </c>
      <c r="L564" s="8">
        <f t="shared" si="48"/>
        <v>3.9528230865746358E-3</v>
      </c>
      <c r="M564" s="5">
        <v>45128</v>
      </c>
      <c r="N564" s="9">
        <f t="shared" si="49"/>
        <v>3.3435404550086738E-3</v>
      </c>
      <c r="O564" s="5">
        <v>45128</v>
      </c>
      <c r="P564">
        <f t="shared" si="51"/>
        <v>0.99600608418950576</v>
      </c>
      <c r="Q564" s="6">
        <f t="shared" si="52"/>
        <v>1.0000200004000079</v>
      </c>
      <c r="R564">
        <f t="shared" si="53"/>
        <v>-4.0219129921972227E-3</v>
      </c>
      <c r="T564" s="5">
        <v>45128</v>
      </c>
      <c r="U564" s="1">
        <v>-4.0219129921972227E-3</v>
      </c>
    </row>
    <row r="565" spans="3:21" x14ac:dyDescent="0.2">
      <c r="C565" s="5">
        <v>45129</v>
      </c>
      <c r="D565" s="6">
        <v>0.99997999999999998</v>
      </c>
      <c r="E565" s="6">
        <v>29795</v>
      </c>
      <c r="F565" s="6">
        <v>29779.5</v>
      </c>
      <c r="G565" s="6">
        <v>29899.41</v>
      </c>
      <c r="H565" s="6">
        <v>29784.7</v>
      </c>
      <c r="I565" s="5">
        <v>45129</v>
      </c>
      <c r="J565" s="7">
        <f t="shared" si="50"/>
        <v>-3.456955865077789E-4</v>
      </c>
      <c r="K565" s="5">
        <v>45129</v>
      </c>
      <c r="L565" s="8">
        <f t="shared" si="48"/>
        <v>4.0265954767541379E-3</v>
      </c>
      <c r="M565" s="5">
        <v>45129</v>
      </c>
      <c r="N565" s="9">
        <f t="shared" si="49"/>
        <v>3.6808998902463589E-3</v>
      </c>
      <c r="O565" s="5">
        <v>45129</v>
      </c>
      <c r="P565">
        <f t="shared" si="51"/>
        <v>0.99616346944638701</v>
      </c>
      <c r="Q565" s="6">
        <f t="shared" si="52"/>
        <v>1.0000200004000079</v>
      </c>
      <c r="R565">
        <f t="shared" si="53"/>
        <v>-3.8639091145438601E-3</v>
      </c>
      <c r="T565" s="5">
        <v>45129</v>
      </c>
      <c r="U565" s="1">
        <v>-3.8639091145438601E-3</v>
      </c>
    </row>
    <row r="566" spans="3:21" x14ac:dyDescent="0.2">
      <c r="C566" s="5">
        <v>45130</v>
      </c>
      <c r="D566" s="6">
        <v>0.99999000000000005</v>
      </c>
      <c r="E566" s="6">
        <v>30081.19</v>
      </c>
      <c r="F566" s="6">
        <v>30066.5</v>
      </c>
      <c r="G566" s="6">
        <v>30189.69</v>
      </c>
      <c r="H566" s="6">
        <v>30079.3</v>
      </c>
      <c r="I566" s="5">
        <v>45130</v>
      </c>
      <c r="J566" s="7">
        <f t="shared" si="50"/>
        <v>-6.2829961181702513E-5</v>
      </c>
      <c r="K566" s="5">
        <v>45130</v>
      </c>
      <c r="L566" s="8">
        <f t="shared" si="48"/>
        <v>4.0972510934095653E-3</v>
      </c>
      <c r="M566" s="5">
        <v>45130</v>
      </c>
      <c r="N566" s="9">
        <f t="shared" si="49"/>
        <v>4.034421132227863E-3</v>
      </c>
      <c r="O566" s="5">
        <v>45130</v>
      </c>
      <c r="P566">
        <f t="shared" si="51"/>
        <v>0.99634345367574151</v>
      </c>
      <c r="Q566" s="6">
        <f t="shared" si="52"/>
        <v>1.000010000100001</v>
      </c>
      <c r="R566">
        <f t="shared" si="53"/>
        <v>-3.6732478810036872E-3</v>
      </c>
      <c r="T566" s="5">
        <v>45130</v>
      </c>
      <c r="U566" s="1">
        <v>-3.6732478810036872E-3</v>
      </c>
    </row>
    <row r="567" spans="3:21" x14ac:dyDescent="0.2">
      <c r="C567" s="5">
        <v>45131</v>
      </c>
      <c r="D567" s="6">
        <v>1</v>
      </c>
      <c r="E567" s="6">
        <v>29177.14</v>
      </c>
      <c r="F567" s="6">
        <v>29172</v>
      </c>
      <c r="G567" s="6">
        <v>29297.200000000001</v>
      </c>
      <c r="H567" s="6">
        <v>29165.7</v>
      </c>
      <c r="I567" s="5">
        <v>45131</v>
      </c>
      <c r="J567" s="7">
        <f t="shared" si="50"/>
        <v>-3.9208777830858989E-4</v>
      </c>
      <c r="K567" s="5">
        <v>45131</v>
      </c>
      <c r="L567" s="8">
        <f t="shared" si="48"/>
        <v>4.2917866447278463E-3</v>
      </c>
      <c r="M567" s="5">
        <v>45131</v>
      </c>
      <c r="N567" s="9">
        <f t="shared" si="49"/>
        <v>3.8996988664192563E-3</v>
      </c>
      <c r="O567" s="5">
        <v>45131</v>
      </c>
      <c r="P567">
        <f t="shared" si="51"/>
        <v>0.99551151645891067</v>
      </c>
      <c r="Q567" s="6">
        <f t="shared" si="52"/>
        <v>1</v>
      </c>
      <c r="R567">
        <f t="shared" si="53"/>
        <v>-4.4985870275626059E-3</v>
      </c>
      <c r="T567" s="5">
        <v>45131</v>
      </c>
      <c r="U567" s="1">
        <v>-4.4985870275626059E-3</v>
      </c>
    </row>
    <row r="568" spans="3:21" x14ac:dyDescent="0.2">
      <c r="C568" s="5">
        <v>45132</v>
      </c>
      <c r="D568" s="6">
        <v>1</v>
      </c>
      <c r="E568" s="6">
        <v>29221.33</v>
      </c>
      <c r="F568" s="6">
        <v>29218.5</v>
      </c>
      <c r="G568" s="6">
        <v>29328.33</v>
      </c>
      <c r="H568" s="6">
        <v>29220.3</v>
      </c>
      <c r="I568" s="5">
        <v>45132</v>
      </c>
      <c r="J568" s="7">
        <f t="shared" si="50"/>
        <v>-3.524822449910643E-5</v>
      </c>
      <c r="K568" s="5">
        <v>45132</v>
      </c>
      <c r="L568" s="8">
        <f t="shared" si="48"/>
        <v>3.7589198624159948E-3</v>
      </c>
      <c r="M568" s="5">
        <v>45132</v>
      </c>
      <c r="N568" s="9">
        <f t="shared" si="49"/>
        <v>3.7236716379168886E-3</v>
      </c>
      <c r="O568" s="5">
        <v>45132</v>
      </c>
      <c r="P568">
        <f t="shared" si="51"/>
        <v>0.9963165308082661</v>
      </c>
      <c r="Q568" s="6">
        <f t="shared" si="52"/>
        <v>1</v>
      </c>
      <c r="R568">
        <f t="shared" si="53"/>
        <v>-3.6902698695716E-3</v>
      </c>
      <c r="T568" s="5">
        <v>45132</v>
      </c>
      <c r="U568" s="1">
        <v>-3.6902698695716E-3</v>
      </c>
    </row>
    <row r="569" spans="3:21" x14ac:dyDescent="0.2">
      <c r="C569" s="5">
        <v>45133</v>
      </c>
      <c r="D569" s="6">
        <v>1.0000199999999999</v>
      </c>
      <c r="E569" s="6">
        <v>29353.83</v>
      </c>
      <c r="F569" s="6">
        <v>29335</v>
      </c>
      <c r="G569" s="6">
        <v>29457.4</v>
      </c>
      <c r="H569" s="6">
        <v>29333.5</v>
      </c>
      <c r="I569" s="5">
        <v>45133</v>
      </c>
      <c r="J569" s="7">
        <f t="shared" si="50"/>
        <v>-6.9258423858153245E-4</v>
      </c>
      <c r="K569" s="5">
        <v>45133</v>
      </c>
      <c r="L569" s="8">
        <f t="shared" si="48"/>
        <v>4.1724901994205374E-3</v>
      </c>
      <c r="M569" s="5">
        <v>45133</v>
      </c>
      <c r="N569" s="9">
        <f t="shared" si="49"/>
        <v>3.4799059608390049E-3</v>
      </c>
      <c r="O569" s="5">
        <v>45133</v>
      </c>
      <c r="P569">
        <f t="shared" si="51"/>
        <v>0.9957939261441946</v>
      </c>
      <c r="Q569" s="6">
        <f t="shared" si="52"/>
        <v>0.99998000039999213</v>
      </c>
      <c r="R569">
        <f t="shared" si="53"/>
        <v>-4.194944466248492E-3</v>
      </c>
      <c r="T569" s="5">
        <v>45133</v>
      </c>
      <c r="U569" s="1">
        <v>-4.194944466248492E-3</v>
      </c>
    </row>
    <row r="570" spans="3:21" x14ac:dyDescent="0.2">
      <c r="C570" s="5">
        <v>45134</v>
      </c>
      <c r="D570" s="6">
        <v>1.00003</v>
      </c>
      <c r="E570" s="6">
        <v>29215.8</v>
      </c>
      <c r="F570" s="6">
        <v>29209</v>
      </c>
      <c r="G570" s="6">
        <v>29326.19</v>
      </c>
      <c r="H570" s="6">
        <v>29204.3</v>
      </c>
      <c r="I570" s="5">
        <v>45134</v>
      </c>
      <c r="J570" s="7">
        <f t="shared" si="50"/>
        <v>-3.9362262885151187E-4</v>
      </c>
      <c r="K570" s="5">
        <v>45134</v>
      </c>
      <c r="L570" s="8">
        <f t="shared" si="48"/>
        <v>4.0121195521927722E-3</v>
      </c>
      <c r="M570" s="5">
        <v>45134</v>
      </c>
      <c r="N570" s="9">
        <f t="shared" si="49"/>
        <v>3.6184969233412603E-3</v>
      </c>
      <c r="O570" s="5">
        <v>45134</v>
      </c>
      <c r="P570">
        <f t="shared" si="51"/>
        <v>0.99584364692447269</v>
      </c>
      <c r="Q570" s="6">
        <f t="shared" si="52"/>
        <v>0.99997000089997301</v>
      </c>
      <c r="R570">
        <f t="shared" si="53"/>
        <v>-4.1350151698620382E-3</v>
      </c>
      <c r="T570" s="5">
        <v>45134</v>
      </c>
      <c r="U570" s="1">
        <v>-4.1350151698620382E-3</v>
      </c>
    </row>
    <row r="571" spans="3:21" x14ac:dyDescent="0.2">
      <c r="C571" s="5">
        <v>45135</v>
      </c>
      <c r="D571" s="6">
        <v>1.00004</v>
      </c>
      <c r="E571" s="6">
        <v>29314.37</v>
      </c>
      <c r="F571" s="6">
        <v>29311</v>
      </c>
      <c r="G571" s="6">
        <v>29426.45</v>
      </c>
      <c r="H571" s="6">
        <v>29293.9</v>
      </c>
      <c r="I571" s="5">
        <v>45135</v>
      </c>
      <c r="J571" s="7">
        <f t="shared" si="50"/>
        <v>-6.9829233921784868E-4</v>
      </c>
      <c r="K571" s="5">
        <v>45135</v>
      </c>
      <c r="L571" s="8">
        <f t="shared" si="48"/>
        <v>3.9387943093036996E-3</v>
      </c>
      <c r="M571" s="5">
        <v>45135</v>
      </c>
      <c r="N571" s="9">
        <f t="shared" si="49"/>
        <v>3.2405019700858509E-3</v>
      </c>
      <c r="O571" s="5">
        <v>45135</v>
      </c>
      <c r="P571">
        <f t="shared" si="51"/>
        <v>0.99549554907234816</v>
      </c>
      <c r="Q571" s="6">
        <f t="shared" si="52"/>
        <v>0.99996000159993592</v>
      </c>
      <c r="R571">
        <f t="shared" si="53"/>
        <v>-4.4746273352247795E-3</v>
      </c>
      <c r="T571" s="5">
        <v>45135</v>
      </c>
      <c r="U571" s="1">
        <v>-4.4746273352247795E-3</v>
      </c>
    </row>
    <row r="572" spans="3:21" x14ac:dyDescent="0.2">
      <c r="C572" s="5">
        <v>45136</v>
      </c>
      <c r="D572" s="6">
        <v>1.00003</v>
      </c>
      <c r="E572" s="6">
        <v>29354.29</v>
      </c>
      <c r="F572" s="6">
        <v>29344</v>
      </c>
      <c r="G572" s="6">
        <v>29494.06</v>
      </c>
      <c r="H572" s="6">
        <v>29345</v>
      </c>
      <c r="I572" s="5">
        <v>45136</v>
      </c>
      <c r="J572" s="7">
        <f t="shared" si="50"/>
        <v>-3.1647844318499519E-4</v>
      </c>
      <c r="K572" s="5">
        <v>45136</v>
      </c>
      <c r="L572" s="8">
        <f t="shared" si="48"/>
        <v>5.1138222464558788E-3</v>
      </c>
      <c r="M572" s="5">
        <v>45136</v>
      </c>
      <c r="N572" s="9">
        <f t="shared" si="49"/>
        <v>4.7973438032708838E-3</v>
      </c>
      <c r="O572" s="5">
        <v>45136</v>
      </c>
      <c r="P572">
        <f t="shared" si="51"/>
        <v>0.99494610101152559</v>
      </c>
      <c r="Q572" s="6">
        <f t="shared" si="52"/>
        <v>0.99997000089997301</v>
      </c>
      <c r="R572">
        <f t="shared" si="53"/>
        <v>-5.0367135784366709E-3</v>
      </c>
      <c r="T572" s="5">
        <v>45136</v>
      </c>
      <c r="U572" s="1">
        <v>-5.0367135784366709E-3</v>
      </c>
    </row>
    <row r="573" spans="3:21" x14ac:dyDescent="0.2">
      <c r="C573" s="5">
        <v>45137</v>
      </c>
      <c r="D573" s="6">
        <v>1.00003</v>
      </c>
      <c r="E573" s="6">
        <v>29279.32</v>
      </c>
      <c r="F573" s="6">
        <v>29265</v>
      </c>
      <c r="G573" s="6">
        <v>29414.74</v>
      </c>
      <c r="H573" s="6">
        <v>29271.7</v>
      </c>
      <c r="I573" s="5">
        <v>45137</v>
      </c>
      <c r="J573" s="7">
        <f t="shared" si="50"/>
        <v>-2.6025194574187454E-4</v>
      </c>
      <c r="K573" s="5">
        <v>45137</v>
      </c>
      <c r="L573" s="8">
        <f t="shared" si="48"/>
        <v>5.1166922945498584E-3</v>
      </c>
      <c r="M573" s="5">
        <v>45137</v>
      </c>
      <c r="N573" s="9">
        <f t="shared" si="49"/>
        <v>4.8564403488079843E-3</v>
      </c>
      <c r="O573" s="5">
        <v>45137</v>
      </c>
      <c r="P573">
        <f t="shared" si="51"/>
        <v>0.99513713192773423</v>
      </c>
      <c r="Q573" s="6">
        <f t="shared" si="52"/>
        <v>0.99997000089997301</v>
      </c>
      <c r="R573">
        <f t="shared" si="53"/>
        <v>-4.8447307370825757E-3</v>
      </c>
      <c r="T573" s="5">
        <v>45137</v>
      </c>
      <c r="U573" s="1">
        <v>-4.8447307370825757E-3</v>
      </c>
    </row>
    <row r="574" spans="3:21" x14ac:dyDescent="0.2">
      <c r="C574" s="5">
        <v>45138</v>
      </c>
      <c r="D574" s="6">
        <v>1.00004</v>
      </c>
      <c r="E574" s="6">
        <v>29230.03</v>
      </c>
      <c r="F574" s="6">
        <v>29213</v>
      </c>
      <c r="G574" s="6">
        <v>29336.82</v>
      </c>
      <c r="H574" s="6">
        <v>29217.8</v>
      </c>
      <c r="I574" s="5">
        <v>45138</v>
      </c>
      <c r="J574" s="7">
        <f t="shared" si="50"/>
        <v>-4.1840531809237156E-4</v>
      </c>
      <c r="K574" s="5">
        <v>45138</v>
      </c>
      <c r="L574" s="8">
        <f t="shared" si="48"/>
        <v>4.2385239448190773E-3</v>
      </c>
      <c r="M574" s="5">
        <v>45138</v>
      </c>
      <c r="N574" s="9">
        <f t="shared" si="49"/>
        <v>3.8201186267267056E-3</v>
      </c>
      <c r="O574" s="5">
        <v>45138</v>
      </c>
      <c r="P574">
        <f t="shared" si="51"/>
        <v>0.99594298223188471</v>
      </c>
      <c r="Q574" s="6">
        <f t="shared" si="52"/>
        <v>0.99996000159993592</v>
      </c>
      <c r="R574">
        <f t="shared" si="53"/>
        <v>-4.0252705913112266E-3</v>
      </c>
      <c r="T574" s="5">
        <v>45138</v>
      </c>
      <c r="U574" s="1">
        <v>-4.0252705913112266E-3</v>
      </c>
    </row>
    <row r="575" spans="3:21" x14ac:dyDescent="0.2">
      <c r="C575" s="5">
        <v>45139</v>
      </c>
      <c r="D575" s="6">
        <v>0.99997000000000003</v>
      </c>
      <c r="E575" s="6">
        <v>29691.95</v>
      </c>
      <c r="F575" s="6">
        <v>29704.5</v>
      </c>
      <c r="G575" s="6">
        <v>29793.13</v>
      </c>
      <c r="H575" s="6">
        <v>29700</v>
      </c>
      <c r="I575" s="5">
        <v>45139</v>
      </c>
      <c r="J575" s="7">
        <f t="shared" si="50"/>
        <v>2.7111725568712303E-4</v>
      </c>
      <c r="K575" s="5">
        <v>45139</v>
      </c>
      <c r="L575" s="8">
        <f t="shared" si="48"/>
        <v>2.983723004931947E-3</v>
      </c>
      <c r="M575" s="5">
        <v>45139</v>
      </c>
      <c r="N575" s="9">
        <f t="shared" si="49"/>
        <v>3.2548402606190699E-3</v>
      </c>
      <c r="O575" s="5">
        <v>45139</v>
      </c>
      <c r="P575">
        <f t="shared" si="51"/>
        <v>0.99687411158209949</v>
      </c>
      <c r="Q575" s="6">
        <f t="shared" si="52"/>
        <v>1.0000300009000269</v>
      </c>
      <c r="R575">
        <f t="shared" si="53"/>
        <v>-3.1607846622433442E-3</v>
      </c>
      <c r="T575" s="5">
        <v>45139</v>
      </c>
      <c r="U575" s="1">
        <v>-3.1607846622433442E-3</v>
      </c>
    </row>
    <row r="576" spans="3:21" x14ac:dyDescent="0.2">
      <c r="C576" s="5">
        <v>45140</v>
      </c>
      <c r="D576" s="6">
        <v>1.00003</v>
      </c>
      <c r="E576" s="6">
        <v>29161.77</v>
      </c>
      <c r="F576" s="6">
        <v>29180.5</v>
      </c>
      <c r="G576" s="6">
        <v>29260.38</v>
      </c>
      <c r="H576" s="6">
        <v>29161.4</v>
      </c>
      <c r="I576" s="5">
        <v>45140</v>
      </c>
      <c r="J576" s="7">
        <f t="shared" si="50"/>
        <v>-1.268784439349811E-5</v>
      </c>
      <c r="K576" s="5">
        <v>45140</v>
      </c>
      <c r="L576" s="8">
        <f t="shared" si="48"/>
        <v>2.7374445263104136E-3</v>
      </c>
      <c r="M576" s="5">
        <v>45140</v>
      </c>
      <c r="N576" s="9">
        <f t="shared" si="49"/>
        <v>2.7247566819169153E-3</v>
      </c>
      <c r="O576" s="5">
        <v>45140</v>
      </c>
      <c r="P576">
        <f t="shared" si="51"/>
        <v>0.99661726881195667</v>
      </c>
      <c r="Q576" s="6">
        <f t="shared" si="52"/>
        <v>0.99997000089997301</v>
      </c>
      <c r="R576">
        <f t="shared" si="53"/>
        <v>-3.3584660087213566E-3</v>
      </c>
      <c r="T576" s="5">
        <v>45140</v>
      </c>
      <c r="U576" s="1">
        <v>-3.3584660087213566E-3</v>
      </c>
    </row>
    <row r="577" spans="3:21" x14ac:dyDescent="0.2">
      <c r="C577" s="5">
        <v>45141</v>
      </c>
      <c r="D577" s="6">
        <v>0.99999000000000005</v>
      </c>
      <c r="E577" s="6">
        <v>29172.639999999999</v>
      </c>
      <c r="F577" s="6">
        <v>29186</v>
      </c>
      <c r="G577" s="6">
        <v>29313.94</v>
      </c>
      <c r="H577" s="6">
        <v>29162.2</v>
      </c>
      <c r="I577" s="5">
        <v>45141</v>
      </c>
      <c r="J577" s="7">
        <f t="shared" si="50"/>
        <v>-3.5786956545580688E-4</v>
      </c>
      <c r="K577" s="5">
        <v>45141</v>
      </c>
      <c r="L577" s="8">
        <f t="shared" si="48"/>
        <v>4.3836085794558589E-3</v>
      </c>
      <c r="M577" s="5">
        <v>45141</v>
      </c>
      <c r="N577" s="9">
        <f t="shared" si="49"/>
        <v>4.0257390140000524E-3</v>
      </c>
      <c r="O577" s="5">
        <v>45141</v>
      </c>
      <c r="P577">
        <f t="shared" si="51"/>
        <v>0.99482362316358708</v>
      </c>
      <c r="Q577" s="6">
        <f t="shared" si="52"/>
        <v>1.000010000100001</v>
      </c>
      <c r="R577">
        <f t="shared" si="53"/>
        <v>-5.1998207386878149E-3</v>
      </c>
      <c r="T577" s="5">
        <v>45141</v>
      </c>
      <c r="U577" s="1">
        <v>-5.1998207386878149E-3</v>
      </c>
    </row>
    <row r="578" spans="3:21" x14ac:dyDescent="0.2">
      <c r="C578" s="5">
        <v>45142</v>
      </c>
      <c r="D578" s="6">
        <v>0.99970000000000003</v>
      </c>
      <c r="E578" s="6">
        <v>29075.74</v>
      </c>
      <c r="F578" s="6">
        <v>29088.5</v>
      </c>
      <c r="G578" s="6">
        <v>29540.32</v>
      </c>
      <c r="H578" s="6">
        <v>29074.6</v>
      </c>
      <c r="I578" s="5">
        <v>45142</v>
      </c>
      <c r="J578" s="7">
        <f t="shared" si="50"/>
        <v>-3.9207944492661435E-5</v>
      </c>
      <c r="K578" s="5">
        <v>45142</v>
      </c>
      <c r="L578" s="8">
        <f t="shared" si="48"/>
        <v>1.5532598793337564E-2</v>
      </c>
      <c r="M578" s="5">
        <v>45142</v>
      </c>
      <c r="N578" s="9">
        <f t="shared" si="49"/>
        <v>1.5493390848844903E-2</v>
      </c>
      <c r="O578" s="5">
        <v>45142</v>
      </c>
      <c r="P578">
        <f t="shared" si="51"/>
        <v>0.98423442941714923</v>
      </c>
      <c r="Q578" s="6">
        <f t="shared" si="52"/>
        <v>1.000300090027008</v>
      </c>
      <c r="R578">
        <f t="shared" si="53"/>
        <v>-1.6191214036241408E-2</v>
      </c>
      <c r="T578" s="5">
        <v>45142</v>
      </c>
      <c r="U578" s="1">
        <v>-1.6191214036241408E-2</v>
      </c>
    </row>
    <row r="579" spans="3:21" x14ac:dyDescent="0.2">
      <c r="C579" s="5">
        <v>45143</v>
      </c>
      <c r="D579" s="6">
        <v>1.00004</v>
      </c>
      <c r="E579" s="6">
        <v>29042.38</v>
      </c>
      <c r="F579" s="6">
        <v>29053.5</v>
      </c>
      <c r="G579" s="6">
        <v>29489.8</v>
      </c>
      <c r="H579" s="6">
        <v>29034.1</v>
      </c>
      <c r="I579" s="5">
        <v>45143</v>
      </c>
      <c r="J579" s="7">
        <f t="shared" si="50"/>
        <v>-2.8510060125934834E-4</v>
      </c>
      <c r="K579" s="5">
        <v>45143</v>
      </c>
      <c r="L579" s="8">
        <f t="shared" si="48"/>
        <v>1.5017123582356661E-2</v>
      </c>
      <c r="M579" s="5">
        <v>45143</v>
      </c>
      <c r="N579" s="9">
        <f t="shared" si="49"/>
        <v>1.4732022981097314E-2</v>
      </c>
      <c r="O579" s="5">
        <v>45143</v>
      </c>
      <c r="P579">
        <f t="shared" si="51"/>
        <v>0.98454719937062984</v>
      </c>
      <c r="Q579" s="6">
        <f t="shared" si="52"/>
        <v>0.99996000159993592</v>
      </c>
      <c r="R579">
        <f t="shared" si="53"/>
        <v>-1.553344037308411E-2</v>
      </c>
      <c r="T579" s="5">
        <v>45143</v>
      </c>
      <c r="U579" s="1">
        <v>-1.553344037308411E-2</v>
      </c>
    </row>
    <row r="580" spans="3:21" x14ac:dyDescent="0.2">
      <c r="C580" s="5">
        <v>45144</v>
      </c>
      <c r="D580" s="6">
        <v>0.99997000000000003</v>
      </c>
      <c r="E580" s="6">
        <v>29044</v>
      </c>
      <c r="F580" s="6">
        <v>29064</v>
      </c>
      <c r="G580" s="6">
        <v>29491.200000000001</v>
      </c>
      <c r="H580" s="6">
        <v>29046.799999999999</v>
      </c>
      <c r="I580" s="5">
        <v>45144</v>
      </c>
      <c r="J580" s="7">
        <f t="shared" si="50"/>
        <v>9.6405453794218168E-5</v>
      </c>
      <c r="K580" s="5">
        <v>45144</v>
      </c>
      <c r="L580" s="8">
        <f t="shared" si="48"/>
        <v>1.46985962014864E-2</v>
      </c>
      <c r="M580" s="5">
        <v>45144</v>
      </c>
      <c r="N580" s="9">
        <f t="shared" si="49"/>
        <v>1.4795001655280618E-2</v>
      </c>
      <c r="O580" s="5">
        <v>45144</v>
      </c>
      <c r="P580">
        <f t="shared" si="51"/>
        <v>0.98493109809027779</v>
      </c>
      <c r="Q580" s="6">
        <f t="shared" si="52"/>
        <v>1.0000300009000269</v>
      </c>
      <c r="R580">
        <f t="shared" si="53"/>
        <v>-1.5213591884137755E-2</v>
      </c>
      <c r="T580" s="5">
        <v>45144</v>
      </c>
      <c r="U580" s="1">
        <v>-1.5213591884137755E-2</v>
      </c>
    </row>
    <row r="581" spans="3:21" x14ac:dyDescent="0.2">
      <c r="C581" s="5">
        <v>45145</v>
      </c>
      <c r="D581" s="6">
        <v>1.00007</v>
      </c>
      <c r="E581" s="6">
        <v>29179.03</v>
      </c>
      <c r="F581" s="6">
        <v>29191.5</v>
      </c>
      <c r="G581" s="6">
        <v>29753.69</v>
      </c>
      <c r="H581" s="6">
        <v>29185.3</v>
      </c>
      <c r="I581" s="5">
        <v>45145</v>
      </c>
      <c r="J581" s="7">
        <f t="shared" si="50"/>
        <v>2.1488034386339905E-4</v>
      </c>
      <c r="K581" s="5">
        <v>45145</v>
      </c>
      <c r="L581" s="8">
        <f t="shared" si="48"/>
        <v>1.9258688316804506E-2</v>
      </c>
      <c r="M581" s="5">
        <v>45145</v>
      </c>
      <c r="N581" s="9">
        <f t="shared" si="49"/>
        <v>1.9473568660667906E-2</v>
      </c>
      <c r="O581" s="5">
        <v>45145</v>
      </c>
      <c r="P581">
        <f t="shared" si="51"/>
        <v>0.98089682321755711</v>
      </c>
      <c r="Q581" s="6">
        <f t="shared" si="52"/>
        <v>0.999930004899657</v>
      </c>
      <c r="R581">
        <f t="shared" si="53"/>
        <v>-1.9218002507473086E-2</v>
      </c>
      <c r="T581" s="5">
        <v>45145</v>
      </c>
      <c r="U581" s="1">
        <v>-1.9218002507473086E-2</v>
      </c>
    </row>
    <row r="582" spans="3:21" x14ac:dyDescent="0.2">
      <c r="C582" s="5">
        <v>45146</v>
      </c>
      <c r="D582" s="6">
        <v>1.0001100000000001</v>
      </c>
      <c r="E582" s="6">
        <v>29761.34</v>
      </c>
      <c r="F582" s="6">
        <v>29760.5</v>
      </c>
      <c r="G582" s="6">
        <v>30345.65</v>
      </c>
      <c r="H582" s="6">
        <v>29751.8</v>
      </c>
      <c r="I582" s="5">
        <v>45146</v>
      </c>
      <c r="J582" s="7">
        <f t="shared" si="50"/>
        <v>-3.2055008275839975E-4</v>
      </c>
      <c r="K582" s="5">
        <v>45146</v>
      </c>
      <c r="L582" s="8">
        <f t="shared" si="48"/>
        <v>1.9661968044891769E-2</v>
      </c>
      <c r="M582" s="5">
        <v>45146</v>
      </c>
      <c r="N582" s="9">
        <f t="shared" si="49"/>
        <v>1.9341417962133369E-2</v>
      </c>
      <c r="O582" s="5">
        <v>45146</v>
      </c>
      <c r="P582">
        <f t="shared" si="51"/>
        <v>0.98043047356046087</v>
      </c>
      <c r="Q582" s="6">
        <f t="shared" si="52"/>
        <v>0.99989001209866912</v>
      </c>
      <c r="R582">
        <f t="shared" si="53"/>
        <v>-1.9653551077787747E-2</v>
      </c>
      <c r="T582" s="5">
        <v>45146</v>
      </c>
      <c r="U582" s="1">
        <v>-1.9653551077787747E-2</v>
      </c>
    </row>
    <row r="583" spans="3:21" x14ac:dyDescent="0.2">
      <c r="C583" s="5">
        <v>45147</v>
      </c>
      <c r="D583" s="6">
        <v>1.00004</v>
      </c>
      <c r="E583" s="6">
        <v>29560</v>
      </c>
      <c r="F583" s="6">
        <v>29572</v>
      </c>
      <c r="G583" s="6">
        <v>30190.05</v>
      </c>
      <c r="H583" s="6">
        <v>29557.5</v>
      </c>
      <c r="I583" s="5">
        <v>45147</v>
      </c>
      <c r="J583" s="7">
        <f t="shared" si="50"/>
        <v>-8.457374830852504E-5</v>
      </c>
      <c r="K583" s="5">
        <v>45147</v>
      </c>
      <c r="L583" s="8">
        <f t="shared" si="48"/>
        <v>2.089983768429593E-2</v>
      </c>
      <c r="M583" s="5">
        <v>45147</v>
      </c>
      <c r="N583" s="9">
        <f t="shared" si="49"/>
        <v>2.0815263935987406E-2</v>
      </c>
      <c r="O583" s="5">
        <v>45147</v>
      </c>
      <c r="P583">
        <f t="shared" si="51"/>
        <v>0.97904773261389089</v>
      </c>
      <c r="Q583" s="6">
        <f t="shared" si="52"/>
        <v>0.99996000159993592</v>
      </c>
      <c r="R583">
        <f t="shared" si="53"/>
        <v>-2.113488193976551E-2</v>
      </c>
      <c r="T583" s="5">
        <v>45147</v>
      </c>
      <c r="U583" s="1">
        <v>-2.113488193976551E-2</v>
      </c>
    </row>
    <row r="584" spans="3:21" x14ac:dyDescent="0.2">
      <c r="C584" s="5">
        <v>45148</v>
      </c>
      <c r="D584" s="6">
        <v>0.99997999999999998</v>
      </c>
      <c r="E584" s="6">
        <v>29424.45</v>
      </c>
      <c r="F584" s="6">
        <v>29441.5</v>
      </c>
      <c r="G584" s="6">
        <v>29933.87</v>
      </c>
      <c r="H584" s="6">
        <v>29433.7</v>
      </c>
      <c r="I584" s="5">
        <v>45148</v>
      </c>
      <c r="J584" s="7">
        <f t="shared" si="50"/>
        <v>3.1436441462797093E-4</v>
      </c>
      <c r="K584" s="5">
        <v>45148</v>
      </c>
      <c r="L584" s="8">
        <f t="shared" si="48"/>
        <v>1.6723672367236687E-2</v>
      </c>
      <c r="M584" s="5">
        <v>45148</v>
      </c>
      <c r="N584" s="9">
        <f t="shared" si="49"/>
        <v>1.7038036781864659E-2</v>
      </c>
      <c r="O584" s="5">
        <v>45148</v>
      </c>
      <c r="P584">
        <f t="shared" si="51"/>
        <v>0.98329083409529072</v>
      </c>
      <c r="Q584" s="6">
        <f t="shared" si="52"/>
        <v>1.0000200004000079</v>
      </c>
      <c r="R584">
        <f t="shared" si="53"/>
        <v>-1.6870339014487288E-2</v>
      </c>
      <c r="T584" s="5">
        <v>45148</v>
      </c>
      <c r="U584" s="1">
        <v>-1.6870339014487288E-2</v>
      </c>
    </row>
    <row r="585" spans="3:21" x14ac:dyDescent="0.2">
      <c r="C585" s="5">
        <v>45149</v>
      </c>
      <c r="D585" s="6">
        <v>1.0000500000000001</v>
      </c>
      <c r="E585" s="6">
        <v>29396.080000000002</v>
      </c>
      <c r="F585" s="6">
        <v>29410.5</v>
      </c>
      <c r="G585" s="6">
        <v>29880.19</v>
      </c>
      <c r="H585" s="6">
        <v>29406.2</v>
      </c>
      <c r="I585" s="5">
        <v>45149</v>
      </c>
      <c r="J585" s="7">
        <f t="shared" si="50"/>
        <v>3.4426358888664684E-4</v>
      </c>
      <c r="K585" s="5">
        <v>45149</v>
      </c>
      <c r="L585" s="8">
        <f t="shared" si="48"/>
        <v>1.5970146716308756E-2</v>
      </c>
      <c r="M585" s="5">
        <v>45149</v>
      </c>
      <c r="N585" s="9">
        <f t="shared" si="49"/>
        <v>1.6314410305195402E-2</v>
      </c>
      <c r="O585" s="5">
        <v>45149</v>
      </c>
      <c r="P585">
        <f t="shared" si="51"/>
        <v>0.98413698172601993</v>
      </c>
      <c r="Q585" s="6">
        <f t="shared" si="52"/>
        <v>0.99995000249987487</v>
      </c>
      <c r="R585">
        <f t="shared" si="53"/>
        <v>-1.5940183797366891E-2</v>
      </c>
      <c r="T585" s="5">
        <v>45149</v>
      </c>
      <c r="U585" s="1">
        <v>-1.5940183797366891E-2</v>
      </c>
    </row>
    <row r="586" spans="3:21" x14ac:dyDescent="0.2">
      <c r="C586" s="5">
        <v>45150</v>
      </c>
      <c r="D586" s="6">
        <v>1.0000500000000001</v>
      </c>
      <c r="E586" s="6">
        <v>29413.1</v>
      </c>
      <c r="F586" s="6">
        <v>29416</v>
      </c>
      <c r="G586" s="6">
        <v>29653.23</v>
      </c>
      <c r="H586" s="6">
        <v>29410.7</v>
      </c>
      <c r="I586" s="5">
        <v>45150</v>
      </c>
      <c r="J586" s="7">
        <f t="shared" si="50"/>
        <v>-8.1596295528108817E-5</v>
      </c>
      <c r="K586" s="5">
        <v>45150</v>
      </c>
      <c r="L586" s="8">
        <f t="shared" si="48"/>
        <v>8.0646586891487473E-3</v>
      </c>
      <c r="M586" s="5">
        <v>45150</v>
      </c>
      <c r="N586" s="9">
        <f t="shared" si="49"/>
        <v>7.9830623936206387E-3</v>
      </c>
      <c r="O586" s="5">
        <v>45150</v>
      </c>
      <c r="P586">
        <f t="shared" si="51"/>
        <v>0.99182112707452108</v>
      </c>
      <c r="Q586" s="6">
        <f t="shared" si="52"/>
        <v>0.99995000249987487</v>
      </c>
      <c r="R586">
        <f t="shared" si="53"/>
        <v>-8.1625046550790736E-3</v>
      </c>
      <c r="T586" s="5">
        <v>45150</v>
      </c>
      <c r="U586" s="1">
        <v>-8.1625046550790736E-3</v>
      </c>
    </row>
    <row r="587" spans="3:21" x14ac:dyDescent="0.2">
      <c r="C587" s="5">
        <v>45151</v>
      </c>
      <c r="D587" s="6">
        <v>1.0000199999999999</v>
      </c>
      <c r="E587" s="6">
        <v>29278.5</v>
      </c>
      <c r="F587" s="6">
        <v>29284.5</v>
      </c>
      <c r="G587" s="6">
        <v>29586.59</v>
      </c>
      <c r="H587" s="6">
        <v>29292.799999999999</v>
      </c>
      <c r="I587" s="5">
        <v>45151</v>
      </c>
      <c r="J587" s="7">
        <f t="shared" si="50"/>
        <v>4.8841299929980265E-4</v>
      </c>
      <c r="K587" s="5">
        <v>45151</v>
      </c>
      <c r="L587" s="8">
        <f t="shared" ref="L587:L650" si="54">(G587-F587)/F587</f>
        <v>1.031569601666411E-2</v>
      </c>
      <c r="M587" s="5">
        <v>45151</v>
      </c>
      <c r="N587" s="9">
        <f t="shared" ref="N587:N650" si="55">J587+L587</f>
        <v>1.0804109015963913E-2</v>
      </c>
      <c r="O587" s="5">
        <v>45151</v>
      </c>
      <c r="P587">
        <f t="shared" si="51"/>
        <v>0.99007016354368649</v>
      </c>
      <c r="Q587" s="6">
        <f t="shared" si="52"/>
        <v>0.99998000039999213</v>
      </c>
      <c r="R587">
        <f t="shared" si="53"/>
        <v>-9.9594662984693397E-3</v>
      </c>
      <c r="T587" s="5">
        <v>45151</v>
      </c>
      <c r="U587" s="1">
        <v>-9.9594662984693397E-3</v>
      </c>
    </row>
    <row r="588" spans="3:21" x14ac:dyDescent="0.2">
      <c r="C588" s="5">
        <v>45152</v>
      </c>
      <c r="D588" s="6">
        <v>0.99997000000000003</v>
      </c>
      <c r="E588" s="6">
        <v>29403.439999999999</v>
      </c>
      <c r="F588" s="6">
        <v>29414</v>
      </c>
      <c r="G588" s="6">
        <v>29859.46</v>
      </c>
      <c r="H588" s="6">
        <v>29412.799999999999</v>
      </c>
      <c r="I588" s="5">
        <v>45152</v>
      </c>
      <c r="J588" s="7">
        <f t="shared" ref="J588:J651" si="56">(H588-E588)/E588</f>
        <v>3.183301001515667E-4</v>
      </c>
      <c r="K588" s="5">
        <v>45152</v>
      </c>
      <c r="L588" s="8">
        <f t="shared" si="54"/>
        <v>1.5144489018834539E-2</v>
      </c>
      <c r="M588" s="5">
        <v>45152</v>
      </c>
      <c r="N588" s="9">
        <f t="shared" si="55"/>
        <v>1.5462819118986105E-2</v>
      </c>
      <c r="O588" s="5">
        <v>45152</v>
      </c>
      <c r="P588">
        <f t="shared" ref="P588:P651" si="57">(1/G588)*H588</f>
        <v>0.98504125660678399</v>
      </c>
      <c r="Q588" s="6">
        <f t="shared" ref="Q588:Q651" si="58">1/D588</f>
        <v>1.0000300009000269</v>
      </c>
      <c r="R588">
        <f t="shared" ref="R588:R651" si="59">LN(P588/Q588)</f>
        <v>-1.5101754257220414E-2</v>
      </c>
      <c r="T588" s="5">
        <v>45152</v>
      </c>
      <c r="U588" s="1">
        <v>-1.5101754257220414E-2</v>
      </c>
    </row>
    <row r="589" spans="3:21" x14ac:dyDescent="0.2">
      <c r="C589" s="5">
        <v>45153</v>
      </c>
      <c r="D589" s="6">
        <v>1.00003</v>
      </c>
      <c r="E589" s="6">
        <v>29168.38</v>
      </c>
      <c r="F589" s="6">
        <v>29176</v>
      </c>
      <c r="G589" s="6">
        <v>29405.200000000001</v>
      </c>
      <c r="H589" s="6">
        <v>29178.7</v>
      </c>
      <c r="I589" s="5">
        <v>45153</v>
      </c>
      <c r="J589" s="7">
        <f t="shared" si="56"/>
        <v>3.5380778774822969E-4</v>
      </c>
      <c r="K589" s="5">
        <v>45153</v>
      </c>
      <c r="L589" s="8">
        <f t="shared" si="54"/>
        <v>7.8557718672882075E-3</v>
      </c>
      <c r="M589" s="5">
        <v>45153</v>
      </c>
      <c r="N589" s="9">
        <f t="shared" si="55"/>
        <v>8.2095796550364364E-3</v>
      </c>
      <c r="O589" s="5">
        <v>45153</v>
      </c>
      <c r="P589">
        <f t="shared" si="57"/>
        <v>0.99229728075306411</v>
      </c>
      <c r="Q589" s="6">
        <f t="shared" si="58"/>
        <v>0.99997000089997301</v>
      </c>
      <c r="R589">
        <f t="shared" si="59"/>
        <v>-7.7025388632995353E-3</v>
      </c>
      <c r="T589" s="5">
        <v>45153</v>
      </c>
      <c r="U589" s="1">
        <v>-7.7025388632995353E-3</v>
      </c>
    </row>
    <row r="590" spans="3:21" x14ac:dyDescent="0.2">
      <c r="C590" s="5">
        <v>45154</v>
      </c>
      <c r="D590" s="6">
        <v>1</v>
      </c>
      <c r="E590" s="6">
        <v>28699.25</v>
      </c>
      <c r="F590" s="6">
        <v>28706.5</v>
      </c>
      <c r="G590" s="6">
        <v>28923.89</v>
      </c>
      <c r="H590" s="6">
        <v>28702.400000000001</v>
      </c>
      <c r="I590" s="5">
        <v>45154</v>
      </c>
      <c r="J590" s="7">
        <f t="shared" si="56"/>
        <v>1.0975896582668381E-4</v>
      </c>
      <c r="K590" s="5">
        <v>45154</v>
      </c>
      <c r="L590" s="8">
        <f t="shared" si="54"/>
        <v>7.5728493546757501E-3</v>
      </c>
      <c r="M590" s="5">
        <v>45154</v>
      </c>
      <c r="N590" s="9">
        <f t="shared" si="55"/>
        <v>7.6826083205024341E-3</v>
      </c>
      <c r="O590" s="5">
        <v>45154</v>
      </c>
      <c r="P590">
        <f t="shared" si="57"/>
        <v>0.99234231633435199</v>
      </c>
      <c r="Q590" s="6">
        <f t="shared" si="58"/>
        <v>1</v>
      </c>
      <c r="R590">
        <f t="shared" si="59"/>
        <v>-7.6871542726698553E-3</v>
      </c>
      <c r="T590" s="5">
        <v>45154</v>
      </c>
      <c r="U590" s="1">
        <v>-7.6871542726698553E-3</v>
      </c>
    </row>
    <row r="591" spans="3:21" x14ac:dyDescent="0.2">
      <c r="C591" s="5">
        <v>45155</v>
      </c>
      <c r="D591" s="6">
        <v>0.99997000000000003</v>
      </c>
      <c r="E591" s="6">
        <v>26616.5</v>
      </c>
      <c r="F591" s="6">
        <v>26635.5</v>
      </c>
      <c r="G591" s="6">
        <v>26896.52</v>
      </c>
      <c r="H591" s="6">
        <v>26614</v>
      </c>
      <c r="I591" s="5">
        <v>45155</v>
      </c>
      <c r="J591" s="7">
        <f t="shared" si="56"/>
        <v>-9.3926699603629323E-5</v>
      </c>
      <c r="K591" s="5">
        <v>45155</v>
      </c>
      <c r="L591" s="8">
        <f t="shared" si="54"/>
        <v>9.7997034033526845E-3</v>
      </c>
      <c r="M591" s="5">
        <v>45155</v>
      </c>
      <c r="N591" s="9">
        <f t="shared" si="55"/>
        <v>9.7057767037490549E-3</v>
      </c>
      <c r="O591" s="5">
        <v>45155</v>
      </c>
      <c r="P591">
        <f t="shared" si="57"/>
        <v>0.98949603889276383</v>
      </c>
      <c r="Q591" s="6">
        <f t="shared" si="58"/>
        <v>1.0000300009000269</v>
      </c>
      <c r="R591">
        <f t="shared" si="59"/>
        <v>-1.0589517537746521E-2</v>
      </c>
      <c r="T591" s="5">
        <v>45155</v>
      </c>
      <c r="U591" s="1">
        <v>-1.0589517537746521E-2</v>
      </c>
    </row>
    <row r="592" spans="3:21" x14ac:dyDescent="0.2">
      <c r="C592" s="5">
        <v>45156</v>
      </c>
      <c r="D592" s="6">
        <v>1.00004</v>
      </c>
      <c r="E592" s="6">
        <v>26047.25</v>
      </c>
      <c r="F592" s="6">
        <v>26030</v>
      </c>
      <c r="G592" s="6">
        <v>26626.13</v>
      </c>
      <c r="H592" s="6">
        <v>26025.1</v>
      </c>
      <c r="I592" s="5">
        <v>45156</v>
      </c>
      <c r="J592" s="7">
        <f t="shared" si="56"/>
        <v>-8.5037767902567275E-4</v>
      </c>
      <c r="K592" s="5">
        <v>45156</v>
      </c>
      <c r="L592" s="8">
        <f t="shared" si="54"/>
        <v>2.2901651940069191E-2</v>
      </c>
      <c r="M592" s="5">
        <v>45156</v>
      </c>
      <c r="N592" s="9">
        <f t="shared" si="55"/>
        <v>2.2051274261043519E-2</v>
      </c>
      <c r="O592" s="5">
        <v>45156</v>
      </c>
      <c r="P592">
        <f t="shared" si="57"/>
        <v>0.97742706131157608</v>
      </c>
      <c r="Q592" s="6">
        <f t="shared" si="58"/>
        <v>0.99996000159993592</v>
      </c>
      <c r="R592">
        <f t="shared" si="59"/>
        <v>-2.2791608290690619E-2</v>
      </c>
      <c r="T592" s="5">
        <v>45156</v>
      </c>
      <c r="U592" s="1">
        <v>-2.2791608290690619E-2</v>
      </c>
    </row>
    <row r="593" spans="3:21" x14ac:dyDescent="0.2">
      <c r="C593" s="5">
        <v>45157</v>
      </c>
      <c r="D593" s="6">
        <v>1.00004</v>
      </c>
      <c r="E593" s="6">
        <v>26095.200000000001</v>
      </c>
      <c r="F593" s="6">
        <v>26084.5</v>
      </c>
      <c r="G593" s="6">
        <v>26574.21</v>
      </c>
      <c r="H593" s="6">
        <v>26095.599999999999</v>
      </c>
      <c r="I593" s="5">
        <v>45157</v>
      </c>
      <c r="J593" s="7">
        <f t="shared" si="56"/>
        <v>1.5328489530558003E-5</v>
      </c>
      <c r="K593" s="5">
        <v>45157</v>
      </c>
      <c r="L593" s="8">
        <f t="shared" si="54"/>
        <v>1.8773984550211779E-2</v>
      </c>
      <c r="M593" s="5">
        <v>45157</v>
      </c>
      <c r="N593" s="9">
        <f t="shared" si="55"/>
        <v>1.8789313039742336E-2</v>
      </c>
      <c r="O593" s="5">
        <v>45157</v>
      </c>
      <c r="P593">
        <f t="shared" si="57"/>
        <v>0.98198968097264228</v>
      </c>
      <c r="Q593" s="6">
        <f t="shared" si="58"/>
        <v>0.99996000159993592</v>
      </c>
      <c r="R593">
        <f t="shared" si="59"/>
        <v>-1.8134479657359648E-2</v>
      </c>
      <c r="T593" s="5">
        <v>45157</v>
      </c>
      <c r="U593" s="1">
        <v>-1.8134479657359648E-2</v>
      </c>
    </row>
    <row r="594" spans="3:21" x14ac:dyDescent="0.2">
      <c r="C594" s="5">
        <v>45158</v>
      </c>
      <c r="D594" s="6">
        <v>1.00004</v>
      </c>
      <c r="E594" s="6">
        <v>26188</v>
      </c>
      <c r="F594" s="6">
        <v>26182.5</v>
      </c>
      <c r="G594" s="6">
        <v>26500.720000000001</v>
      </c>
      <c r="H594" s="6">
        <v>26181.8</v>
      </c>
      <c r="I594" s="5">
        <v>45158</v>
      </c>
      <c r="J594" s="7">
        <f t="shared" si="56"/>
        <v>-2.3674965633117183E-4</v>
      </c>
      <c r="K594" s="5">
        <v>45158</v>
      </c>
      <c r="L594" s="8">
        <f t="shared" si="54"/>
        <v>1.2153919602788166E-2</v>
      </c>
      <c r="M594" s="5">
        <v>45158</v>
      </c>
      <c r="N594" s="9">
        <f t="shared" si="55"/>
        <v>1.1917169946456994E-2</v>
      </c>
      <c r="O594" s="5">
        <v>45158</v>
      </c>
      <c r="P594">
        <f t="shared" si="57"/>
        <v>0.98796560999097371</v>
      </c>
      <c r="Q594" s="6">
        <f t="shared" si="58"/>
        <v>0.99996000159993592</v>
      </c>
      <c r="R594">
        <f t="shared" si="59"/>
        <v>-1.2067390341493478E-2</v>
      </c>
      <c r="T594" s="5">
        <v>45158</v>
      </c>
      <c r="U594" s="1">
        <v>-1.2067390341493478E-2</v>
      </c>
    </row>
    <row r="595" spans="3:21" x14ac:dyDescent="0.2">
      <c r="C595" s="5">
        <v>45159</v>
      </c>
      <c r="D595" s="6">
        <v>1.0000199999999999</v>
      </c>
      <c r="E595" s="6">
        <v>26125.88</v>
      </c>
      <c r="F595" s="6">
        <v>26108.5</v>
      </c>
      <c r="G595" s="6">
        <v>26246.68</v>
      </c>
      <c r="H595" s="6">
        <v>26116.400000000001</v>
      </c>
      <c r="I595" s="5">
        <v>45159</v>
      </c>
      <c r="J595" s="7">
        <f t="shared" si="56"/>
        <v>-3.6285859079194892E-4</v>
      </c>
      <c r="K595" s="5">
        <v>45159</v>
      </c>
      <c r="L595" s="8">
        <f t="shared" si="54"/>
        <v>5.2925292529253038E-3</v>
      </c>
      <c r="M595" s="5">
        <v>45159</v>
      </c>
      <c r="N595" s="9">
        <f t="shared" si="55"/>
        <v>4.9296706621333548E-3</v>
      </c>
      <c r="O595" s="5">
        <v>45159</v>
      </c>
      <c r="P595">
        <f t="shared" si="57"/>
        <v>0.99503632459419633</v>
      </c>
      <c r="Q595" s="6">
        <f t="shared" si="58"/>
        <v>0.99998000039999213</v>
      </c>
      <c r="R595">
        <f t="shared" si="59"/>
        <v>-4.9560355600652712E-3</v>
      </c>
      <c r="T595" s="5">
        <v>45159</v>
      </c>
      <c r="U595" s="1">
        <v>-4.9560355600652712E-3</v>
      </c>
    </row>
    <row r="596" spans="3:21" x14ac:dyDescent="0.2">
      <c r="C596" s="5">
        <v>45160</v>
      </c>
      <c r="D596" s="6">
        <v>1.0000500000000001</v>
      </c>
      <c r="E596" s="6">
        <v>26043.05</v>
      </c>
      <c r="F596" s="6">
        <v>26027</v>
      </c>
      <c r="G596" s="6">
        <v>26149.52</v>
      </c>
      <c r="H596" s="6">
        <v>26025.1</v>
      </c>
      <c r="I596" s="5">
        <v>45160</v>
      </c>
      <c r="J596" s="7">
        <f t="shared" si="56"/>
        <v>-6.892433873912897E-4</v>
      </c>
      <c r="K596" s="5">
        <v>45160</v>
      </c>
      <c r="L596" s="8">
        <f t="shared" si="54"/>
        <v>4.7074192185038782E-3</v>
      </c>
      <c r="M596" s="5">
        <v>45160</v>
      </c>
      <c r="N596" s="9">
        <f t="shared" si="55"/>
        <v>4.0181758311125882E-3</v>
      </c>
      <c r="O596" s="5">
        <v>45160</v>
      </c>
      <c r="P596">
        <f t="shared" si="57"/>
        <v>0.9952419776730127</v>
      </c>
      <c r="Q596" s="6">
        <f t="shared" si="58"/>
        <v>0.99995000249987487</v>
      </c>
      <c r="R596">
        <f t="shared" si="59"/>
        <v>-4.7193789990637551E-3</v>
      </c>
      <c r="T596" s="5">
        <v>45160</v>
      </c>
      <c r="U596" s="1">
        <v>-4.7193789990637551E-3</v>
      </c>
    </row>
    <row r="597" spans="3:21" x14ac:dyDescent="0.2">
      <c r="C597" s="5">
        <v>45161</v>
      </c>
      <c r="D597" s="6">
        <v>0.99997000000000003</v>
      </c>
      <c r="E597" s="6">
        <v>26424.51</v>
      </c>
      <c r="F597" s="6">
        <v>26418.5</v>
      </c>
      <c r="G597" s="6">
        <v>26500.57</v>
      </c>
      <c r="H597" s="6">
        <v>26417.1</v>
      </c>
      <c r="I597" s="5">
        <v>45161</v>
      </c>
      <c r="J597" s="7">
        <f t="shared" si="56"/>
        <v>-2.8042147233760836E-4</v>
      </c>
      <c r="K597" s="5">
        <v>45161</v>
      </c>
      <c r="L597" s="8">
        <f t="shared" si="54"/>
        <v>3.106535193141159E-3</v>
      </c>
      <c r="M597" s="5">
        <v>45161</v>
      </c>
      <c r="N597" s="9">
        <f t="shared" si="55"/>
        <v>2.8261137208035504E-3</v>
      </c>
      <c r="O597" s="5">
        <v>45161</v>
      </c>
      <c r="P597">
        <f t="shared" si="57"/>
        <v>0.9968502564284466</v>
      </c>
      <c r="Q597" s="6">
        <f t="shared" si="58"/>
        <v>1.0000300009000269</v>
      </c>
      <c r="R597">
        <f t="shared" si="59"/>
        <v>-3.1847149045945381E-3</v>
      </c>
      <c r="T597" s="5">
        <v>45161</v>
      </c>
      <c r="U597" s="1">
        <v>-3.1847149045945381E-3</v>
      </c>
    </row>
    <row r="598" spans="3:21" x14ac:dyDescent="0.2">
      <c r="C598" s="5">
        <v>45162</v>
      </c>
      <c r="D598" s="6">
        <v>1.00004</v>
      </c>
      <c r="E598" s="6">
        <v>26165.45</v>
      </c>
      <c r="F598" s="6">
        <v>26154.5</v>
      </c>
      <c r="G598" s="6">
        <v>26197.66</v>
      </c>
      <c r="H598" s="6">
        <v>26147.7</v>
      </c>
      <c r="I598" s="5">
        <v>45162</v>
      </c>
      <c r="J598" s="7">
        <f t="shared" si="56"/>
        <v>-6.7837549134450203E-4</v>
      </c>
      <c r="K598" s="5">
        <v>45162</v>
      </c>
      <c r="L598" s="8">
        <f t="shared" si="54"/>
        <v>1.6501940392666598E-3</v>
      </c>
      <c r="M598" s="5">
        <v>45162</v>
      </c>
      <c r="N598" s="9">
        <f t="shared" si="55"/>
        <v>9.7181854792215778E-4</v>
      </c>
      <c r="O598" s="5">
        <v>45162</v>
      </c>
      <c r="P598">
        <f t="shared" si="57"/>
        <v>0.9980929594475233</v>
      </c>
      <c r="Q598" s="6">
        <f t="shared" si="58"/>
        <v>0.99996000159993592</v>
      </c>
      <c r="R598">
        <f t="shared" si="59"/>
        <v>-1.8688620694453082E-3</v>
      </c>
      <c r="T598" s="5">
        <v>45162</v>
      </c>
      <c r="U598" s="1">
        <v>-1.8688620694453082E-3</v>
      </c>
    </row>
    <row r="599" spans="3:21" x14ac:dyDescent="0.2">
      <c r="C599" s="5">
        <v>45163</v>
      </c>
      <c r="D599" s="6">
        <v>1.00003</v>
      </c>
      <c r="E599" s="6">
        <v>26048.28</v>
      </c>
      <c r="F599" s="6">
        <v>26031.5</v>
      </c>
      <c r="G599" s="6">
        <v>26128.35</v>
      </c>
      <c r="H599" s="6">
        <v>26031</v>
      </c>
      <c r="I599" s="5">
        <v>45163</v>
      </c>
      <c r="J599" s="7">
        <f t="shared" si="56"/>
        <v>-6.6338353242512886E-4</v>
      </c>
      <c r="K599" s="5">
        <v>45163</v>
      </c>
      <c r="L599" s="8">
        <f t="shared" si="54"/>
        <v>3.7204924802642391E-3</v>
      </c>
      <c r="M599" s="5">
        <v>45163</v>
      </c>
      <c r="N599" s="9">
        <f t="shared" si="55"/>
        <v>3.0571089478391104E-3</v>
      </c>
      <c r="O599" s="5">
        <v>45163</v>
      </c>
      <c r="P599">
        <f t="shared" si="57"/>
        <v>0.99627416197348861</v>
      </c>
      <c r="Q599" s="6">
        <f t="shared" si="58"/>
        <v>0.99997000089997301</v>
      </c>
      <c r="R599">
        <f t="shared" si="59"/>
        <v>-3.7027966998547418E-3</v>
      </c>
      <c r="T599" s="5">
        <v>45163</v>
      </c>
      <c r="U599" s="1">
        <v>-3.7027966998547418E-3</v>
      </c>
    </row>
    <row r="600" spans="3:21" x14ac:dyDescent="0.2">
      <c r="C600" s="5">
        <v>45164</v>
      </c>
      <c r="D600" s="6">
        <v>1.00003</v>
      </c>
      <c r="E600" s="6">
        <v>26007.85</v>
      </c>
      <c r="F600" s="6">
        <v>25999</v>
      </c>
      <c r="G600" s="6">
        <v>26079.18</v>
      </c>
      <c r="H600" s="6">
        <v>25995</v>
      </c>
      <c r="I600" s="5">
        <v>45164</v>
      </c>
      <c r="J600" s="7">
        <f t="shared" si="56"/>
        <v>-4.94081594595422E-4</v>
      </c>
      <c r="K600" s="5">
        <v>45164</v>
      </c>
      <c r="L600" s="8">
        <f t="shared" si="54"/>
        <v>3.0839647678756986E-3</v>
      </c>
      <c r="M600" s="5">
        <v>45164</v>
      </c>
      <c r="N600" s="9">
        <f t="shared" si="55"/>
        <v>2.5898831732802767E-3</v>
      </c>
      <c r="O600" s="5">
        <v>45164</v>
      </c>
      <c r="P600">
        <f t="shared" si="57"/>
        <v>0.99677213777427043</v>
      </c>
      <c r="Q600" s="6">
        <f t="shared" si="58"/>
        <v>0.99997000089997301</v>
      </c>
      <c r="R600">
        <f t="shared" si="59"/>
        <v>-3.2030834606716348E-3</v>
      </c>
      <c r="T600" s="5">
        <v>45164</v>
      </c>
      <c r="U600" s="1">
        <v>-3.2030834606716348E-3</v>
      </c>
    </row>
    <row r="601" spans="3:21" x14ac:dyDescent="0.2">
      <c r="C601" s="5">
        <v>45165</v>
      </c>
      <c r="D601" s="6">
        <v>1.00004</v>
      </c>
      <c r="E601" s="6">
        <v>26088.05</v>
      </c>
      <c r="F601" s="6">
        <v>26075</v>
      </c>
      <c r="G601" s="6">
        <v>26155.68</v>
      </c>
      <c r="H601" s="6">
        <v>26074.2</v>
      </c>
      <c r="I601" s="5">
        <v>45165</v>
      </c>
      <c r="J601" s="7">
        <f t="shared" si="56"/>
        <v>-5.3089441334245159E-4</v>
      </c>
      <c r="K601" s="5">
        <v>45165</v>
      </c>
      <c r="L601" s="8">
        <f t="shared" si="54"/>
        <v>3.094151486097806E-3</v>
      </c>
      <c r="M601" s="5">
        <v>45165</v>
      </c>
      <c r="N601" s="9">
        <f t="shared" si="55"/>
        <v>2.5632570727553545E-3</v>
      </c>
      <c r="O601" s="5">
        <v>45165</v>
      </c>
      <c r="P601">
        <f t="shared" si="57"/>
        <v>0.99688480666532087</v>
      </c>
      <c r="Q601" s="6">
        <f t="shared" si="58"/>
        <v>0.99996000159993592</v>
      </c>
      <c r="R601">
        <f t="shared" si="59"/>
        <v>-3.0800564500748028E-3</v>
      </c>
      <c r="T601" s="5">
        <v>45165</v>
      </c>
      <c r="U601" s="1">
        <v>-3.0800564500748028E-3</v>
      </c>
    </row>
    <row r="602" spans="3:21" x14ac:dyDescent="0.2">
      <c r="C602" s="5">
        <v>45166</v>
      </c>
      <c r="D602" s="6">
        <v>1</v>
      </c>
      <c r="E602" s="6">
        <v>26098.6</v>
      </c>
      <c r="F602" s="6">
        <v>26095</v>
      </c>
      <c r="G602" s="6">
        <v>26119.35</v>
      </c>
      <c r="H602" s="6">
        <v>26084.7</v>
      </c>
      <c r="I602" s="5">
        <v>45166</v>
      </c>
      <c r="J602" s="7">
        <f t="shared" si="56"/>
        <v>-5.325956181556795E-4</v>
      </c>
      <c r="K602" s="5">
        <v>45166</v>
      </c>
      <c r="L602" s="8">
        <f t="shared" si="54"/>
        <v>9.3312895190643971E-4</v>
      </c>
      <c r="M602" s="5">
        <v>45166</v>
      </c>
      <c r="N602" s="9">
        <f t="shared" si="55"/>
        <v>4.0053333375076022E-4</v>
      </c>
      <c r="O602" s="5">
        <v>45166</v>
      </c>
      <c r="P602">
        <f t="shared" si="57"/>
        <v>0.99867339730889171</v>
      </c>
      <c r="Q602" s="6">
        <f t="shared" si="58"/>
        <v>1</v>
      </c>
      <c r="R602">
        <f t="shared" si="59"/>
        <v>-1.327483407451603E-3</v>
      </c>
      <c r="T602" s="5">
        <v>45166</v>
      </c>
      <c r="U602" s="1">
        <v>-1.327483407451603E-3</v>
      </c>
    </row>
    <row r="603" spans="3:21" x14ac:dyDescent="0.2">
      <c r="C603" s="5">
        <v>45167</v>
      </c>
      <c r="D603" s="6">
        <v>0.99997000000000003</v>
      </c>
      <c r="E603" s="6">
        <v>27710.41</v>
      </c>
      <c r="F603" s="6">
        <v>27707.5</v>
      </c>
      <c r="G603" s="6">
        <v>27777.03</v>
      </c>
      <c r="H603" s="6">
        <v>27720.6</v>
      </c>
      <c r="I603" s="5">
        <v>45167</v>
      </c>
      <c r="J603" s="7">
        <f t="shared" si="56"/>
        <v>3.6773183796265342E-4</v>
      </c>
      <c r="K603" s="5">
        <v>45167</v>
      </c>
      <c r="L603" s="8">
        <f t="shared" si="54"/>
        <v>2.5094288550031158E-3</v>
      </c>
      <c r="M603" s="5">
        <v>45167</v>
      </c>
      <c r="N603" s="9">
        <f t="shared" si="55"/>
        <v>2.8771606929657691E-3</v>
      </c>
      <c r="O603" s="5">
        <v>45167</v>
      </c>
      <c r="P603">
        <f t="shared" si="57"/>
        <v>0.99796846531108629</v>
      </c>
      <c r="Q603" s="6">
        <f t="shared" si="58"/>
        <v>1.0000300009000269</v>
      </c>
      <c r="R603">
        <f t="shared" si="59"/>
        <v>-2.0636015045886955E-3</v>
      </c>
      <c r="T603" s="5">
        <v>45167</v>
      </c>
      <c r="U603" s="1">
        <v>-2.0636015045886955E-3</v>
      </c>
    </row>
    <row r="604" spans="3:21" x14ac:dyDescent="0.2">
      <c r="C604" s="5">
        <v>45168</v>
      </c>
      <c r="D604" s="6">
        <v>1.00004</v>
      </c>
      <c r="E604" s="6">
        <v>27302.3</v>
      </c>
      <c r="F604" s="6">
        <v>27290</v>
      </c>
      <c r="G604" s="6">
        <v>27366.34</v>
      </c>
      <c r="H604" s="6">
        <v>27276.9</v>
      </c>
      <c r="I604" s="5">
        <v>45168</v>
      </c>
      <c r="J604" s="7">
        <f t="shared" si="56"/>
        <v>-9.3032455141133961E-4</v>
      </c>
      <c r="K604" s="5">
        <v>45168</v>
      </c>
      <c r="L604" s="8">
        <f t="shared" si="54"/>
        <v>2.7973616709417422E-3</v>
      </c>
      <c r="M604" s="5">
        <v>45168</v>
      </c>
      <c r="N604" s="9">
        <f t="shared" si="55"/>
        <v>1.8670371195304027E-3</v>
      </c>
      <c r="O604" s="5">
        <v>45168</v>
      </c>
      <c r="P604">
        <f t="shared" si="57"/>
        <v>0.99673175148741133</v>
      </c>
      <c r="Q604" s="6">
        <f t="shared" si="58"/>
        <v>0.99996000159993592</v>
      </c>
      <c r="R604">
        <f t="shared" si="59"/>
        <v>-3.2336017018779035E-3</v>
      </c>
      <c r="T604" s="5">
        <v>45168</v>
      </c>
      <c r="U604" s="1">
        <v>-3.2336017018779035E-3</v>
      </c>
    </row>
    <row r="605" spans="3:21" x14ac:dyDescent="0.2">
      <c r="C605" s="5">
        <v>45169</v>
      </c>
      <c r="D605" s="6">
        <v>0.99997999999999998</v>
      </c>
      <c r="E605" s="6">
        <v>25929.56</v>
      </c>
      <c r="F605" s="6">
        <v>25913.5</v>
      </c>
      <c r="G605" s="6">
        <v>26024.99</v>
      </c>
      <c r="H605" s="6">
        <v>25919.3</v>
      </c>
      <c r="I605" s="5">
        <v>45169</v>
      </c>
      <c r="J605" s="7">
        <f t="shared" si="56"/>
        <v>-3.9568739307578056E-4</v>
      </c>
      <c r="K605" s="5">
        <v>45169</v>
      </c>
      <c r="L605" s="8">
        <f t="shared" si="54"/>
        <v>4.3023906458024425E-3</v>
      </c>
      <c r="M605" s="5">
        <v>45169</v>
      </c>
      <c r="N605" s="9">
        <f t="shared" si="55"/>
        <v>3.9067032527266617E-3</v>
      </c>
      <c r="O605" s="5">
        <v>45169</v>
      </c>
      <c r="P605">
        <f t="shared" si="57"/>
        <v>0.99593890333867563</v>
      </c>
      <c r="Q605" s="6">
        <f t="shared" si="58"/>
        <v>1.0000200004000079</v>
      </c>
      <c r="R605">
        <f t="shared" si="59"/>
        <v>-4.0893655084828116E-3</v>
      </c>
      <c r="T605" s="5">
        <v>45169</v>
      </c>
      <c r="U605" s="1">
        <v>-4.0893655084828116E-3</v>
      </c>
    </row>
    <row r="606" spans="3:21" x14ac:dyDescent="0.2">
      <c r="C606" s="5">
        <v>45170</v>
      </c>
      <c r="D606" s="6">
        <v>0.99997000000000003</v>
      </c>
      <c r="E606" s="6">
        <v>25798.21</v>
      </c>
      <c r="F606" s="6">
        <v>25781</v>
      </c>
      <c r="G606" s="6">
        <v>25881.97</v>
      </c>
      <c r="H606" s="6">
        <v>25788.7</v>
      </c>
      <c r="I606" s="5">
        <v>45170</v>
      </c>
      <c r="J606" s="7">
        <f t="shared" si="56"/>
        <v>-3.6863022667070309E-4</v>
      </c>
      <c r="K606" s="5">
        <v>45170</v>
      </c>
      <c r="L606" s="8">
        <f t="shared" si="54"/>
        <v>3.9164500989100955E-3</v>
      </c>
      <c r="M606" s="5">
        <v>45170</v>
      </c>
      <c r="N606" s="9">
        <f t="shared" si="55"/>
        <v>3.5478198722393925E-3</v>
      </c>
      <c r="O606" s="5">
        <v>45170</v>
      </c>
      <c r="P606">
        <f t="shared" si="57"/>
        <v>0.99639633304574582</v>
      </c>
      <c r="Q606" s="6">
        <f t="shared" si="58"/>
        <v>1.0000300009000269</v>
      </c>
      <c r="R606">
        <f t="shared" si="59"/>
        <v>-3.6401762538774657E-3</v>
      </c>
      <c r="T606" s="5">
        <v>45170</v>
      </c>
      <c r="U606" s="1">
        <v>-3.6401762538774657E-3</v>
      </c>
    </row>
    <row r="607" spans="3:21" x14ac:dyDescent="0.2">
      <c r="C607" s="5">
        <v>45171</v>
      </c>
      <c r="D607" s="6">
        <v>0.99997000000000003</v>
      </c>
      <c r="E607" s="6">
        <v>25864.66</v>
      </c>
      <c r="F607" s="6">
        <v>25849</v>
      </c>
      <c r="G607" s="6">
        <v>25935.25</v>
      </c>
      <c r="H607" s="6">
        <v>25849.8</v>
      </c>
      <c r="I607" s="5">
        <v>45171</v>
      </c>
      <c r="J607" s="7">
        <f t="shared" si="56"/>
        <v>-5.7452910651060486E-4</v>
      </c>
      <c r="K607" s="5">
        <v>45171</v>
      </c>
      <c r="L607" s="8">
        <f t="shared" si="54"/>
        <v>3.3366861387287708E-3</v>
      </c>
      <c r="M607" s="5">
        <v>45171</v>
      </c>
      <c r="N607" s="9">
        <f t="shared" si="55"/>
        <v>2.762157032218166E-3</v>
      </c>
      <c r="O607" s="5">
        <v>45171</v>
      </c>
      <c r="P607">
        <f t="shared" si="57"/>
        <v>0.99670525635958784</v>
      </c>
      <c r="Q607" s="6">
        <f t="shared" si="58"/>
        <v>1.0000300009000269</v>
      </c>
      <c r="R607">
        <f t="shared" si="59"/>
        <v>-3.330183709635949E-3</v>
      </c>
      <c r="T607" s="5">
        <v>45171</v>
      </c>
      <c r="U607" s="1">
        <v>-3.330183709635949E-3</v>
      </c>
    </row>
    <row r="608" spans="3:21" x14ac:dyDescent="0.2">
      <c r="C608" s="5">
        <v>45172</v>
      </c>
      <c r="D608" s="6">
        <v>0.99997000000000003</v>
      </c>
      <c r="E608" s="6">
        <v>25970.42</v>
      </c>
      <c r="F608" s="6">
        <v>25950</v>
      </c>
      <c r="G608" s="6">
        <v>26050.18</v>
      </c>
      <c r="H608" s="6">
        <v>25956.3</v>
      </c>
      <c r="I608" s="5">
        <v>45172</v>
      </c>
      <c r="J608" s="7">
        <f t="shared" si="56"/>
        <v>-5.4369548124362185E-4</v>
      </c>
      <c r="K608" s="5">
        <v>45172</v>
      </c>
      <c r="L608" s="8">
        <f t="shared" si="54"/>
        <v>3.8605009633911479E-3</v>
      </c>
      <c r="M608" s="5">
        <v>45172</v>
      </c>
      <c r="N608" s="9">
        <f t="shared" si="55"/>
        <v>3.3168054821475258E-3</v>
      </c>
      <c r="O608" s="5">
        <v>45172</v>
      </c>
      <c r="P608">
        <f t="shared" si="57"/>
        <v>0.99639618612999992</v>
      </c>
      <c r="Q608" s="6">
        <f t="shared" si="58"/>
        <v>1.0000300009000269</v>
      </c>
      <c r="R608">
        <f t="shared" si="59"/>
        <v>-3.640323700984464E-3</v>
      </c>
      <c r="T608" s="5">
        <v>45172</v>
      </c>
      <c r="U608" s="1">
        <v>-3.640323700984464E-3</v>
      </c>
    </row>
    <row r="609" spans="3:21" x14ac:dyDescent="0.2">
      <c r="C609" s="5">
        <v>45173</v>
      </c>
      <c r="D609" s="6">
        <v>0.99999000000000005</v>
      </c>
      <c r="E609" s="6">
        <v>25812.07</v>
      </c>
      <c r="F609" s="6">
        <v>25801.5</v>
      </c>
      <c r="G609" s="6">
        <v>25851.16</v>
      </c>
      <c r="H609" s="6">
        <v>25802.3</v>
      </c>
      <c r="I609" s="5">
        <v>45173</v>
      </c>
      <c r="J609" s="7">
        <f t="shared" si="56"/>
        <v>-3.7850509470958496E-4</v>
      </c>
      <c r="K609" s="5">
        <v>45173</v>
      </c>
      <c r="L609" s="8">
        <f t="shared" si="54"/>
        <v>1.9246943007189448E-3</v>
      </c>
      <c r="M609" s="5">
        <v>45173</v>
      </c>
      <c r="N609" s="9">
        <f t="shared" si="55"/>
        <v>1.5461892060093599E-3</v>
      </c>
      <c r="O609" s="5">
        <v>45173</v>
      </c>
      <c r="P609">
        <f t="shared" si="57"/>
        <v>0.99810994941813058</v>
      </c>
      <c r="Q609" s="6">
        <f t="shared" si="58"/>
        <v>1.000010000100001</v>
      </c>
      <c r="R609">
        <f t="shared" si="59"/>
        <v>-1.9018390312695458E-3</v>
      </c>
      <c r="T609" s="5">
        <v>45173</v>
      </c>
      <c r="U609" s="1">
        <v>-1.9018390312695458E-3</v>
      </c>
    </row>
    <row r="610" spans="3:21" x14ac:dyDescent="0.2">
      <c r="C610" s="5">
        <v>45174</v>
      </c>
      <c r="D610" s="6">
        <v>0.99997999999999998</v>
      </c>
      <c r="E610" s="6">
        <v>25782.23</v>
      </c>
      <c r="F610" s="6">
        <v>25763</v>
      </c>
      <c r="G610" s="6">
        <v>25827.99</v>
      </c>
      <c r="H610" s="6">
        <v>25750.1</v>
      </c>
      <c r="I610" s="5">
        <v>45174</v>
      </c>
      <c r="J610" s="7">
        <f t="shared" si="56"/>
        <v>-1.2462071744764134E-3</v>
      </c>
      <c r="K610" s="5">
        <v>45174</v>
      </c>
      <c r="L610" s="8">
        <f t="shared" si="54"/>
        <v>2.5226099444941039E-3</v>
      </c>
      <c r="M610" s="5">
        <v>45174</v>
      </c>
      <c r="N610" s="9">
        <f t="shared" si="55"/>
        <v>1.2764027700176905E-3</v>
      </c>
      <c r="O610" s="5">
        <v>45174</v>
      </c>
      <c r="P610">
        <f t="shared" si="57"/>
        <v>0.99698427945806056</v>
      </c>
      <c r="Q610" s="6">
        <f t="shared" si="58"/>
        <v>1.0000200004000079</v>
      </c>
      <c r="R610">
        <f t="shared" si="59"/>
        <v>-3.0402771900909843E-3</v>
      </c>
      <c r="T610" s="5">
        <v>45174</v>
      </c>
      <c r="U610" s="1">
        <v>-3.0402771900909843E-3</v>
      </c>
    </row>
    <row r="611" spans="3:21" x14ac:dyDescent="0.2">
      <c r="C611" s="5">
        <v>45175</v>
      </c>
      <c r="D611" s="6">
        <v>1.0000100000000001</v>
      </c>
      <c r="E611" s="6">
        <v>25745.21</v>
      </c>
      <c r="F611" s="6">
        <v>25738</v>
      </c>
      <c r="G611" s="6">
        <v>25793.15</v>
      </c>
      <c r="H611" s="6">
        <v>25734.6</v>
      </c>
      <c r="I611" s="5">
        <v>45175</v>
      </c>
      <c r="J611" s="7">
        <f t="shared" si="56"/>
        <v>-4.1211549643605866E-4</v>
      </c>
      <c r="K611" s="5">
        <v>45175</v>
      </c>
      <c r="L611" s="8">
        <f t="shared" si="54"/>
        <v>2.1427461341208117E-3</v>
      </c>
      <c r="M611" s="5">
        <v>45175</v>
      </c>
      <c r="N611" s="9">
        <f t="shared" si="55"/>
        <v>1.730630637684753E-3</v>
      </c>
      <c r="O611" s="5">
        <v>45175</v>
      </c>
      <c r="P611">
        <f t="shared" si="57"/>
        <v>0.99773001746587753</v>
      </c>
      <c r="Q611" s="6">
        <f t="shared" si="58"/>
        <v>0.99999000009999894</v>
      </c>
      <c r="R611">
        <f t="shared" si="59"/>
        <v>-2.2625629000623303E-3</v>
      </c>
      <c r="T611" s="5">
        <v>45175</v>
      </c>
      <c r="U611" s="1">
        <v>-2.2625629000623303E-3</v>
      </c>
    </row>
    <row r="612" spans="3:21" x14ac:dyDescent="0.2">
      <c r="C612" s="5">
        <v>45176</v>
      </c>
      <c r="D612" s="6">
        <v>1.0000100000000001</v>
      </c>
      <c r="E612" s="6">
        <v>26237.61</v>
      </c>
      <c r="F612" s="6">
        <v>26237.5</v>
      </c>
      <c r="G612" s="6">
        <v>26274.6</v>
      </c>
      <c r="H612" s="6">
        <v>26232.7</v>
      </c>
      <c r="I612" s="5">
        <v>45176</v>
      </c>
      <c r="J612" s="7">
        <f t="shared" si="56"/>
        <v>-1.8713594721469885E-4</v>
      </c>
      <c r="K612" s="5">
        <v>45176</v>
      </c>
      <c r="L612" s="8">
        <f t="shared" si="54"/>
        <v>1.4140066698427268E-3</v>
      </c>
      <c r="M612" s="5">
        <v>45176</v>
      </c>
      <c r="N612" s="9">
        <f t="shared" si="55"/>
        <v>1.2268707226280281E-3</v>
      </c>
      <c r="O612" s="5">
        <v>45176</v>
      </c>
      <c r="P612">
        <f t="shared" si="57"/>
        <v>0.9984053039817925</v>
      </c>
      <c r="Q612" s="6">
        <f t="shared" si="58"/>
        <v>0.99999000009999894</v>
      </c>
      <c r="R612">
        <f t="shared" si="59"/>
        <v>-1.5859689493213066E-3</v>
      </c>
      <c r="T612" s="5">
        <v>45176</v>
      </c>
      <c r="U612" s="1">
        <v>-1.5859689493213066E-3</v>
      </c>
    </row>
    <row r="613" spans="3:21" x14ac:dyDescent="0.2">
      <c r="C613" s="5">
        <v>45177</v>
      </c>
      <c r="D613" s="6">
        <v>1.0000100000000001</v>
      </c>
      <c r="E613" s="6">
        <v>25901.919999999998</v>
      </c>
      <c r="F613" s="6">
        <v>25891.5</v>
      </c>
      <c r="G613" s="6">
        <v>25954.94</v>
      </c>
      <c r="H613" s="6">
        <v>25889.599999999999</v>
      </c>
      <c r="I613" s="5">
        <v>45177</v>
      </c>
      <c r="J613" s="7">
        <f t="shared" si="56"/>
        <v>-4.7564041584560951E-4</v>
      </c>
      <c r="K613" s="5">
        <v>45177</v>
      </c>
      <c r="L613" s="8">
        <f t="shared" si="54"/>
        <v>2.4502249773091047E-3</v>
      </c>
      <c r="M613" s="5">
        <v>45177</v>
      </c>
      <c r="N613" s="9">
        <f t="shared" si="55"/>
        <v>1.9745845614634952E-3</v>
      </c>
      <c r="O613" s="5">
        <v>45177</v>
      </c>
      <c r="P613">
        <f t="shared" si="57"/>
        <v>0.99748256016003112</v>
      </c>
      <c r="Q613" s="6">
        <f t="shared" si="58"/>
        <v>0.99999000009999894</v>
      </c>
      <c r="R613">
        <f t="shared" si="59"/>
        <v>-2.5106139697981928E-3</v>
      </c>
      <c r="T613" s="5">
        <v>45177</v>
      </c>
      <c r="U613" s="1">
        <v>-2.5106139697981928E-3</v>
      </c>
    </row>
    <row r="614" spans="3:21" x14ac:dyDescent="0.2">
      <c r="C614" s="5">
        <v>45178</v>
      </c>
      <c r="D614" s="6">
        <v>1.0000100000000001</v>
      </c>
      <c r="E614" s="6">
        <v>25897.3</v>
      </c>
      <c r="F614" s="6">
        <v>25881.5</v>
      </c>
      <c r="G614" s="6">
        <v>25943.73</v>
      </c>
      <c r="H614" s="6">
        <v>25883.7</v>
      </c>
      <c r="I614" s="5">
        <v>45178</v>
      </c>
      <c r="J614" s="7">
        <f t="shared" si="56"/>
        <v>-5.2515127059572027E-4</v>
      </c>
      <c r="K614" s="5">
        <v>45178</v>
      </c>
      <c r="L614" s="8">
        <f t="shared" si="54"/>
        <v>2.4044201456638742E-3</v>
      </c>
      <c r="M614" s="5">
        <v>45178</v>
      </c>
      <c r="N614" s="9">
        <f t="shared" si="55"/>
        <v>1.8792688750681539E-3</v>
      </c>
      <c r="O614" s="5">
        <v>45178</v>
      </c>
      <c r="P614">
        <f t="shared" si="57"/>
        <v>0.99768614613241824</v>
      </c>
      <c r="Q614" s="6">
        <f t="shared" si="58"/>
        <v>0.99999000009999894</v>
      </c>
      <c r="R614">
        <f t="shared" si="59"/>
        <v>-2.306535014016944E-3</v>
      </c>
      <c r="T614" s="5">
        <v>45178</v>
      </c>
      <c r="U614" s="1">
        <v>-2.306535014016944E-3</v>
      </c>
    </row>
    <row r="615" spans="3:21" x14ac:dyDescent="0.2">
      <c r="C615" s="5">
        <v>45179</v>
      </c>
      <c r="D615" s="6">
        <v>0.99997999999999998</v>
      </c>
      <c r="E615" s="6">
        <v>25833.22</v>
      </c>
      <c r="F615" s="6">
        <v>25822</v>
      </c>
      <c r="G615" s="6">
        <v>25880.12</v>
      </c>
      <c r="H615" s="6">
        <v>25816.3</v>
      </c>
      <c r="I615" s="5">
        <v>45179</v>
      </c>
      <c r="J615" s="7">
        <f t="shared" si="56"/>
        <v>-6.5497061535503087E-4</v>
      </c>
      <c r="K615" s="5">
        <v>45179</v>
      </c>
      <c r="L615" s="8">
        <f t="shared" si="54"/>
        <v>2.2507938966772126E-3</v>
      </c>
      <c r="M615" s="5">
        <v>45179</v>
      </c>
      <c r="N615" s="9">
        <f t="shared" si="55"/>
        <v>1.5958232813221818E-3</v>
      </c>
      <c r="O615" s="5">
        <v>45179</v>
      </c>
      <c r="P615">
        <f t="shared" si="57"/>
        <v>0.997534014525435</v>
      </c>
      <c r="Q615" s="6">
        <f t="shared" si="58"/>
        <v>1.0000200004000079</v>
      </c>
      <c r="R615">
        <f t="shared" si="59"/>
        <v>-2.4890312246330982E-3</v>
      </c>
      <c r="T615" s="5">
        <v>45179</v>
      </c>
      <c r="U615" s="1">
        <v>-2.4890312246330982E-3</v>
      </c>
    </row>
    <row r="616" spans="3:21" x14ac:dyDescent="0.2">
      <c r="C616" s="5">
        <v>45180</v>
      </c>
      <c r="D616" s="6">
        <v>1.0000100000000001</v>
      </c>
      <c r="E616" s="6">
        <v>25156.57</v>
      </c>
      <c r="F616" s="6">
        <v>25143</v>
      </c>
      <c r="G616" s="6">
        <v>25221.55</v>
      </c>
      <c r="H616" s="6">
        <v>25150.3</v>
      </c>
      <c r="I616" s="5">
        <v>45180</v>
      </c>
      <c r="J616" s="7">
        <f t="shared" si="56"/>
        <v>-2.4923906558010239E-4</v>
      </c>
      <c r="K616" s="5">
        <v>45180</v>
      </c>
      <c r="L616" s="8">
        <f t="shared" si="54"/>
        <v>3.1241299765341953E-3</v>
      </c>
      <c r="M616" s="5">
        <v>45180</v>
      </c>
      <c r="N616" s="9">
        <f t="shared" si="55"/>
        <v>2.8748909109540931E-3</v>
      </c>
      <c r="O616" s="5">
        <v>45180</v>
      </c>
      <c r="P616">
        <f t="shared" si="57"/>
        <v>0.99717503484123693</v>
      </c>
      <c r="Q616" s="6">
        <f t="shared" si="58"/>
        <v>0.99999000009999894</v>
      </c>
      <c r="R616">
        <f t="shared" si="59"/>
        <v>-2.8189629536051813E-3</v>
      </c>
      <c r="T616" s="5">
        <v>45180</v>
      </c>
      <c r="U616" s="1">
        <v>-2.8189629536051813E-3</v>
      </c>
    </row>
    <row r="617" spans="3:21" x14ac:dyDescent="0.2">
      <c r="C617" s="5">
        <v>45181</v>
      </c>
      <c r="D617" s="6">
        <v>0.99997999999999998</v>
      </c>
      <c r="E617" s="6">
        <v>25837.360000000001</v>
      </c>
      <c r="F617" s="6">
        <v>25829.5</v>
      </c>
      <c r="G617" s="6">
        <v>25863.35</v>
      </c>
      <c r="H617" s="6">
        <v>25811.5</v>
      </c>
      <c r="I617" s="5">
        <v>45181</v>
      </c>
      <c r="J617" s="7">
        <f t="shared" si="56"/>
        <v>-1.0008762505147809E-3</v>
      </c>
      <c r="K617" s="5">
        <v>45181</v>
      </c>
      <c r="L617" s="8">
        <f t="shared" si="54"/>
        <v>1.3105170444646062E-3</v>
      </c>
      <c r="M617" s="5">
        <v>45181</v>
      </c>
      <c r="N617" s="9">
        <f t="shared" si="55"/>
        <v>3.0964079394982529E-4</v>
      </c>
      <c r="O617" s="5">
        <v>45181</v>
      </c>
      <c r="P617">
        <f t="shared" si="57"/>
        <v>0.99799523263614343</v>
      </c>
      <c r="Q617" s="6">
        <f t="shared" si="58"/>
        <v>1.0000200004000079</v>
      </c>
      <c r="R617">
        <f t="shared" si="59"/>
        <v>-2.0267797997771315E-3</v>
      </c>
      <c r="T617" s="5">
        <v>45181</v>
      </c>
      <c r="U617" s="1">
        <v>-2.0267797997771315E-3</v>
      </c>
    </row>
    <row r="618" spans="3:21" x14ac:dyDescent="0.2">
      <c r="C618" s="5">
        <v>45182</v>
      </c>
      <c r="D618" s="6">
        <v>1.0000100000000001</v>
      </c>
      <c r="E618" s="6">
        <v>26224.92</v>
      </c>
      <c r="F618" s="6">
        <v>26215</v>
      </c>
      <c r="G618" s="6">
        <v>26266.98</v>
      </c>
      <c r="H618" s="6">
        <v>26212</v>
      </c>
      <c r="I618" s="5">
        <v>45182</v>
      </c>
      <c r="J618" s="7">
        <f t="shared" si="56"/>
        <v>-4.9266117875662748E-4</v>
      </c>
      <c r="K618" s="5">
        <v>45182</v>
      </c>
      <c r="L618" s="8">
        <f t="shared" si="54"/>
        <v>1.9828342551973894E-3</v>
      </c>
      <c r="M618" s="5">
        <v>45182</v>
      </c>
      <c r="N618" s="9">
        <f t="shared" si="55"/>
        <v>1.4901730764407619E-3</v>
      </c>
      <c r="O618" s="5">
        <v>45182</v>
      </c>
      <c r="P618">
        <f t="shared" si="57"/>
        <v>0.99790687776059539</v>
      </c>
      <c r="Q618" s="6">
        <f t="shared" si="58"/>
        <v>0.99999000009999894</v>
      </c>
      <c r="R618">
        <f t="shared" si="59"/>
        <v>-2.0853159313337808E-3</v>
      </c>
      <c r="T618" s="5">
        <v>45182</v>
      </c>
      <c r="U618" s="1">
        <v>-2.0853159313337808E-3</v>
      </c>
    </row>
    <row r="619" spans="3:21" x14ac:dyDescent="0.2">
      <c r="C619" s="5">
        <v>45183</v>
      </c>
      <c r="D619" s="6">
        <v>1</v>
      </c>
      <c r="E619" s="6">
        <v>26531.48</v>
      </c>
      <c r="F619" s="6">
        <v>26516</v>
      </c>
      <c r="G619" s="6">
        <v>26549.27</v>
      </c>
      <c r="H619" s="6">
        <v>26510.799999999999</v>
      </c>
      <c r="I619" s="5">
        <v>45183</v>
      </c>
      <c r="J619" s="7">
        <f t="shared" si="56"/>
        <v>-7.7945142901942493E-4</v>
      </c>
      <c r="K619" s="5">
        <v>45183</v>
      </c>
      <c r="L619" s="8">
        <f t="shared" si="54"/>
        <v>1.2547141348619867E-3</v>
      </c>
      <c r="M619" s="5">
        <v>45183</v>
      </c>
      <c r="N619" s="9">
        <f t="shared" si="55"/>
        <v>4.7526270584256176E-4</v>
      </c>
      <c r="O619" s="5">
        <v>45183</v>
      </c>
      <c r="P619">
        <f t="shared" si="57"/>
        <v>0.99855099594075458</v>
      </c>
      <c r="Q619" s="6">
        <f t="shared" si="58"/>
        <v>1</v>
      </c>
      <c r="R619">
        <f t="shared" si="59"/>
        <v>-1.450054880846451E-3</v>
      </c>
      <c r="T619" s="5">
        <v>45183</v>
      </c>
      <c r="U619" s="1">
        <v>-1.450054880846451E-3</v>
      </c>
    </row>
    <row r="620" spans="3:21" x14ac:dyDescent="0.2">
      <c r="C620" s="5">
        <v>45184</v>
      </c>
      <c r="D620" s="6">
        <v>1.0000100000000001</v>
      </c>
      <c r="E620" s="6">
        <v>26604.79</v>
      </c>
      <c r="F620" s="6">
        <v>26591.5</v>
      </c>
      <c r="G620" s="6">
        <v>26639.26</v>
      </c>
      <c r="H620" s="6">
        <v>26588.6</v>
      </c>
      <c r="I620" s="5">
        <v>45184</v>
      </c>
      <c r="J620" s="7">
        <f t="shared" si="56"/>
        <v>-6.0853703412063495E-4</v>
      </c>
      <c r="K620" s="5">
        <v>45184</v>
      </c>
      <c r="L620" s="8">
        <f t="shared" si="54"/>
        <v>1.7960626515991351E-3</v>
      </c>
      <c r="M620" s="5">
        <v>45184</v>
      </c>
      <c r="N620" s="9">
        <f t="shared" si="55"/>
        <v>1.1875256174785002E-3</v>
      </c>
      <c r="O620" s="5">
        <v>45184</v>
      </c>
      <c r="P620">
        <f t="shared" si="57"/>
        <v>0.99809829552322393</v>
      </c>
      <c r="Q620" s="6">
        <f t="shared" si="58"/>
        <v>0.99999000009999894</v>
      </c>
      <c r="R620">
        <f t="shared" si="59"/>
        <v>-1.8935150625009535E-3</v>
      </c>
      <c r="T620" s="5">
        <v>45184</v>
      </c>
      <c r="U620" s="1">
        <v>-1.8935150625009535E-3</v>
      </c>
    </row>
    <row r="621" spans="3:21" x14ac:dyDescent="0.2">
      <c r="C621" s="5">
        <v>45185</v>
      </c>
      <c r="D621" s="6">
        <v>1</v>
      </c>
      <c r="E621" s="6">
        <v>26568</v>
      </c>
      <c r="F621" s="6">
        <v>26556.5</v>
      </c>
      <c r="G621" s="6">
        <v>26564.18</v>
      </c>
      <c r="H621" s="6">
        <v>26552.799999999999</v>
      </c>
      <c r="I621" s="5">
        <v>45185</v>
      </c>
      <c r="J621" s="7">
        <f t="shared" si="56"/>
        <v>-5.7211683227946129E-4</v>
      </c>
      <c r="K621" s="5">
        <v>45185</v>
      </c>
      <c r="L621" s="8">
        <f t="shared" si="54"/>
        <v>2.8919473575208675E-4</v>
      </c>
      <c r="M621" s="5">
        <v>45185</v>
      </c>
      <c r="N621" s="9">
        <f t="shared" si="55"/>
        <v>-2.8292209652737454E-4</v>
      </c>
      <c r="O621" s="5">
        <v>45185</v>
      </c>
      <c r="P621">
        <f t="shared" si="57"/>
        <v>0.99957160356540264</v>
      </c>
      <c r="Q621" s="6">
        <f t="shared" si="58"/>
        <v>1</v>
      </c>
      <c r="R621">
        <f t="shared" si="59"/>
        <v>-4.2848822256530503E-4</v>
      </c>
      <c r="T621" s="5">
        <v>45185</v>
      </c>
      <c r="U621" s="1">
        <v>-4.2848822256530503E-4</v>
      </c>
    </row>
    <row r="622" spans="3:21" x14ac:dyDescent="0.2">
      <c r="C622" s="5">
        <v>45186</v>
      </c>
      <c r="D622" s="6">
        <v>1</v>
      </c>
      <c r="E622" s="6">
        <v>26529.43</v>
      </c>
      <c r="F622" s="6">
        <v>26523</v>
      </c>
      <c r="G622" s="6">
        <v>26533.43</v>
      </c>
      <c r="H622" s="6">
        <v>26519.5</v>
      </c>
      <c r="I622" s="5">
        <v>45186</v>
      </c>
      <c r="J622" s="7">
        <f t="shared" si="56"/>
        <v>-3.7430129482617195E-4</v>
      </c>
      <c r="K622" s="5">
        <v>45186</v>
      </c>
      <c r="L622" s="8">
        <f t="shared" si="54"/>
        <v>3.9324359989444222E-4</v>
      </c>
      <c r="M622" s="5">
        <v>45186</v>
      </c>
      <c r="N622" s="9">
        <f t="shared" si="55"/>
        <v>1.894230506827027E-5</v>
      </c>
      <c r="O622" s="5">
        <v>45186</v>
      </c>
      <c r="P622">
        <f t="shared" si="57"/>
        <v>0.99947500191268157</v>
      </c>
      <c r="Q622" s="6">
        <f t="shared" si="58"/>
        <v>1</v>
      </c>
      <c r="R622">
        <f t="shared" si="59"/>
        <v>-5.2513594706712083E-4</v>
      </c>
      <c r="T622" s="5">
        <v>45186</v>
      </c>
      <c r="U622" s="1">
        <v>-5.2513594706712083E-4</v>
      </c>
    </row>
    <row r="623" spans="3:21" x14ac:dyDescent="0.2">
      <c r="C623" s="5">
        <v>45187</v>
      </c>
      <c r="D623" s="6">
        <v>1.00004</v>
      </c>
      <c r="E623" s="6">
        <v>26766.2</v>
      </c>
      <c r="F623" s="6">
        <v>26753</v>
      </c>
      <c r="G623" s="6">
        <v>26800.23</v>
      </c>
      <c r="H623" s="6">
        <v>26753.200000000001</v>
      </c>
      <c r="I623" s="5">
        <v>45187</v>
      </c>
      <c r="J623" s="7">
        <f t="shared" si="56"/>
        <v>-4.8568717262816534E-4</v>
      </c>
      <c r="K623" s="5">
        <v>45187</v>
      </c>
      <c r="L623" s="8">
        <f t="shared" si="54"/>
        <v>1.7654094867865123E-3</v>
      </c>
      <c r="M623" s="5">
        <v>45187</v>
      </c>
      <c r="N623" s="9">
        <f t="shared" si="55"/>
        <v>1.279722314158347E-3</v>
      </c>
      <c r="O623" s="5">
        <v>45187</v>
      </c>
      <c r="P623">
        <f t="shared" si="57"/>
        <v>0.99824516431388832</v>
      </c>
      <c r="Q623" s="6">
        <f t="shared" si="58"/>
        <v>0.99996000159993592</v>
      </c>
      <c r="R623">
        <f t="shared" si="59"/>
        <v>-1.7163780139155546E-3</v>
      </c>
      <c r="T623" s="5">
        <v>45187</v>
      </c>
      <c r="U623" s="1">
        <v>-1.7163780139155546E-3</v>
      </c>
    </row>
    <row r="624" spans="3:21" x14ac:dyDescent="0.2">
      <c r="C624" s="5">
        <v>45188</v>
      </c>
      <c r="D624" s="6">
        <v>1.0000100000000001</v>
      </c>
      <c r="E624" s="6">
        <v>27215.3</v>
      </c>
      <c r="F624" s="6">
        <v>27193.5</v>
      </c>
      <c r="G624" s="6">
        <v>27245.26</v>
      </c>
      <c r="H624" s="6">
        <v>27198.9</v>
      </c>
      <c r="I624" s="5">
        <v>45188</v>
      </c>
      <c r="J624" s="7">
        <f t="shared" si="56"/>
        <v>-6.0260221272584967E-4</v>
      </c>
      <c r="K624" s="5">
        <v>45188</v>
      </c>
      <c r="L624" s="8">
        <f t="shared" si="54"/>
        <v>1.9033960321399746E-3</v>
      </c>
      <c r="M624" s="5">
        <v>45188</v>
      </c>
      <c r="N624" s="9">
        <f t="shared" si="55"/>
        <v>1.3007938194141248E-3</v>
      </c>
      <c r="O624" s="5">
        <v>45188</v>
      </c>
      <c r="P624">
        <f t="shared" si="57"/>
        <v>0.99829841961500831</v>
      </c>
      <c r="Q624" s="6">
        <f t="shared" si="58"/>
        <v>0.99999000009999894</v>
      </c>
      <c r="R624">
        <f t="shared" si="59"/>
        <v>-1.6930297672314919E-3</v>
      </c>
      <c r="T624" s="5">
        <v>45188</v>
      </c>
      <c r="U624" s="1">
        <v>-1.6930297672314919E-3</v>
      </c>
    </row>
    <row r="625" spans="3:21" x14ac:dyDescent="0.2">
      <c r="C625" s="5">
        <v>45189</v>
      </c>
      <c r="D625" s="6">
        <v>0.99999000000000005</v>
      </c>
      <c r="E625" s="6">
        <v>27123.58</v>
      </c>
      <c r="F625" s="6">
        <v>27106.5</v>
      </c>
      <c r="G625" s="6">
        <v>27149.69</v>
      </c>
      <c r="H625" s="6">
        <v>27106.400000000001</v>
      </c>
      <c r="I625" s="5">
        <v>45189</v>
      </c>
      <c r="J625" s="7">
        <f t="shared" si="56"/>
        <v>-6.333972137896358E-4</v>
      </c>
      <c r="K625" s="5">
        <v>45189</v>
      </c>
      <c r="L625" s="8">
        <f t="shared" si="54"/>
        <v>1.5933447697046351E-3</v>
      </c>
      <c r="M625" s="5">
        <v>45189</v>
      </c>
      <c r="N625" s="9">
        <f t="shared" si="55"/>
        <v>9.5994755591499931E-4</v>
      </c>
      <c r="O625" s="5">
        <v>45189</v>
      </c>
      <c r="P625">
        <f t="shared" si="57"/>
        <v>0.99840550665587724</v>
      </c>
      <c r="Q625" s="6">
        <f t="shared" si="58"/>
        <v>1.000010000100001</v>
      </c>
      <c r="R625">
        <f t="shared" si="59"/>
        <v>-1.6057659515380115E-3</v>
      </c>
      <c r="T625" s="5">
        <v>45189</v>
      </c>
      <c r="U625" s="1">
        <v>-1.6057659515380115E-3</v>
      </c>
    </row>
    <row r="626" spans="3:21" x14ac:dyDescent="0.2">
      <c r="C626" s="5">
        <v>45190</v>
      </c>
      <c r="D626" s="6">
        <v>0.99997000000000003</v>
      </c>
      <c r="E626" s="6">
        <v>26564.53</v>
      </c>
      <c r="F626" s="6">
        <v>26557.5</v>
      </c>
      <c r="G626" s="6">
        <v>26591.02</v>
      </c>
      <c r="H626" s="6">
        <v>26550</v>
      </c>
      <c r="I626" s="5">
        <v>45190</v>
      </c>
      <c r="J626" s="7">
        <f t="shared" si="56"/>
        <v>-5.469699633307586E-4</v>
      </c>
      <c r="K626" s="5">
        <v>45190</v>
      </c>
      <c r="L626" s="8">
        <f t="shared" si="54"/>
        <v>1.2621669961404665E-3</v>
      </c>
      <c r="M626" s="5">
        <v>45190</v>
      </c>
      <c r="N626" s="9">
        <f t="shared" si="55"/>
        <v>7.1519703280970785E-4</v>
      </c>
      <c r="O626" s="5">
        <v>45190</v>
      </c>
      <c r="P626">
        <f t="shared" si="57"/>
        <v>0.99845737395556855</v>
      </c>
      <c r="Q626" s="6">
        <f t="shared" si="58"/>
        <v>1.0000300009000269</v>
      </c>
      <c r="R626">
        <f t="shared" si="59"/>
        <v>-1.5738175670742469E-3</v>
      </c>
      <c r="T626" s="5">
        <v>45190</v>
      </c>
      <c r="U626" s="1">
        <v>-1.5738175670742469E-3</v>
      </c>
    </row>
    <row r="627" spans="3:21" x14ac:dyDescent="0.2">
      <c r="C627" s="5">
        <v>45191</v>
      </c>
      <c r="D627" s="6">
        <v>1.0000199999999999</v>
      </c>
      <c r="E627" s="6">
        <v>26576.34</v>
      </c>
      <c r="F627" s="6">
        <v>26567</v>
      </c>
      <c r="G627" s="6">
        <v>26618.05</v>
      </c>
      <c r="H627" s="6">
        <v>26564.9</v>
      </c>
      <c r="I627" s="5">
        <v>45191</v>
      </c>
      <c r="J627" s="7">
        <f t="shared" si="56"/>
        <v>-4.3045806909449119E-4</v>
      </c>
      <c r="K627" s="5">
        <v>45191</v>
      </c>
      <c r="L627" s="8">
        <f t="shared" si="54"/>
        <v>1.9215568186095259E-3</v>
      </c>
      <c r="M627" s="5">
        <v>45191</v>
      </c>
      <c r="N627" s="9">
        <f t="shared" si="55"/>
        <v>1.4910987495150348E-3</v>
      </c>
      <c r="O627" s="5">
        <v>45191</v>
      </c>
      <c r="P627">
        <f t="shared" si="57"/>
        <v>0.99800323464716612</v>
      </c>
      <c r="Q627" s="6">
        <f t="shared" si="58"/>
        <v>0.99998000039999213</v>
      </c>
      <c r="R627">
        <f t="shared" si="59"/>
        <v>-1.97876174649799E-3</v>
      </c>
      <c r="T627" s="5">
        <v>45191</v>
      </c>
      <c r="U627" s="1">
        <v>-1.97876174649799E-3</v>
      </c>
    </row>
    <row r="628" spans="3:21" x14ac:dyDescent="0.2">
      <c r="C628" s="5">
        <v>45192</v>
      </c>
      <c r="D628" s="6">
        <v>1.0000199999999999</v>
      </c>
      <c r="E628" s="6">
        <v>26577.15</v>
      </c>
      <c r="F628" s="6">
        <v>26572</v>
      </c>
      <c r="G628" s="6">
        <v>26615.34</v>
      </c>
      <c r="H628" s="6">
        <v>26558.6</v>
      </c>
      <c r="I628" s="5">
        <v>45192</v>
      </c>
      <c r="J628" s="7">
        <f t="shared" si="56"/>
        <v>-6.9796799130090732E-4</v>
      </c>
      <c r="K628" s="5">
        <v>45192</v>
      </c>
      <c r="L628" s="8">
        <f t="shared" si="54"/>
        <v>1.6310401926840337E-3</v>
      </c>
      <c r="M628" s="5">
        <v>45192</v>
      </c>
      <c r="N628" s="9">
        <f t="shared" si="55"/>
        <v>9.3307220138312639E-4</v>
      </c>
      <c r="O628" s="5">
        <v>45192</v>
      </c>
      <c r="P628">
        <f t="shared" si="57"/>
        <v>0.99786814671539048</v>
      </c>
      <c r="Q628" s="6">
        <f t="shared" si="58"/>
        <v>0.99998000039999213</v>
      </c>
      <c r="R628">
        <f t="shared" si="59"/>
        <v>-2.1141291186076746E-3</v>
      </c>
      <c r="T628" s="5">
        <v>45192</v>
      </c>
      <c r="U628" s="1">
        <v>-2.1141291186076746E-3</v>
      </c>
    </row>
    <row r="629" spans="3:21" x14ac:dyDescent="0.2">
      <c r="C629" s="5">
        <v>45193</v>
      </c>
      <c r="D629" s="6">
        <v>1.0000500000000001</v>
      </c>
      <c r="E629" s="6">
        <v>26246.54</v>
      </c>
      <c r="F629" s="6">
        <v>26238.5</v>
      </c>
      <c r="G629" s="6">
        <v>26275.83</v>
      </c>
      <c r="H629" s="6">
        <v>26248</v>
      </c>
      <c r="I629" s="5">
        <v>45193</v>
      </c>
      <c r="J629" s="7">
        <f t="shared" si="56"/>
        <v>5.5626379705634602E-5</v>
      </c>
      <c r="K629" s="5">
        <v>45193</v>
      </c>
      <c r="L629" s="8">
        <f t="shared" si="54"/>
        <v>1.4227185243059529E-3</v>
      </c>
      <c r="M629" s="5">
        <v>45193</v>
      </c>
      <c r="N629" s="9">
        <f t="shared" si="55"/>
        <v>1.4783449040115875E-3</v>
      </c>
      <c r="O629" s="5">
        <v>45193</v>
      </c>
      <c r="P629">
        <f t="shared" si="57"/>
        <v>0.99894085172571134</v>
      </c>
      <c r="Q629" s="6">
        <f t="shared" si="58"/>
        <v>0.99995000249987487</v>
      </c>
      <c r="R629">
        <f t="shared" si="59"/>
        <v>-1.0097108181442887E-3</v>
      </c>
      <c r="T629" s="5">
        <v>45193</v>
      </c>
      <c r="U629" s="1">
        <v>-1.0097108181442887E-3</v>
      </c>
    </row>
    <row r="630" spans="3:21" x14ac:dyDescent="0.2">
      <c r="C630" s="5">
        <v>45194</v>
      </c>
      <c r="D630" s="6">
        <v>0.99997999999999998</v>
      </c>
      <c r="E630" s="6">
        <v>26294.07</v>
      </c>
      <c r="F630" s="6">
        <v>26287.5</v>
      </c>
      <c r="G630" s="6">
        <v>26312.59</v>
      </c>
      <c r="H630" s="6">
        <v>26284.5</v>
      </c>
      <c r="I630" s="5">
        <v>45194</v>
      </c>
      <c r="J630" s="7">
        <f t="shared" si="56"/>
        <v>-3.6396039106915398E-4</v>
      </c>
      <c r="K630" s="5">
        <v>45194</v>
      </c>
      <c r="L630" s="8">
        <f t="shared" si="54"/>
        <v>9.544460294816984E-4</v>
      </c>
      <c r="M630" s="5">
        <v>45194</v>
      </c>
      <c r="N630" s="9">
        <f t="shared" si="55"/>
        <v>5.9048563841254437E-4</v>
      </c>
      <c r="O630" s="5">
        <v>45194</v>
      </c>
      <c r="P630">
        <f t="shared" si="57"/>
        <v>0.99893245020729615</v>
      </c>
      <c r="Q630" s="6">
        <f t="shared" si="58"/>
        <v>1.0000200004000079</v>
      </c>
      <c r="R630">
        <f t="shared" si="59"/>
        <v>-1.0881202298601968E-3</v>
      </c>
      <c r="T630" s="5">
        <v>45194</v>
      </c>
      <c r="U630" s="1">
        <v>-1.0881202298601968E-3</v>
      </c>
    </row>
    <row r="631" spans="3:21" x14ac:dyDescent="0.2">
      <c r="C631" s="5">
        <v>45195</v>
      </c>
      <c r="D631" s="6">
        <v>0.99997999999999998</v>
      </c>
      <c r="E631" s="6">
        <v>26208.58</v>
      </c>
      <c r="F631" s="6">
        <v>26207</v>
      </c>
      <c r="G631" s="6">
        <v>26221.14</v>
      </c>
      <c r="H631" s="6">
        <v>26193.599999999999</v>
      </c>
      <c r="I631" s="5">
        <v>45195</v>
      </c>
      <c r="J631" s="7">
        <f t="shared" si="56"/>
        <v>-5.7156854739948517E-4</v>
      </c>
      <c r="K631" s="5">
        <v>45195</v>
      </c>
      <c r="L631" s="8">
        <f t="shared" si="54"/>
        <v>5.3955050177431293E-4</v>
      </c>
      <c r="M631" s="5">
        <v>45195</v>
      </c>
      <c r="N631" s="9">
        <f t="shared" si="55"/>
        <v>-3.2018045625172237E-5</v>
      </c>
      <c r="O631" s="5">
        <v>45195</v>
      </c>
      <c r="P631">
        <f t="shared" si="57"/>
        <v>0.99894970241568437</v>
      </c>
      <c r="Q631" s="6">
        <f t="shared" si="58"/>
        <v>1.0000200004000079</v>
      </c>
      <c r="R631">
        <f t="shared" si="59"/>
        <v>-1.0708497333337128E-3</v>
      </c>
      <c r="T631" s="5">
        <v>45195</v>
      </c>
      <c r="U631" s="1">
        <v>-1.0708497333337128E-3</v>
      </c>
    </row>
    <row r="632" spans="3:21" x14ac:dyDescent="0.2">
      <c r="C632" s="5">
        <v>45196</v>
      </c>
      <c r="D632" s="6">
        <v>0.99997000000000003</v>
      </c>
      <c r="E632" s="6">
        <v>26355.65</v>
      </c>
      <c r="F632" s="6">
        <v>26345</v>
      </c>
      <c r="G632" s="6">
        <v>26366.45</v>
      </c>
      <c r="H632" s="6">
        <v>26341.1</v>
      </c>
      <c r="I632" s="5">
        <v>45196</v>
      </c>
      <c r="J632" s="7">
        <f t="shared" si="56"/>
        <v>-5.5206378897894412E-4</v>
      </c>
      <c r="K632" s="5">
        <v>45196</v>
      </c>
      <c r="L632" s="8">
        <f t="shared" si="54"/>
        <v>8.1419624217121764E-4</v>
      </c>
      <c r="M632" s="5">
        <v>45196</v>
      </c>
      <c r="N632" s="9">
        <f t="shared" si="55"/>
        <v>2.6213245319227352E-4</v>
      </c>
      <c r="O632" s="5">
        <v>45196</v>
      </c>
      <c r="P632">
        <f t="shared" si="57"/>
        <v>0.99903855088568982</v>
      </c>
      <c r="Q632" s="6">
        <f t="shared" si="58"/>
        <v>1.0000300009000269</v>
      </c>
      <c r="R632">
        <f t="shared" si="59"/>
        <v>-9.9191205298209155E-4</v>
      </c>
      <c r="T632" s="5">
        <v>45196</v>
      </c>
      <c r="U632" s="1">
        <v>-9.9191205298209155E-4</v>
      </c>
    </row>
    <row r="633" spans="3:21" x14ac:dyDescent="0.2">
      <c r="C633" s="5">
        <v>45197</v>
      </c>
      <c r="D633" s="6">
        <v>1</v>
      </c>
      <c r="E633" s="6">
        <v>27026</v>
      </c>
      <c r="F633" s="6">
        <v>27014.5</v>
      </c>
      <c r="G633" s="6">
        <v>27043.9</v>
      </c>
      <c r="H633" s="6">
        <v>27007</v>
      </c>
      <c r="I633" s="5">
        <v>45197</v>
      </c>
      <c r="J633" s="7">
        <f t="shared" si="56"/>
        <v>-7.0302671501517059E-4</v>
      </c>
      <c r="K633" s="5">
        <v>45197</v>
      </c>
      <c r="L633" s="8">
        <f t="shared" si="54"/>
        <v>1.0883044291029431E-3</v>
      </c>
      <c r="M633" s="5">
        <v>45197</v>
      </c>
      <c r="N633" s="9">
        <f t="shared" si="55"/>
        <v>3.8527771408777248E-4</v>
      </c>
      <c r="O633" s="5">
        <v>45197</v>
      </c>
      <c r="P633">
        <f t="shared" si="57"/>
        <v>0.99863555182499564</v>
      </c>
      <c r="Q633" s="6">
        <f t="shared" si="58"/>
        <v>1</v>
      </c>
      <c r="R633">
        <f t="shared" si="59"/>
        <v>-1.3653798820225614E-3</v>
      </c>
      <c r="T633" s="5">
        <v>45197</v>
      </c>
      <c r="U633" s="1">
        <v>-1.3653798820225614E-3</v>
      </c>
    </row>
    <row r="634" spans="3:21" x14ac:dyDescent="0.2">
      <c r="C634" s="5">
        <v>45198</v>
      </c>
      <c r="D634" s="6">
        <v>1</v>
      </c>
      <c r="E634" s="6">
        <v>26906.71</v>
      </c>
      <c r="F634" s="6">
        <v>26903.5</v>
      </c>
      <c r="G634" s="6">
        <v>26924.06</v>
      </c>
      <c r="H634" s="6">
        <v>26892.799999999999</v>
      </c>
      <c r="I634" s="5">
        <v>45198</v>
      </c>
      <c r="J634" s="7">
        <f t="shared" si="56"/>
        <v>-5.169714171669392E-4</v>
      </c>
      <c r="K634" s="5">
        <v>45198</v>
      </c>
      <c r="L634" s="8">
        <f t="shared" si="54"/>
        <v>7.6421283476132507E-4</v>
      </c>
      <c r="M634" s="5">
        <v>45198</v>
      </c>
      <c r="N634" s="9">
        <f t="shared" si="55"/>
        <v>2.4724141759438587E-4</v>
      </c>
      <c r="O634" s="5">
        <v>45198</v>
      </c>
      <c r="P634">
        <f t="shared" si="57"/>
        <v>0.9988389566803817</v>
      </c>
      <c r="Q634" s="6">
        <f t="shared" si="58"/>
        <v>1</v>
      </c>
      <c r="R634">
        <f t="shared" si="59"/>
        <v>-1.1617178525718532E-3</v>
      </c>
      <c r="T634" s="5">
        <v>45198</v>
      </c>
      <c r="U634" s="1">
        <v>-1.1617178525718532E-3</v>
      </c>
    </row>
    <row r="635" spans="3:21" x14ac:dyDescent="0.2">
      <c r="C635" s="5">
        <v>45199</v>
      </c>
      <c r="D635" s="6">
        <v>1</v>
      </c>
      <c r="E635" s="6">
        <v>26965.35</v>
      </c>
      <c r="F635" s="6">
        <v>26960</v>
      </c>
      <c r="G635" s="6">
        <v>26992.77</v>
      </c>
      <c r="H635" s="6">
        <v>26958.9</v>
      </c>
      <c r="I635" s="5">
        <v>45199</v>
      </c>
      <c r="J635" s="7">
        <f t="shared" si="56"/>
        <v>-2.391958569051427E-4</v>
      </c>
      <c r="K635" s="5">
        <v>45199</v>
      </c>
      <c r="L635" s="8">
        <f t="shared" si="54"/>
        <v>1.215504451038592E-3</v>
      </c>
      <c r="M635" s="5">
        <v>45199</v>
      </c>
      <c r="N635" s="9">
        <f t="shared" si="55"/>
        <v>9.763085941334492E-4</v>
      </c>
      <c r="O635" s="5">
        <v>45199</v>
      </c>
      <c r="P635">
        <f t="shared" si="57"/>
        <v>0.99874521955323592</v>
      </c>
      <c r="Q635" s="6">
        <f t="shared" si="58"/>
        <v>1</v>
      </c>
      <c r="R635">
        <f t="shared" si="59"/>
        <v>-1.2555683429089537E-3</v>
      </c>
      <c r="T635" s="5">
        <v>45199</v>
      </c>
      <c r="U635" s="1">
        <v>-1.2555683429089537E-3</v>
      </c>
    </row>
    <row r="636" spans="3:21" x14ac:dyDescent="0.2">
      <c r="C636" s="5">
        <v>45200</v>
      </c>
      <c r="D636" s="6">
        <v>1.00003</v>
      </c>
      <c r="E636" s="6">
        <v>27994.1</v>
      </c>
      <c r="F636" s="6">
        <v>27989</v>
      </c>
      <c r="G636" s="6">
        <v>28015.69</v>
      </c>
      <c r="H636" s="6">
        <v>27968.3</v>
      </c>
      <c r="I636" s="5">
        <v>45200</v>
      </c>
      <c r="J636" s="7">
        <f t="shared" si="56"/>
        <v>-9.2162277051233198E-4</v>
      </c>
      <c r="K636" s="5">
        <v>45200</v>
      </c>
      <c r="L636" s="8">
        <f t="shared" si="54"/>
        <v>9.5358890992885384E-4</v>
      </c>
      <c r="M636" s="5">
        <v>45200</v>
      </c>
      <c r="N636" s="9">
        <f t="shared" si="55"/>
        <v>3.1966139416521864E-5</v>
      </c>
      <c r="O636" s="5">
        <v>45200</v>
      </c>
      <c r="P636">
        <f t="shared" si="57"/>
        <v>0.99830844787331685</v>
      </c>
      <c r="Q636" s="6">
        <f t="shared" si="58"/>
        <v>0.99997000089997301</v>
      </c>
      <c r="R636">
        <f t="shared" si="59"/>
        <v>-1.6629848663958951E-3</v>
      </c>
      <c r="T636" s="5">
        <v>45200</v>
      </c>
      <c r="U636" s="1">
        <v>-1.6629848663958951E-3</v>
      </c>
    </row>
    <row r="637" spans="3:21" x14ac:dyDescent="0.2">
      <c r="C637" s="5">
        <v>45201</v>
      </c>
      <c r="D637" s="6">
        <v>0.99997000000000003</v>
      </c>
      <c r="E637" s="6">
        <v>27504.89</v>
      </c>
      <c r="F637" s="6">
        <v>27485</v>
      </c>
      <c r="G637" s="6">
        <v>27514.240000000002</v>
      </c>
      <c r="H637" s="6">
        <v>27493.8</v>
      </c>
      <c r="I637" s="5">
        <v>45201</v>
      </c>
      <c r="J637" s="7">
        <f t="shared" si="56"/>
        <v>-4.0320103079852877E-4</v>
      </c>
      <c r="K637" s="5">
        <v>45201</v>
      </c>
      <c r="L637" s="8">
        <f t="shared" si="54"/>
        <v>1.0638530107331854E-3</v>
      </c>
      <c r="M637" s="5">
        <v>45201</v>
      </c>
      <c r="N637" s="9">
        <f t="shared" si="55"/>
        <v>6.6065197993465659E-4</v>
      </c>
      <c r="O637" s="5">
        <v>45201</v>
      </c>
      <c r="P637">
        <f t="shared" si="57"/>
        <v>0.99925711195366462</v>
      </c>
      <c r="Q637" s="6">
        <f t="shared" si="58"/>
        <v>1.0000300009000269</v>
      </c>
      <c r="R637">
        <f t="shared" si="59"/>
        <v>-7.7316457440754455E-4</v>
      </c>
      <c r="T637" s="5">
        <v>45201</v>
      </c>
      <c r="U637" s="1">
        <v>-7.7316457440754455E-4</v>
      </c>
    </row>
    <row r="638" spans="3:21" x14ac:dyDescent="0.2">
      <c r="C638" s="5">
        <v>45202</v>
      </c>
      <c r="D638" s="6">
        <v>1</v>
      </c>
      <c r="E638" s="6">
        <v>27429.83</v>
      </c>
      <c r="F638" s="6">
        <v>27411.5</v>
      </c>
      <c r="G638" s="6">
        <v>27445.32</v>
      </c>
      <c r="H638" s="6">
        <v>27418.9</v>
      </c>
      <c r="I638" s="5">
        <v>45202</v>
      </c>
      <c r="J638" s="7">
        <f t="shared" si="56"/>
        <v>-3.9847129931174527E-4</v>
      </c>
      <c r="K638" s="5">
        <v>45202</v>
      </c>
      <c r="L638" s="8">
        <f t="shared" si="54"/>
        <v>1.2337887383032562E-3</v>
      </c>
      <c r="M638" s="5">
        <v>45202</v>
      </c>
      <c r="N638" s="9">
        <f t="shared" si="55"/>
        <v>8.3531743899151092E-4</v>
      </c>
      <c r="O638" s="5">
        <v>45202</v>
      </c>
      <c r="P638">
        <f t="shared" si="57"/>
        <v>0.99903735864621002</v>
      </c>
      <c r="Q638" s="6">
        <f t="shared" si="58"/>
        <v>1</v>
      </c>
      <c r="R638">
        <f t="shared" si="59"/>
        <v>-9.6310499054582104E-4</v>
      </c>
      <c r="T638" s="5">
        <v>45202</v>
      </c>
      <c r="U638" s="1">
        <v>-9.6310499054582104E-4</v>
      </c>
    </row>
    <row r="639" spans="3:21" x14ac:dyDescent="0.2">
      <c r="C639" s="5">
        <v>45203</v>
      </c>
      <c r="D639" s="6">
        <v>0.99997999999999998</v>
      </c>
      <c r="E639" s="6">
        <v>27781.98</v>
      </c>
      <c r="F639" s="6">
        <v>27769</v>
      </c>
      <c r="G639" s="6">
        <v>27805.34</v>
      </c>
      <c r="H639" s="6">
        <v>27768.3</v>
      </c>
      <c r="I639" s="5">
        <v>45203</v>
      </c>
      <c r="J639" s="7">
        <f t="shared" si="56"/>
        <v>-4.9240550889462491E-4</v>
      </c>
      <c r="K639" s="5">
        <v>45203</v>
      </c>
      <c r="L639" s="8">
        <f t="shared" si="54"/>
        <v>1.3086535345169126E-3</v>
      </c>
      <c r="M639" s="5">
        <v>45203</v>
      </c>
      <c r="N639" s="9">
        <f t="shared" si="55"/>
        <v>8.1624802562228771E-4</v>
      </c>
      <c r="O639" s="5">
        <v>45203</v>
      </c>
      <c r="P639">
        <f t="shared" si="57"/>
        <v>0.99866788178098165</v>
      </c>
      <c r="Q639" s="6">
        <f t="shared" si="58"/>
        <v>1.0000200004000079</v>
      </c>
      <c r="R639">
        <f t="shared" si="59"/>
        <v>-1.3530064772490225E-3</v>
      </c>
      <c r="T639" s="5">
        <v>45203</v>
      </c>
      <c r="U639" s="1">
        <v>-1.3530064772490225E-3</v>
      </c>
    </row>
    <row r="640" spans="3:21" x14ac:dyDescent="0.2">
      <c r="C640" s="5">
        <v>45204</v>
      </c>
      <c r="D640" s="6">
        <v>1</v>
      </c>
      <c r="E640" s="6">
        <v>27417.24</v>
      </c>
      <c r="F640" s="6">
        <v>27406.5</v>
      </c>
      <c r="G640" s="6">
        <v>27433.89</v>
      </c>
      <c r="H640" s="6">
        <v>27417.9</v>
      </c>
      <c r="I640" s="5">
        <v>45204</v>
      </c>
      <c r="J640" s="7">
        <f t="shared" si="56"/>
        <v>2.4072444928805905E-5</v>
      </c>
      <c r="K640" s="5">
        <v>45204</v>
      </c>
      <c r="L640" s="8">
        <f t="shared" si="54"/>
        <v>9.993979530403159E-4</v>
      </c>
      <c r="M640" s="5">
        <v>45204</v>
      </c>
      <c r="N640" s="9">
        <f t="shared" si="55"/>
        <v>1.0234703979691217E-3</v>
      </c>
      <c r="O640" s="5">
        <v>45204</v>
      </c>
      <c r="P640">
        <f t="shared" si="57"/>
        <v>0.99941714426936901</v>
      </c>
      <c r="Q640" s="6">
        <f t="shared" si="58"/>
        <v>1</v>
      </c>
      <c r="R640">
        <f t="shared" si="59"/>
        <v>-5.8302565706396295E-4</v>
      </c>
      <c r="T640" s="5">
        <v>45204</v>
      </c>
      <c r="U640" s="1">
        <v>-5.8302565706396295E-4</v>
      </c>
    </row>
    <row r="641" spans="3:21" x14ac:dyDescent="0.2">
      <c r="C641" s="5">
        <v>45205</v>
      </c>
      <c r="D641" s="6">
        <v>0.99997999999999998</v>
      </c>
      <c r="E641" s="6">
        <v>27943.95</v>
      </c>
      <c r="F641" s="6">
        <v>27940</v>
      </c>
      <c r="G641" s="6">
        <v>27977.94</v>
      </c>
      <c r="H641" s="6">
        <v>27938.1</v>
      </c>
      <c r="I641" s="5">
        <v>45205</v>
      </c>
      <c r="J641" s="7">
        <f t="shared" si="56"/>
        <v>-2.0934764054481139E-4</v>
      </c>
      <c r="K641" s="5">
        <v>45205</v>
      </c>
      <c r="L641" s="8">
        <f t="shared" si="54"/>
        <v>1.3579098067286574E-3</v>
      </c>
      <c r="M641" s="5">
        <v>45205</v>
      </c>
      <c r="N641" s="9">
        <f t="shared" si="55"/>
        <v>1.1485621661838461E-3</v>
      </c>
      <c r="O641" s="5">
        <v>45205</v>
      </c>
      <c r="P641">
        <f t="shared" si="57"/>
        <v>0.99857602096508902</v>
      </c>
      <c r="Q641" s="6">
        <f t="shared" si="58"/>
        <v>1.0000200004000079</v>
      </c>
      <c r="R641">
        <f t="shared" si="59"/>
        <v>-1.4449940565637392E-3</v>
      </c>
      <c r="T641" s="5">
        <v>45205</v>
      </c>
      <c r="U641" s="1">
        <v>-1.4449940565637392E-3</v>
      </c>
    </row>
    <row r="642" spans="3:21" x14ac:dyDescent="0.2">
      <c r="C642" s="5">
        <v>45206</v>
      </c>
      <c r="D642" s="6">
        <v>0.99997999999999998</v>
      </c>
      <c r="E642" s="6">
        <v>27973.75</v>
      </c>
      <c r="F642" s="6">
        <v>27954.5</v>
      </c>
      <c r="G642" s="6">
        <v>28015.439999999999</v>
      </c>
      <c r="H642" s="6">
        <v>27952.9</v>
      </c>
      <c r="I642" s="5">
        <v>45206</v>
      </c>
      <c r="J642" s="7">
        <f t="shared" si="56"/>
        <v>-7.4534161490678028E-4</v>
      </c>
      <c r="K642" s="5">
        <v>45206</v>
      </c>
      <c r="L642" s="8">
        <f t="shared" si="54"/>
        <v>2.179971024343082E-3</v>
      </c>
      <c r="M642" s="5">
        <v>45206</v>
      </c>
      <c r="N642" s="9">
        <f t="shared" si="55"/>
        <v>1.4346294094363017E-3</v>
      </c>
      <c r="O642" s="5">
        <v>45206</v>
      </c>
      <c r="P642">
        <f t="shared" si="57"/>
        <v>0.99776765954773528</v>
      </c>
      <c r="Q642" s="6">
        <f t="shared" si="58"/>
        <v>1.0000200004000079</v>
      </c>
      <c r="R642">
        <f t="shared" si="59"/>
        <v>-2.2548360386076523E-3</v>
      </c>
      <c r="T642" s="5">
        <v>45206</v>
      </c>
      <c r="U642" s="1">
        <v>-2.2548360386076523E-3</v>
      </c>
    </row>
    <row r="643" spans="3:21" x14ac:dyDescent="0.2">
      <c r="C643" s="5">
        <v>45207</v>
      </c>
      <c r="D643" s="6">
        <v>0.99999000000000005</v>
      </c>
      <c r="E643" s="6">
        <v>27929.8</v>
      </c>
      <c r="F643" s="6">
        <v>27920.5</v>
      </c>
      <c r="G643" s="6">
        <v>27953.84</v>
      </c>
      <c r="H643" s="6">
        <v>27907.8</v>
      </c>
      <c r="I643" s="5">
        <v>45207</v>
      </c>
      <c r="J643" s="7">
        <f t="shared" si="56"/>
        <v>-7.8768913490250556E-4</v>
      </c>
      <c r="K643" s="5">
        <v>45207</v>
      </c>
      <c r="L643" s="8">
        <f t="shared" si="54"/>
        <v>1.1941046901022599E-3</v>
      </c>
      <c r="M643" s="5">
        <v>45207</v>
      </c>
      <c r="N643" s="9">
        <f t="shared" si="55"/>
        <v>4.0641555519975437E-4</v>
      </c>
      <c r="O643" s="5">
        <v>45207</v>
      </c>
      <c r="P643">
        <f t="shared" si="57"/>
        <v>0.99835299908706632</v>
      </c>
      <c r="Q643" s="6">
        <f t="shared" si="58"/>
        <v>1.000010000100001</v>
      </c>
      <c r="R643">
        <f t="shared" si="59"/>
        <v>-1.6583587600043782E-3</v>
      </c>
      <c r="T643" s="5">
        <v>45207</v>
      </c>
      <c r="U643" s="1">
        <v>-1.6583587600043782E-3</v>
      </c>
    </row>
    <row r="644" spans="3:21" x14ac:dyDescent="0.2">
      <c r="C644" s="5">
        <v>45208</v>
      </c>
      <c r="D644" s="6">
        <v>1.00003</v>
      </c>
      <c r="E644" s="6">
        <v>27593.69</v>
      </c>
      <c r="F644" s="6">
        <v>27590.5</v>
      </c>
      <c r="G644" s="6">
        <v>27610.34</v>
      </c>
      <c r="H644" s="6">
        <v>27574.6</v>
      </c>
      <c r="I644" s="5">
        <v>45208</v>
      </c>
      <c r="J644" s="7">
        <f t="shared" si="56"/>
        <v>-6.9182483386600875E-4</v>
      </c>
      <c r="K644" s="5">
        <v>45208</v>
      </c>
      <c r="L644" s="8">
        <f t="shared" si="54"/>
        <v>7.1908809191570085E-4</v>
      </c>
      <c r="M644" s="5">
        <v>45208</v>
      </c>
      <c r="N644" s="9">
        <f t="shared" si="55"/>
        <v>2.7263258049692101E-5</v>
      </c>
      <c r="O644" s="5">
        <v>45208</v>
      </c>
      <c r="P644">
        <f t="shared" si="57"/>
        <v>0.99870555741073808</v>
      </c>
      <c r="Q644" s="6">
        <f t="shared" si="58"/>
        <v>0.99997000089997301</v>
      </c>
      <c r="R644">
        <f t="shared" si="59"/>
        <v>-1.2652815537454471E-3</v>
      </c>
      <c r="T644" s="5">
        <v>45208</v>
      </c>
      <c r="U644" s="1">
        <v>-1.2652815537454471E-3</v>
      </c>
    </row>
    <row r="645" spans="3:21" x14ac:dyDescent="0.2">
      <c r="C645" s="5">
        <v>45209</v>
      </c>
      <c r="D645" s="6">
        <v>0.99997000000000003</v>
      </c>
      <c r="E645" s="6">
        <v>27394.17</v>
      </c>
      <c r="F645" s="6">
        <v>27380</v>
      </c>
      <c r="G645" s="6">
        <v>27408.19</v>
      </c>
      <c r="H645" s="6">
        <v>27367.3</v>
      </c>
      <c r="I645" s="5">
        <v>45209</v>
      </c>
      <c r="J645" s="7">
        <f t="shared" si="56"/>
        <v>-9.8086563673945894E-4</v>
      </c>
      <c r="K645" s="5">
        <v>45209</v>
      </c>
      <c r="L645" s="8">
        <f t="shared" si="54"/>
        <v>1.029583637691698E-3</v>
      </c>
      <c r="M645" s="5">
        <v>45209</v>
      </c>
      <c r="N645" s="9">
        <f t="shared" si="55"/>
        <v>4.8718000952239051E-5</v>
      </c>
      <c r="O645" s="5">
        <v>45209</v>
      </c>
      <c r="P645">
        <f t="shared" si="57"/>
        <v>0.99850811016707053</v>
      </c>
      <c r="Q645" s="6">
        <f t="shared" si="58"/>
        <v>1.0000300009000269</v>
      </c>
      <c r="R645">
        <f t="shared" si="59"/>
        <v>-1.5230042586657794E-3</v>
      </c>
      <c r="T645" s="5">
        <v>45209</v>
      </c>
      <c r="U645" s="1">
        <v>-1.5230042586657794E-3</v>
      </c>
    </row>
    <row r="646" spans="3:21" x14ac:dyDescent="0.2">
      <c r="C646" s="5">
        <v>45210</v>
      </c>
      <c r="D646" s="6">
        <v>1.0000100000000001</v>
      </c>
      <c r="E646" s="6">
        <v>26864</v>
      </c>
      <c r="F646" s="6">
        <v>26862</v>
      </c>
      <c r="G646" s="6">
        <v>26895.93</v>
      </c>
      <c r="H646" s="6">
        <v>26856.3</v>
      </c>
      <c r="I646" s="5">
        <v>45210</v>
      </c>
      <c r="J646" s="7">
        <f t="shared" si="56"/>
        <v>-2.8662894580109915E-4</v>
      </c>
      <c r="K646" s="5">
        <v>45210</v>
      </c>
      <c r="L646" s="8">
        <f t="shared" si="54"/>
        <v>1.2631226267590012E-3</v>
      </c>
      <c r="M646" s="5">
        <v>45210</v>
      </c>
      <c r="N646" s="9">
        <f t="shared" si="55"/>
        <v>9.7649368095790209E-4</v>
      </c>
      <c r="O646" s="5">
        <v>45210</v>
      </c>
      <c r="P646">
        <f t="shared" si="57"/>
        <v>0.99852654286354847</v>
      </c>
      <c r="Q646" s="6">
        <f t="shared" si="58"/>
        <v>0.99999000009999894</v>
      </c>
      <c r="R646">
        <f t="shared" si="59"/>
        <v>-1.464543791926478E-3</v>
      </c>
      <c r="T646" s="5">
        <v>45210</v>
      </c>
      <c r="U646" s="1">
        <v>-1.464543791926478E-3</v>
      </c>
    </row>
    <row r="647" spans="3:21" x14ac:dyDescent="0.2">
      <c r="C647" s="5">
        <v>45211</v>
      </c>
      <c r="D647" s="6">
        <v>1.00003</v>
      </c>
      <c r="E647" s="6">
        <v>26750.36</v>
      </c>
      <c r="F647" s="6">
        <v>26752</v>
      </c>
      <c r="G647" s="6">
        <v>26773.54</v>
      </c>
      <c r="H647" s="6">
        <v>26734.5</v>
      </c>
      <c r="I647" s="5">
        <v>45211</v>
      </c>
      <c r="J647" s="7">
        <f t="shared" si="56"/>
        <v>-5.9288921719186517E-4</v>
      </c>
      <c r="K647" s="5">
        <v>45211</v>
      </c>
      <c r="L647" s="8">
        <f t="shared" si="54"/>
        <v>8.0517344497610919E-4</v>
      </c>
      <c r="M647" s="5">
        <v>45211</v>
      </c>
      <c r="N647" s="9">
        <f t="shared" si="55"/>
        <v>2.1228422778424402E-4</v>
      </c>
      <c r="O647" s="5">
        <v>45211</v>
      </c>
      <c r="P647">
        <f t="shared" si="57"/>
        <v>0.99854184392500955</v>
      </c>
      <c r="Q647" s="6">
        <f t="shared" si="58"/>
        <v>0.99997000089997301</v>
      </c>
      <c r="R647">
        <f t="shared" si="59"/>
        <v>-1.4292206691355882E-3</v>
      </c>
      <c r="T647" s="5">
        <v>45211</v>
      </c>
      <c r="U647" s="1">
        <v>-1.4292206691355882E-3</v>
      </c>
    </row>
    <row r="648" spans="3:21" x14ac:dyDescent="0.2">
      <c r="C648" s="5">
        <v>45212</v>
      </c>
      <c r="D648" s="6">
        <v>1.00004</v>
      </c>
      <c r="E648" s="6">
        <v>26858.36</v>
      </c>
      <c r="F648" s="6">
        <v>26856</v>
      </c>
      <c r="G648" s="6">
        <v>26873.77</v>
      </c>
      <c r="H648" s="6">
        <v>26822.5</v>
      </c>
      <c r="I648" s="5">
        <v>45212</v>
      </c>
      <c r="J648" s="7">
        <f t="shared" si="56"/>
        <v>-1.3351522579934359E-3</v>
      </c>
      <c r="K648" s="5">
        <v>45212</v>
      </c>
      <c r="L648" s="8">
        <f t="shared" si="54"/>
        <v>6.6167709264225633E-4</v>
      </c>
      <c r="M648" s="5">
        <v>45212</v>
      </c>
      <c r="N648" s="9">
        <f t="shared" si="55"/>
        <v>-6.7347516535117957E-4</v>
      </c>
      <c r="O648" s="5">
        <v>45212</v>
      </c>
      <c r="P648">
        <f t="shared" si="57"/>
        <v>0.99809219175426434</v>
      </c>
      <c r="Q648" s="6">
        <f t="shared" si="58"/>
        <v>0.99996000159993592</v>
      </c>
      <c r="R648">
        <f t="shared" si="59"/>
        <v>-1.8696312298195751E-3</v>
      </c>
      <c r="T648" s="5">
        <v>45212</v>
      </c>
      <c r="U648" s="1">
        <v>-1.8696312298195751E-3</v>
      </c>
    </row>
    <row r="649" spans="3:21" x14ac:dyDescent="0.2">
      <c r="C649" s="5">
        <v>45213</v>
      </c>
      <c r="D649" s="6">
        <v>1.00004</v>
      </c>
      <c r="E649" s="6">
        <v>26850.720000000001</v>
      </c>
      <c r="F649" s="6">
        <v>26842.5</v>
      </c>
      <c r="G649" s="6">
        <v>26884.58</v>
      </c>
      <c r="H649" s="6">
        <v>26838.6</v>
      </c>
      <c r="I649" s="5">
        <v>45213</v>
      </c>
      <c r="J649" s="7">
        <f t="shared" si="56"/>
        <v>-4.5138454387825053E-4</v>
      </c>
      <c r="K649" s="5">
        <v>45213</v>
      </c>
      <c r="L649" s="8">
        <f t="shared" si="54"/>
        <v>1.5676632206389773E-3</v>
      </c>
      <c r="M649" s="5">
        <v>45213</v>
      </c>
      <c r="N649" s="9">
        <f t="shared" si="55"/>
        <v>1.1162786767607267E-3</v>
      </c>
      <c r="O649" s="5">
        <v>45213</v>
      </c>
      <c r="P649">
        <f t="shared" si="57"/>
        <v>0.99828972593211407</v>
      </c>
      <c r="Q649" s="6">
        <f t="shared" si="58"/>
        <v>0.99996000159993592</v>
      </c>
      <c r="R649">
        <f t="shared" si="59"/>
        <v>-1.6717390562385785E-3</v>
      </c>
      <c r="T649" s="5">
        <v>45213</v>
      </c>
      <c r="U649" s="1">
        <v>-1.6717390562385785E-3</v>
      </c>
    </row>
    <row r="650" spans="3:21" x14ac:dyDescent="0.2">
      <c r="C650" s="5">
        <v>45214</v>
      </c>
      <c r="D650" s="6">
        <v>1.00003</v>
      </c>
      <c r="E650" s="6">
        <v>27161.99</v>
      </c>
      <c r="F650" s="6">
        <v>27159.5</v>
      </c>
      <c r="G650" s="6">
        <v>27178.12</v>
      </c>
      <c r="H650" s="6">
        <v>27127.5</v>
      </c>
      <c r="I650" s="5">
        <v>45214</v>
      </c>
      <c r="J650" s="7">
        <f t="shared" si="56"/>
        <v>-1.2697891428426857E-3</v>
      </c>
      <c r="K650" s="5">
        <v>45214</v>
      </c>
      <c r="L650" s="8">
        <f t="shared" si="54"/>
        <v>6.8557963143647642E-4</v>
      </c>
      <c r="M650" s="5">
        <v>45214</v>
      </c>
      <c r="N650" s="9">
        <f t="shared" si="55"/>
        <v>-5.8420951140620929E-4</v>
      </c>
      <c r="O650" s="5">
        <v>45214</v>
      </c>
      <c r="P650">
        <f t="shared" si="57"/>
        <v>0.9981374723490809</v>
      </c>
      <c r="Q650" s="6">
        <f t="shared" si="58"/>
        <v>0.99997000089997301</v>
      </c>
      <c r="R650">
        <f t="shared" si="59"/>
        <v>-1.8342647622568813E-3</v>
      </c>
      <c r="T650" s="5">
        <v>45214</v>
      </c>
      <c r="U650" s="1">
        <v>-1.8342647622568813E-3</v>
      </c>
    </row>
    <row r="651" spans="3:21" x14ac:dyDescent="0.2">
      <c r="C651" s="5">
        <v>45215</v>
      </c>
      <c r="D651" s="6">
        <v>1</v>
      </c>
      <c r="E651" s="6">
        <v>28516.14</v>
      </c>
      <c r="F651" s="6">
        <v>28506.5</v>
      </c>
      <c r="G651" s="6">
        <v>28546.36</v>
      </c>
      <c r="H651" s="6">
        <v>28483.3</v>
      </c>
      <c r="I651" s="5">
        <v>45215</v>
      </c>
      <c r="J651" s="7">
        <f t="shared" si="56"/>
        <v>-1.1516285163419785E-3</v>
      </c>
      <c r="K651" s="5">
        <v>45215</v>
      </c>
      <c r="L651" s="8">
        <f t="shared" ref="L651:L714" si="60">(G651-F651)/F651</f>
        <v>1.3982775858137821E-3</v>
      </c>
      <c r="M651" s="5">
        <v>45215</v>
      </c>
      <c r="N651" s="9">
        <f t="shared" ref="N651:N714" si="61">J651+L651</f>
        <v>2.4664906947180357E-4</v>
      </c>
      <c r="O651" s="5">
        <v>45215</v>
      </c>
      <c r="P651">
        <f t="shared" si="57"/>
        <v>0.99779096178987448</v>
      </c>
      <c r="Q651" s="6">
        <f t="shared" si="58"/>
        <v>1</v>
      </c>
      <c r="R651">
        <f t="shared" si="59"/>
        <v>-2.2114817342544285E-3</v>
      </c>
      <c r="T651" s="5">
        <v>45215</v>
      </c>
      <c r="U651" s="1">
        <v>-2.2114817342544285E-3</v>
      </c>
    </row>
    <row r="652" spans="3:21" x14ac:dyDescent="0.2">
      <c r="C652" s="5">
        <v>45216</v>
      </c>
      <c r="D652" s="6">
        <v>1</v>
      </c>
      <c r="E652" s="6">
        <v>28407.79</v>
      </c>
      <c r="F652" s="6">
        <v>28404</v>
      </c>
      <c r="G652" s="6">
        <v>28431.71</v>
      </c>
      <c r="H652" s="6">
        <v>28394</v>
      </c>
      <c r="I652" s="5">
        <v>45216</v>
      </c>
      <c r="J652" s="7">
        <f t="shared" ref="J652:J715" si="62">(H652-E652)/E652</f>
        <v>-4.8543022882106888E-4</v>
      </c>
      <c r="K652" s="5">
        <v>45216</v>
      </c>
      <c r="L652" s="8">
        <f t="shared" si="60"/>
        <v>9.7556682157439541E-4</v>
      </c>
      <c r="M652" s="5">
        <v>45216</v>
      </c>
      <c r="N652" s="9">
        <f t="shared" si="61"/>
        <v>4.9013659275332652E-4</v>
      </c>
      <c r="O652" s="5">
        <v>45216</v>
      </c>
      <c r="P652">
        <f t="shared" ref="P652:P715" si="63">(1/G652)*H652</f>
        <v>0.9986736640180981</v>
      </c>
      <c r="Q652" s="6">
        <f t="shared" ref="Q652:Q715" si="64">1/D652</f>
        <v>1</v>
      </c>
      <c r="R652">
        <f t="shared" ref="R652:R715" si="65">LN(P652/Q652)</f>
        <v>-1.3272163439937285E-3</v>
      </c>
      <c r="T652" s="5">
        <v>45216</v>
      </c>
      <c r="U652" s="1">
        <v>-1.3272163439937285E-3</v>
      </c>
    </row>
    <row r="653" spans="3:21" x14ac:dyDescent="0.2">
      <c r="C653" s="5">
        <v>45217</v>
      </c>
      <c r="D653" s="6">
        <v>1.0000100000000001</v>
      </c>
      <c r="E653" s="6">
        <v>28327.16</v>
      </c>
      <c r="F653" s="6">
        <v>28312</v>
      </c>
      <c r="G653" s="6">
        <v>28356.1</v>
      </c>
      <c r="H653" s="6">
        <v>28313.8</v>
      </c>
      <c r="I653" s="5">
        <v>45217</v>
      </c>
      <c r="J653" s="7">
        <f t="shared" si="62"/>
        <v>-4.716321720921046E-4</v>
      </c>
      <c r="K653" s="5">
        <v>45217</v>
      </c>
      <c r="L653" s="8">
        <f t="shared" si="60"/>
        <v>1.5576434020909348E-3</v>
      </c>
      <c r="M653" s="5">
        <v>45217</v>
      </c>
      <c r="N653" s="9">
        <f t="shared" si="61"/>
        <v>1.0860112299988303E-3</v>
      </c>
      <c r="O653" s="5">
        <v>45217</v>
      </c>
      <c r="P653">
        <f t="shared" si="63"/>
        <v>0.99850825748251704</v>
      </c>
      <c r="Q653" s="6">
        <f t="shared" si="64"/>
        <v>0.99999000009999894</v>
      </c>
      <c r="R653">
        <f t="shared" si="65"/>
        <v>-1.4828563231140271E-3</v>
      </c>
      <c r="T653" s="5">
        <v>45217</v>
      </c>
      <c r="U653" s="1">
        <v>-1.4828563231140271E-3</v>
      </c>
    </row>
    <row r="654" spans="3:21" x14ac:dyDescent="0.2">
      <c r="C654" s="5">
        <v>45218</v>
      </c>
      <c r="D654" s="6">
        <v>1.00004</v>
      </c>
      <c r="E654" s="6">
        <v>28732.560000000001</v>
      </c>
      <c r="F654" s="6">
        <v>28712.5</v>
      </c>
      <c r="G654" s="6">
        <v>28758.69</v>
      </c>
      <c r="H654" s="6">
        <v>28707.8</v>
      </c>
      <c r="I654" s="5">
        <v>45218</v>
      </c>
      <c r="J654" s="7">
        <f t="shared" si="62"/>
        <v>-8.6174013036088805E-4</v>
      </c>
      <c r="K654" s="5">
        <v>45218</v>
      </c>
      <c r="L654" s="8">
        <f t="shared" si="60"/>
        <v>1.6087070091423139E-3</v>
      </c>
      <c r="M654" s="5">
        <v>45218</v>
      </c>
      <c r="N654" s="9">
        <f t="shared" si="61"/>
        <v>7.4696687878142583E-4</v>
      </c>
      <c r="O654" s="5">
        <v>45218</v>
      </c>
      <c r="P654">
        <f t="shared" si="63"/>
        <v>0.99823044790983184</v>
      </c>
      <c r="Q654" s="6">
        <f t="shared" si="64"/>
        <v>0.99996000159993592</v>
      </c>
      <c r="R654">
        <f t="shared" si="65"/>
        <v>-1.7311203969094721E-3</v>
      </c>
      <c r="T654" s="5">
        <v>45218</v>
      </c>
      <c r="U654" s="1">
        <v>-1.7311203969094721E-3</v>
      </c>
    </row>
    <row r="655" spans="3:21" x14ac:dyDescent="0.2">
      <c r="C655" s="5">
        <v>45219</v>
      </c>
      <c r="D655" s="6">
        <v>0.99997999999999998</v>
      </c>
      <c r="E655" s="6">
        <v>29685.81</v>
      </c>
      <c r="F655" s="6">
        <v>29667.5</v>
      </c>
      <c r="G655" s="6">
        <v>29698.43</v>
      </c>
      <c r="H655" s="6">
        <v>29665.1</v>
      </c>
      <c r="I655" s="5">
        <v>45219</v>
      </c>
      <c r="J655" s="7">
        <f t="shared" si="62"/>
        <v>-6.9763971405876286E-4</v>
      </c>
      <c r="K655" s="5">
        <v>45219</v>
      </c>
      <c r="L655" s="8">
        <f t="shared" si="60"/>
        <v>1.04255498441056E-3</v>
      </c>
      <c r="M655" s="5">
        <v>45219</v>
      </c>
      <c r="N655" s="9">
        <f t="shared" si="61"/>
        <v>3.4491527035179716E-4</v>
      </c>
      <c r="O655" s="5">
        <v>45219</v>
      </c>
      <c r="P655">
        <f t="shared" si="63"/>
        <v>0.99887771845178341</v>
      </c>
      <c r="Q655" s="6">
        <f t="shared" si="64"/>
        <v>1.0000200004000079</v>
      </c>
      <c r="R655">
        <f t="shared" si="65"/>
        <v>-1.1429119777300431E-3</v>
      </c>
      <c r="T655" s="5">
        <v>45219</v>
      </c>
      <c r="U655" s="1">
        <v>-1.1429119777300431E-3</v>
      </c>
    </row>
    <row r="656" spans="3:21" x14ac:dyDescent="0.2">
      <c r="C656" s="5">
        <v>45220</v>
      </c>
      <c r="D656" s="6">
        <v>0.99997999999999998</v>
      </c>
      <c r="E656" s="6">
        <v>29927.37</v>
      </c>
      <c r="F656" s="6">
        <v>29909</v>
      </c>
      <c r="G656" s="6">
        <v>29957.78</v>
      </c>
      <c r="H656" s="6">
        <v>29896.9</v>
      </c>
      <c r="I656" s="5">
        <v>45220</v>
      </c>
      <c r="J656" s="7">
        <f t="shared" si="62"/>
        <v>-1.0181315631810454E-3</v>
      </c>
      <c r="K656" s="5">
        <v>45220</v>
      </c>
      <c r="L656" s="8">
        <f t="shared" si="60"/>
        <v>1.6309472065264246E-3</v>
      </c>
      <c r="M656" s="5">
        <v>45220</v>
      </c>
      <c r="N656" s="9">
        <f t="shared" si="61"/>
        <v>6.128156433453792E-4</v>
      </c>
      <c r="O656" s="5">
        <v>45220</v>
      </c>
      <c r="P656">
        <f t="shared" si="63"/>
        <v>0.99796780669328644</v>
      </c>
      <c r="Q656" s="6">
        <f t="shared" si="64"/>
        <v>1.0000200004000079</v>
      </c>
      <c r="R656">
        <f t="shared" si="65"/>
        <v>-2.0542612133286416E-3</v>
      </c>
      <c r="T656" s="5">
        <v>45220</v>
      </c>
      <c r="U656" s="1">
        <v>-2.0542612133286416E-3</v>
      </c>
    </row>
    <row r="657" spans="3:21" x14ac:dyDescent="0.2">
      <c r="C657" s="5">
        <v>45221</v>
      </c>
      <c r="D657" s="6">
        <v>0.99997000000000003</v>
      </c>
      <c r="E657" s="6">
        <v>29999.83</v>
      </c>
      <c r="F657" s="6">
        <v>29990.5</v>
      </c>
      <c r="G657" s="6">
        <v>30016.35</v>
      </c>
      <c r="H657" s="6">
        <v>29984.799999999999</v>
      </c>
      <c r="I657" s="5">
        <v>45221</v>
      </c>
      <c r="J657" s="7">
        <f t="shared" si="62"/>
        <v>-5.0100283901617019E-4</v>
      </c>
      <c r="K657" s="5">
        <v>45221</v>
      </c>
      <c r="L657" s="8">
        <f t="shared" si="60"/>
        <v>8.6193961421111832E-4</v>
      </c>
      <c r="M657" s="5">
        <v>45221</v>
      </c>
      <c r="N657" s="9">
        <f t="shared" si="61"/>
        <v>3.6093677519494812E-4</v>
      </c>
      <c r="O657" s="5">
        <v>45221</v>
      </c>
      <c r="P657">
        <f t="shared" si="63"/>
        <v>0.99894890617946552</v>
      </c>
      <c r="Q657" s="6">
        <f t="shared" si="64"/>
        <v>1.0000300009000269</v>
      </c>
      <c r="R657">
        <f t="shared" si="65"/>
        <v>-1.0816470570407528E-3</v>
      </c>
      <c r="T657" s="5">
        <v>45221</v>
      </c>
      <c r="U657" s="1">
        <v>-1.0816470570407528E-3</v>
      </c>
    </row>
    <row r="658" spans="3:21" x14ac:dyDescent="0.2">
      <c r="C658" s="5">
        <v>45222</v>
      </c>
      <c r="D658" s="6">
        <v>1.0000100000000001</v>
      </c>
      <c r="E658" s="6">
        <v>33090.65</v>
      </c>
      <c r="F658" s="6">
        <v>33106.5</v>
      </c>
      <c r="G658" s="6">
        <v>33068.29</v>
      </c>
      <c r="H658" s="6">
        <v>33085.5</v>
      </c>
      <c r="I658" s="5">
        <v>45222</v>
      </c>
      <c r="J658" s="7">
        <f t="shared" si="62"/>
        <v>-1.5563308668767325E-4</v>
      </c>
      <c r="K658" s="5">
        <v>45222</v>
      </c>
      <c r="L658" s="8">
        <f t="shared" si="60"/>
        <v>-1.1541540180930972E-3</v>
      </c>
      <c r="M658" s="5">
        <v>45222</v>
      </c>
      <c r="N658" s="9">
        <f t="shared" si="61"/>
        <v>-1.3097871047807704E-3</v>
      </c>
      <c r="O658" s="5">
        <v>45222</v>
      </c>
      <c r="P658">
        <f t="shared" si="63"/>
        <v>1.0005204381599411</v>
      </c>
      <c r="Q658" s="6">
        <f t="shared" si="64"/>
        <v>0.99999000009999894</v>
      </c>
      <c r="R658">
        <f t="shared" si="65"/>
        <v>5.303027289718812E-4</v>
      </c>
      <c r="T658" s="5">
        <v>45222</v>
      </c>
      <c r="U658" s="1">
        <v>5.303027289718812E-4</v>
      </c>
    </row>
    <row r="659" spans="3:21" x14ac:dyDescent="0.2">
      <c r="C659" s="5">
        <v>45223</v>
      </c>
      <c r="D659" s="6">
        <v>1.0000100000000001</v>
      </c>
      <c r="E659" s="6">
        <v>33923.65</v>
      </c>
      <c r="F659" s="6">
        <v>33931.5</v>
      </c>
      <c r="G659" s="6">
        <v>33935.07</v>
      </c>
      <c r="H659" s="6">
        <v>33921.1</v>
      </c>
      <c r="I659" s="5">
        <v>45223</v>
      </c>
      <c r="J659" s="7">
        <f t="shared" si="62"/>
        <v>-7.5168798168914909E-5</v>
      </c>
      <c r="K659" s="5">
        <v>45223</v>
      </c>
      <c r="L659" s="8">
        <f t="shared" si="60"/>
        <v>1.0521197117721613E-4</v>
      </c>
      <c r="M659" s="5">
        <v>45223</v>
      </c>
      <c r="N659" s="9">
        <f t="shared" si="61"/>
        <v>3.0043173008301218E-5</v>
      </c>
      <c r="O659" s="5">
        <v>45223</v>
      </c>
      <c r="P659">
        <f t="shared" si="63"/>
        <v>0.99958833148126702</v>
      </c>
      <c r="Q659" s="6">
        <f t="shared" si="64"/>
        <v>0.99999000009999894</v>
      </c>
      <c r="R659">
        <f t="shared" si="65"/>
        <v>-4.017533274797339E-4</v>
      </c>
      <c r="T659" s="5">
        <v>45223</v>
      </c>
      <c r="U659" s="1">
        <v>-4.017533274797339E-4</v>
      </c>
    </row>
    <row r="660" spans="3:21" x14ac:dyDescent="0.2">
      <c r="C660" s="5">
        <v>45224</v>
      </c>
      <c r="D660" s="6">
        <v>1.0000100000000001</v>
      </c>
      <c r="E660" s="6">
        <v>34504.699999999997</v>
      </c>
      <c r="F660" s="6">
        <v>34522.5</v>
      </c>
      <c r="G660" s="6">
        <v>34538.480000000003</v>
      </c>
      <c r="H660" s="6">
        <v>34489.300000000003</v>
      </c>
      <c r="I660" s="5">
        <v>45224</v>
      </c>
      <c r="J660" s="7">
        <f t="shared" si="62"/>
        <v>-4.4631600912322614E-4</v>
      </c>
      <c r="K660" s="5">
        <v>45224</v>
      </c>
      <c r="L660" s="8">
        <f t="shared" si="60"/>
        <v>4.6288652328201031E-4</v>
      </c>
      <c r="M660" s="5">
        <v>45224</v>
      </c>
      <c r="N660" s="9">
        <f t="shared" si="61"/>
        <v>1.6570514158784164E-5</v>
      </c>
      <c r="O660" s="5">
        <v>45224</v>
      </c>
      <c r="P660">
        <f t="shared" si="63"/>
        <v>0.99857608093928862</v>
      </c>
      <c r="Q660" s="6">
        <f t="shared" si="64"/>
        <v>0.99999000009999894</v>
      </c>
      <c r="R660">
        <f t="shared" si="65"/>
        <v>-1.4149338468391675E-3</v>
      </c>
      <c r="T660" s="5">
        <v>45224</v>
      </c>
      <c r="U660" s="1">
        <v>-1.4149338468391675E-3</v>
      </c>
    </row>
    <row r="661" spans="3:21" x14ac:dyDescent="0.2">
      <c r="C661" s="5">
        <v>45225</v>
      </c>
      <c r="D661" s="6">
        <v>1.00004</v>
      </c>
      <c r="E661" s="6">
        <v>34156.89</v>
      </c>
      <c r="F661" s="6">
        <v>34186</v>
      </c>
      <c r="G661" s="6">
        <v>34183.18</v>
      </c>
      <c r="H661" s="6">
        <v>34150.699999999997</v>
      </c>
      <c r="I661" s="5">
        <v>45225</v>
      </c>
      <c r="J661" s="7">
        <f t="shared" si="62"/>
        <v>-1.8122258788789988E-4</v>
      </c>
      <c r="K661" s="5">
        <v>45225</v>
      </c>
      <c r="L661" s="8">
        <f t="shared" si="60"/>
        <v>-8.248990814952638E-5</v>
      </c>
      <c r="M661" s="5">
        <v>45225</v>
      </c>
      <c r="N661" s="9">
        <f t="shared" si="61"/>
        <v>-2.6371249603742623E-4</v>
      </c>
      <c r="O661" s="5">
        <v>45225</v>
      </c>
      <c r="P661">
        <f t="shared" si="63"/>
        <v>0.9990498250894152</v>
      </c>
      <c r="Q661" s="6">
        <f t="shared" si="64"/>
        <v>0.99996000159993592</v>
      </c>
      <c r="R661">
        <f t="shared" si="65"/>
        <v>-9.1062741289716839E-4</v>
      </c>
      <c r="T661" s="5">
        <v>45225</v>
      </c>
      <c r="U661" s="1">
        <v>-9.1062741289716839E-4</v>
      </c>
    </row>
    <row r="662" spans="3:21" x14ac:dyDescent="0.2">
      <c r="C662" s="5">
        <v>45226</v>
      </c>
      <c r="D662" s="6">
        <v>1.0000199999999999</v>
      </c>
      <c r="E662" s="6">
        <v>33901.93</v>
      </c>
      <c r="F662" s="6">
        <v>33923.5</v>
      </c>
      <c r="G662" s="6">
        <v>33898.81</v>
      </c>
      <c r="H662" s="6">
        <v>33927.599999999999</v>
      </c>
      <c r="I662" s="5">
        <v>45226</v>
      </c>
      <c r="J662" s="7">
        <f t="shared" si="62"/>
        <v>7.5718403052564423E-4</v>
      </c>
      <c r="K662" s="5">
        <v>45226</v>
      </c>
      <c r="L662" s="8">
        <f t="shared" si="60"/>
        <v>-7.2781405220576675E-4</v>
      </c>
      <c r="M662" s="5">
        <v>45226</v>
      </c>
      <c r="N662" s="9">
        <f t="shared" si="61"/>
        <v>2.9369978319877484E-5</v>
      </c>
      <c r="O662" s="5">
        <v>45226</v>
      </c>
      <c r="P662">
        <f t="shared" si="63"/>
        <v>1.0008492923497905</v>
      </c>
      <c r="Q662" s="6">
        <f t="shared" si="64"/>
        <v>0.99998000039999213</v>
      </c>
      <c r="R662">
        <f t="shared" si="65"/>
        <v>8.6893170511280308E-4</v>
      </c>
      <c r="T662" s="5">
        <v>45226</v>
      </c>
      <c r="U662" s="1">
        <v>8.6893170511280308E-4</v>
      </c>
    </row>
    <row r="663" spans="3:21" x14ac:dyDescent="0.2">
      <c r="C663" s="5">
        <v>45227</v>
      </c>
      <c r="D663" s="6">
        <v>0.99997000000000003</v>
      </c>
      <c r="E663" s="6">
        <v>34087.69</v>
      </c>
      <c r="F663" s="6">
        <v>34116</v>
      </c>
      <c r="G663" s="6">
        <v>34127.040000000001</v>
      </c>
      <c r="H663" s="6">
        <v>34115.9</v>
      </c>
      <c r="I663" s="5">
        <v>45227</v>
      </c>
      <c r="J663" s="7">
        <f t="shared" si="62"/>
        <v>8.2757147814941777E-4</v>
      </c>
      <c r="K663" s="5">
        <v>45227</v>
      </c>
      <c r="L663" s="8">
        <f t="shared" si="60"/>
        <v>3.2360182905384198E-4</v>
      </c>
      <c r="M663" s="5">
        <v>45227</v>
      </c>
      <c r="N663" s="9">
        <f t="shared" si="61"/>
        <v>1.1511733072032597E-3</v>
      </c>
      <c r="O663" s="5">
        <v>45227</v>
      </c>
      <c r="P663">
        <f t="shared" si="63"/>
        <v>0.99967357262745316</v>
      </c>
      <c r="Q663" s="6">
        <f t="shared" si="64"/>
        <v>1.0000300009000269</v>
      </c>
      <c r="R663">
        <f t="shared" si="65"/>
        <v>-3.5648111156752601E-4</v>
      </c>
      <c r="T663" s="5">
        <v>45227</v>
      </c>
      <c r="U663" s="1">
        <v>-3.5648111156752601E-4</v>
      </c>
    </row>
    <row r="664" spans="3:21" x14ac:dyDescent="0.2">
      <c r="C664" s="5">
        <v>45228</v>
      </c>
      <c r="D664" s="6">
        <v>0.99997000000000003</v>
      </c>
      <c r="E664" s="6">
        <v>34528.160000000003</v>
      </c>
      <c r="F664" s="6">
        <v>34557</v>
      </c>
      <c r="G664" s="6">
        <v>34595.79</v>
      </c>
      <c r="H664" s="6">
        <v>34548.5</v>
      </c>
      <c r="I664" s="5">
        <v>45228</v>
      </c>
      <c r="J664" s="7">
        <f t="shared" si="62"/>
        <v>5.8908438793137271E-4</v>
      </c>
      <c r="K664" s="5">
        <v>45228</v>
      </c>
      <c r="L664" s="8">
        <f t="shared" si="60"/>
        <v>1.1224932719854407E-3</v>
      </c>
      <c r="M664" s="5">
        <v>45228</v>
      </c>
      <c r="N664" s="9">
        <f t="shared" si="61"/>
        <v>1.7115776599168134E-3</v>
      </c>
      <c r="O664" s="5">
        <v>45228</v>
      </c>
      <c r="P664">
        <f t="shared" si="63"/>
        <v>0.99863307067131579</v>
      </c>
      <c r="Q664" s="6">
        <f t="shared" si="64"/>
        <v>1.0000300009000269</v>
      </c>
      <c r="R664">
        <f t="shared" si="65"/>
        <v>-1.3978648788289883E-3</v>
      </c>
      <c r="T664" s="5">
        <v>45228</v>
      </c>
      <c r="U664" s="1">
        <v>-1.3978648788289883E-3</v>
      </c>
    </row>
    <row r="665" spans="3:21" x14ac:dyDescent="0.2">
      <c r="C665" s="5">
        <v>45229</v>
      </c>
      <c r="D665" s="6">
        <v>1.0000599999999999</v>
      </c>
      <c r="E665" s="6">
        <v>34490.199999999997</v>
      </c>
      <c r="F665" s="6">
        <v>34517</v>
      </c>
      <c r="G665" s="6">
        <v>34525.72</v>
      </c>
      <c r="H665" s="6">
        <v>34519.699999999997</v>
      </c>
      <c r="I665" s="5">
        <v>45229</v>
      </c>
      <c r="J665" s="7">
        <f t="shared" si="62"/>
        <v>8.5531542293173146E-4</v>
      </c>
      <c r="K665" s="5">
        <v>45229</v>
      </c>
      <c r="L665" s="8">
        <f t="shared" si="60"/>
        <v>2.5262913926474387E-4</v>
      </c>
      <c r="M665" s="5">
        <v>45229</v>
      </c>
      <c r="N665" s="9">
        <f t="shared" si="61"/>
        <v>1.1079445621964754E-3</v>
      </c>
      <c r="O665" s="5">
        <v>45229</v>
      </c>
      <c r="P665">
        <f t="shared" si="63"/>
        <v>0.99982563723508144</v>
      </c>
      <c r="Q665" s="6">
        <f t="shared" si="64"/>
        <v>0.99994000359978408</v>
      </c>
      <c r="R665">
        <f t="shared" si="65"/>
        <v>-1.1437976780075369E-4</v>
      </c>
      <c r="T665" s="5">
        <v>45229</v>
      </c>
      <c r="U665" s="1">
        <v>-1.1437976780075369E-4</v>
      </c>
    </row>
    <row r="666" spans="3:21" x14ac:dyDescent="0.2">
      <c r="C666" s="5">
        <v>45230</v>
      </c>
      <c r="D666" s="6">
        <v>0.99997999999999998</v>
      </c>
      <c r="E666" s="6">
        <v>34651.39</v>
      </c>
      <c r="F666" s="6">
        <v>34689.5</v>
      </c>
      <c r="G666" s="6">
        <v>34686.1</v>
      </c>
      <c r="H666" s="6">
        <v>34677.599999999999</v>
      </c>
      <c r="I666" s="5">
        <v>45230</v>
      </c>
      <c r="J666" s="7">
        <f t="shared" si="62"/>
        <v>7.5639101346292677E-4</v>
      </c>
      <c r="K666" s="5">
        <v>45230</v>
      </c>
      <c r="L666" s="8">
        <f t="shared" si="60"/>
        <v>-9.8012366854565656E-5</v>
      </c>
      <c r="M666" s="5">
        <v>45230</v>
      </c>
      <c r="N666" s="9">
        <f t="shared" si="61"/>
        <v>6.5837864660836108E-4</v>
      </c>
      <c r="O666" s="5">
        <v>45230</v>
      </c>
      <c r="P666">
        <f t="shared" si="63"/>
        <v>0.99975494506444951</v>
      </c>
      <c r="Q666" s="6">
        <f t="shared" si="64"/>
        <v>1.0000200004000079</v>
      </c>
      <c r="R666">
        <f t="shared" si="65"/>
        <v>-2.6508516642010185E-4</v>
      </c>
      <c r="T666" s="5">
        <v>45230</v>
      </c>
      <c r="U666" s="1">
        <v>-2.6508516642010185E-4</v>
      </c>
    </row>
    <row r="667" spans="3:21" x14ac:dyDescent="0.2">
      <c r="C667" s="5">
        <v>45231</v>
      </c>
      <c r="D667" s="6">
        <v>0.99997000000000003</v>
      </c>
      <c r="E667" s="6">
        <v>35436.31</v>
      </c>
      <c r="F667" s="6">
        <v>35463.5</v>
      </c>
      <c r="G667" s="6">
        <v>35484.410000000003</v>
      </c>
      <c r="H667" s="6">
        <v>35458.800000000003</v>
      </c>
      <c r="I667" s="5">
        <v>45231</v>
      </c>
      <c r="J667" s="7">
        <f t="shared" si="62"/>
        <v>6.3465976000337619E-4</v>
      </c>
      <c r="K667" s="5">
        <v>45231</v>
      </c>
      <c r="L667" s="8">
        <f t="shared" si="60"/>
        <v>5.8962031384390975E-4</v>
      </c>
      <c r="M667" s="5">
        <v>45231</v>
      </c>
      <c r="N667" s="9">
        <f t="shared" si="61"/>
        <v>1.2242800738472858E-3</v>
      </c>
      <c r="O667" s="5">
        <v>45231</v>
      </c>
      <c r="P667">
        <f t="shared" si="63"/>
        <v>0.99927827460002849</v>
      </c>
      <c r="Q667" s="6">
        <f t="shared" si="64"/>
        <v>1.0000300009000269</v>
      </c>
      <c r="R667">
        <f t="shared" si="65"/>
        <v>-7.5198641913737526E-4</v>
      </c>
      <c r="T667" s="5">
        <v>45231</v>
      </c>
      <c r="U667" s="1">
        <v>-7.5198641913737526E-4</v>
      </c>
    </row>
    <row r="668" spans="3:21" x14ac:dyDescent="0.2">
      <c r="C668" s="5">
        <v>45232</v>
      </c>
      <c r="D668" s="6">
        <v>0.99997999999999998</v>
      </c>
      <c r="E668" s="6">
        <v>34946.43</v>
      </c>
      <c r="F668" s="6">
        <v>34976.5</v>
      </c>
      <c r="G668" s="6">
        <v>34991.03</v>
      </c>
      <c r="H668" s="6">
        <v>34953</v>
      </c>
      <c r="I668" s="5">
        <v>45232</v>
      </c>
      <c r="J668" s="7">
        <f t="shared" si="62"/>
        <v>1.8800203625948941E-4</v>
      </c>
      <c r="K668" s="5">
        <v>45232</v>
      </c>
      <c r="L668" s="8">
        <f t="shared" si="60"/>
        <v>4.1542178319725631E-4</v>
      </c>
      <c r="M668" s="5">
        <v>45232</v>
      </c>
      <c r="N668" s="9">
        <f t="shared" si="61"/>
        <v>6.0342381945674569E-4</v>
      </c>
      <c r="O668" s="5">
        <v>45232</v>
      </c>
      <c r="P668">
        <f t="shared" si="63"/>
        <v>0.99891315002730707</v>
      </c>
      <c r="Q668" s="6">
        <f t="shared" si="64"/>
        <v>1.0000200004000079</v>
      </c>
      <c r="R668">
        <f t="shared" si="65"/>
        <v>-1.1074412224208337E-3</v>
      </c>
      <c r="T668" s="5">
        <v>45232</v>
      </c>
      <c r="U668" s="1">
        <v>-1.1074412224208337E-3</v>
      </c>
    </row>
    <row r="669" spans="3:21" x14ac:dyDescent="0.2">
      <c r="C669" s="5">
        <v>45233</v>
      </c>
      <c r="D669" s="6">
        <v>1.00003</v>
      </c>
      <c r="E669" s="6">
        <v>34728.400000000001</v>
      </c>
      <c r="F669" s="6">
        <v>34736.5</v>
      </c>
      <c r="G669" s="6">
        <v>34786.550000000003</v>
      </c>
      <c r="H669" s="6">
        <v>34737.4</v>
      </c>
      <c r="I669" s="5">
        <v>45233</v>
      </c>
      <c r="J669" s="7">
        <f t="shared" si="62"/>
        <v>2.5915389133965283E-4</v>
      </c>
      <c r="K669" s="5">
        <v>45233</v>
      </c>
      <c r="L669" s="8">
        <f t="shared" si="60"/>
        <v>1.4408475234984214E-3</v>
      </c>
      <c r="M669" s="5">
        <v>45233</v>
      </c>
      <c r="N669" s="9">
        <f t="shared" si="61"/>
        <v>1.7000014148380741E-3</v>
      </c>
      <c r="O669" s="5">
        <v>45233</v>
      </c>
      <c r="P669">
        <f t="shared" si="63"/>
        <v>0.99858709759950326</v>
      </c>
      <c r="Q669" s="6">
        <f t="shared" si="64"/>
        <v>0.99997000089997301</v>
      </c>
      <c r="R669">
        <f t="shared" si="65"/>
        <v>-1.3839019382709519E-3</v>
      </c>
      <c r="T669" s="5">
        <v>45233</v>
      </c>
      <c r="U669" s="1">
        <v>-1.3839019382709519E-3</v>
      </c>
    </row>
    <row r="670" spans="3:21" x14ac:dyDescent="0.2">
      <c r="C670" s="5">
        <v>45234</v>
      </c>
      <c r="D670" s="6">
        <v>1.00004</v>
      </c>
      <c r="E670" s="6">
        <v>35080.57</v>
      </c>
      <c r="F670" s="6">
        <v>35091</v>
      </c>
      <c r="G670" s="6">
        <v>35152.370000000003</v>
      </c>
      <c r="H670" s="6">
        <v>35074.6</v>
      </c>
      <c r="I670" s="5">
        <v>45234</v>
      </c>
      <c r="J670" s="7">
        <f t="shared" si="62"/>
        <v>-1.7017967495970459E-4</v>
      </c>
      <c r="K670" s="5">
        <v>45234</v>
      </c>
      <c r="L670" s="8">
        <f t="shared" si="60"/>
        <v>1.7488814795817338E-3</v>
      </c>
      <c r="M670" s="5">
        <v>45234</v>
      </c>
      <c r="N670" s="9">
        <f t="shared" si="61"/>
        <v>1.5787018046220292E-3</v>
      </c>
      <c r="O670" s="5">
        <v>45234</v>
      </c>
      <c r="P670">
        <f t="shared" si="63"/>
        <v>0.99778763138872273</v>
      </c>
      <c r="Q670" s="6">
        <f t="shared" si="64"/>
        <v>0.99996000159993592</v>
      </c>
      <c r="R670">
        <f t="shared" si="65"/>
        <v>-2.1748203142263911E-3</v>
      </c>
      <c r="T670" s="5">
        <v>45234</v>
      </c>
      <c r="U670" s="1">
        <v>-2.1748203142263911E-3</v>
      </c>
    </row>
    <row r="671" spans="3:21" x14ac:dyDescent="0.2">
      <c r="C671" s="5">
        <v>45235</v>
      </c>
      <c r="D671" s="6">
        <v>1</v>
      </c>
      <c r="E671" s="6">
        <v>35034.93</v>
      </c>
      <c r="F671" s="6">
        <v>35051.5</v>
      </c>
      <c r="G671" s="6">
        <v>35061.29</v>
      </c>
      <c r="H671" s="6">
        <v>35074</v>
      </c>
      <c r="I671" s="5">
        <v>45235</v>
      </c>
      <c r="J671" s="7">
        <f t="shared" si="62"/>
        <v>1.1151727718593902E-3</v>
      </c>
      <c r="K671" s="5">
        <v>45235</v>
      </c>
      <c r="L671" s="8">
        <f t="shared" si="60"/>
        <v>2.7930331084264221E-4</v>
      </c>
      <c r="M671" s="5">
        <v>45235</v>
      </c>
      <c r="N671" s="9">
        <f t="shared" si="61"/>
        <v>1.3944760827020325E-3</v>
      </c>
      <c r="O671" s="5">
        <v>45235</v>
      </c>
      <c r="P671">
        <f t="shared" si="63"/>
        <v>1.0003625080537537</v>
      </c>
      <c r="Q671" s="6">
        <f t="shared" si="64"/>
        <v>1</v>
      </c>
      <c r="R671">
        <f t="shared" si="65"/>
        <v>3.6244236358418667E-4</v>
      </c>
      <c r="T671" s="5">
        <v>45235</v>
      </c>
      <c r="U671" s="1">
        <v>3.6244236358418667E-4</v>
      </c>
    </row>
    <row r="672" spans="3:21" x14ac:dyDescent="0.2">
      <c r="C672" s="5">
        <v>45236</v>
      </c>
      <c r="D672" s="6">
        <v>1.0000100000000001</v>
      </c>
      <c r="E672" s="6">
        <v>35052.089999999997</v>
      </c>
      <c r="F672" s="6">
        <v>35079.5</v>
      </c>
      <c r="G672" s="6">
        <v>35062.14</v>
      </c>
      <c r="H672" s="6">
        <v>35054.800000000003</v>
      </c>
      <c r="I672" s="5">
        <v>45236</v>
      </c>
      <c r="J672" s="7">
        <f t="shared" si="62"/>
        <v>7.7313506841001579E-5</v>
      </c>
      <c r="K672" s="5">
        <v>45236</v>
      </c>
      <c r="L672" s="8">
        <f t="shared" si="60"/>
        <v>-4.9487592468537415E-4</v>
      </c>
      <c r="M672" s="5">
        <v>45236</v>
      </c>
      <c r="N672" s="9">
        <f t="shared" si="61"/>
        <v>-4.1756241784437256E-4</v>
      </c>
      <c r="O672" s="5">
        <v>45236</v>
      </c>
      <c r="P672">
        <f t="shared" si="63"/>
        <v>0.9997906573871419</v>
      </c>
      <c r="Q672" s="6">
        <f t="shared" si="64"/>
        <v>0.99999000009999894</v>
      </c>
      <c r="R672">
        <f t="shared" si="65"/>
        <v>-1.9936457808102979E-4</v>
      </c>
      <c r="T672" s="5">
        <v>45236</v>
      </c>
      <c r="U672" s="1">
        <v>-1.9936457808102979E-4</v>
      </c>
    </row>
    <row r="673" spans="3:21" x14ac:dyDescent="0.2">
      <c r="C673" s="5">
        <v>45237</v>
      </c>
      <c r="D673" s="6">
        <v>1.00003</v>
      </c>
      <c r="E673" s="6">
        <v>35410.35</v>
      </c>
      <c r="F673" s="6">
        <v>35426.5</v>
      </c>
      <c r="G673" s="6">
        <v>35430.89</v>
      </c>
      <c r="H673" s="6">
        <v>35422.6</v>
      </c>
      <c r="I673" s="5">
        <v>45237</v>
      </c>
      <c r="J673" s="7">
        <f t="shared" si="62"/>
        <v>3.4594405308052592E-4</v>
      </c>
      <c r="K673" s="5">
        <v>45237</v>
      </c>
      <c r="L673" s="8">
        <f t="shared" si="60"/>
        <v>1.2391853555952234E-4</v>
      </c>
      <c r="M673" s="5">
        <v>45237</v>
      </c>
      <c r="N673" s="9">
        <f t="shared" si="61"/>
        <v>4.6986258864004825E-4</v>
      </c>
      <c r="O673" s="5">
        <v>45237</v>
      </c>
      <c r="P673">
        <f t="shared" si="63"/>
        <v>0.99976602337677656</v>
      </c>
      <c r="Q673" s="6">
        <f t="shared" si="64"/>
        <v>0.99997000089997301</v>
      </c>
      <c r="R673">
        <f t="shared" si="65"/>
        <v>-2.0400445001501381E-4</v>
      </c>
      <c r="T673" s="5">
        <v>45237</v>
      </c>
      <c r="U673" s="1">
        <v>-2.0400445001501381E-4</v>
      </c>
    </row>
    <row r="674" spans="3:21" x14ac:dyDescent="0.2">
      <c r="C674" s="5">
        <v>45238</v>
      </c>
      <c r="D674" s="6">
        <v>1.00004</v>
      </c>
      <c r="E674" s="6">
        <v>35632</v>
      </c>
      <c r="F674" s="6">
        <v>35640.5</v>
      </c>
      <c r="G674" s="6">
        <v>35674.11</v>
      </c>
      <c r="H674" s="6">
        <v>35632.300000000003</v>
      </c>
      <c r="I674" s="5">
        <v>45238</v>
      </c>
      <c r="J674" s="7">
        <f t="shared" si="62"/>
        <v>8.4193982937502915E-6</v>
      </c>
      <c r="K674" s="5">
        <v>45238</v>
      </c>
      <c r="L674" s="8">
        <f t="shared" si="60"/>
        <v>9.4302829646050366E-4</v>
      </c>
      <c r="M674" s="5">
        <v>45238</v>
      </c>
      <c r="N674" s="9">
        <f t="shared" si="61"/>
        <v>9.5144769475425392E-4</v>
      </c>
      <c r="O674" s="5">
        <v>45238</v>
      </c>
      <c r="P674">
        <f t="shared" si="63"/>
        <v>0.99882800159555496</v>
      </c>
      <c r="Q674" s="6">
        <f t="shared" si="64"/>
        <v>0.99996000159993592</v>
      </c>
      <c r="R674">
        <f t="shared" si="65"/>
        <v>-1.1326865316370705E-3</v>
      </c>
      <c r="T674" s="5">
        <v>45238</v>
      </c>
      <c r="U674" s="1">
        <v>-1.1326865316370705E-3</v>
      </c>
    </row>
    <row r="675" spans="3:21" x14ac:dyDescent="0.2">
      <c r="C675" s="5">
        <v>45239</v>
      </c>
      <c r="D675" s="6">
        <v>0.99997000000000003</v>
      </c>
      <c r="E675" s="6">
        <v>36711.32</v>
      </c>
      <c r="F675" s="6">
        <v>36739</v>
      </c>
      <c r="G675" s="6">
        <v>36732.35</v>
      </c>
      <c r="H675" s="6">
        <v>36712.300000000003</v>
      </c>
      <c r="I675" s="5">
        <v>45239</v>
      </c>
      <c r="J675" s="7">
        <f t="shared" si="62"/>
        <v>2.6694763359181895E-5</v>
      </c>
      <c r="K675" s="5">
        <v>45239</v>
      </c>
      <c r="L675" s="8">
        <f t="shared" si="60"/>
        <v>-1.8100655978664241E-4</v>
      </c>
      <c r="M675" s="5">
        <v>45239</v>
      </c>
      <c r="N675" s="9">
        <f t="shared" si="61"/>
        <v>-1.5431179642746051E-4</v>
      </c>
      <c r="O675" s="5">
        <v>45239</v>
      </c>
      <c r="P675">
        <f t="shared" si="63"/>
        <v>0.99945415961679573</v>
      </c>
      <c r="Q675" s="6">
        <f t="shared" si="64"/>
        <v>1.0000300009000269</v>
      </c>
      <c r="R675">
        <f t="shared" si="65"/>
        <v>-5.759898583069283E-4</v>
      </c>
      <c r="T675" s="5">
        <v>45239</v>
      </c>
      <c r="U675" s="1">
        <v>-5.759898583069283E-4</v>
      </c>
    </row>
    <row r="676" spans="3:21" x14ac:dyDescent="0.2">
      <c r="C676" s="5">
        <v>45240</v>
      </c>
      <c r="D676" s="6">
        <v>0.99997000000000003</v>
      </c>
      <c r="E676" s="6">
        <v>37323.99</v>
      </c>
      <c r="F676" s="6">
        <v>37340</v>
      </c>
      <c r="G676" s="6">
        <v>37361.67</v>
      </c>
      <c r="H676" s="6">
        <v>37321</v>
      </c>
      <c r="I676" s="5">
        <v>45240</v>
      </c>
      <c r="J676" s="7">
        <f t="shared" si="62"/>
        <v>-8.010933450571504E-5</v>
      </c>
      <c r="K676" s="5">
        <v>45240</v>
      </c>
      <c r="L676" s="8">
        <f t="shared" si="60"/>
        <v>5.8034279592925162E-4</v>
      </c>
      <c r="M676" s="5">
        <v>45240</v>
      </c>
      <c r="N676" s="9">
        <f t="shared" si="61"/>
        <v>5.0023346142353663E-4</v>
      </c>
      <c r="O676" s="5">
        <v>45240</v>
      </c>
      <c r="P676">
        <f t="shared" si="63"/>
        <v>0.99891145122795644</v>
      </c>
      <c r="Q676" s="6">
        <f t="shared" si="64"/>
        <v>1.0000300009000269</v>
      </c>
      <c r="R676">
        <f t="shared" si="65"/>
        <v>-1.1191421215728068E-3</v>
      </c>
      <c r="T676" s="5">
        <v>45240</v>
      </c>
      <c r="U676" s="1">
        <v>-1.1191421215728068E-3</v>
      </c>
    </row>
    <row r="677" spans="3:21" x14ac:dyDescent="0.2">
      <c r="C677" s="5">
        <v>45241</v>
      </c>
      <c r="D677" s="6">
        <v>0.99997000000000003</v>
      </c>
      <c r="E677" s="6">
        <v>37140</v>
      </c>
      <c r="F677" s="6">
        <v>37174.5</v>
      </c>
      <c r="G677" s="6">
        <v>37228.25</v>
      </c>
      <c r="H677" s="6">
        <v>37179.599999999999</v>
      </c>
      <c r="I677" s="5">
        <v>45241</v>
      </c>
      <c r="J677" s="7">
        <f t="shared" si="62"/>
        <v>1.0662358642972145E-3</v>
      </c>
      <c r="K677" s="5">
        <v>45241</v>
      </c>
      <c r="L677" s="8">
        <f t="shared" si="60"/>
        <v>1.4458836030074378E-3</v>
      </c>
      <c r="M677" s="5">
        <v>45241</v>
      </c>
      <c r="N677" s="9">
        <f t="shared" si="61"/>
        <v>2.5121194673046526E-3</v>
      </c>
      <c r="O677" s="5">
        <v>45241</v>
      </c>
      <c r="P677">
        <f t="shared" si="63"/>
        <v>0.99869319669874357</v>
      </c>
      <c r="Q677" s="6">
        <f t="shared" si="64"/>
        <v>1.0000300009000269</v>
      </c>
      <c r="R677">
        <f t="shared" si="65"/>
        <v>-1.3376583633204937E-3</v>
      </c>
      <c r="T677" s="5">
        <v>45241</v>
      </c>
      <c r="U677" s="1">
        <v>-1.3376583633204937E-3</v>
      </c>
    </row>
    <row r="678" spans="3:21" x14ac:dyDescent="0.2">
      <c r="C678" s="5">
        <v>45242</v>
      </c>
      <c r="D678" s="6">
        <v>1.00003</v>
      </c>
      <c r="E678" s="6">
        <v>37082.339999999997</v>
      </c>
      <c r="F678" s="6">
        <v>37109</v>
      </c>
      <c r="G678" s="6">
        <v>37133.360000000001</v>
      </c>
      <c r="H678" s="6">
        <v>37108.199999999997</v>
      </c>
      <c r="I678" s="5">
        <v>45242</v>
      </c>
      <c r="J678" s="7">
        <f t="shared" si="62"/>
        <v>6.9736699463951262E-4</v>
      </c>
      <c r="K678" s="5">
        <v>45242</v>
      </c>
      <c r="L678" s="8">
        <f t="shared" si="60"/>
        <v>6.564445282815646E-4</v>
      </c>
      <c r="M678" s="5">
        <v>45242</v>
      </c>
      <c r="N678" s="9">
        <f t="shared" si="61"/>
        <v>1.3538115229210772E-3</v>
      </c>
      <c r="O678" s="5">
        <v>45242</v>
      </c>
      <c r="P678">
        <f t="shared" si="63"/>
        <v>0.99932244213828203</v>
      </c>
      <c r="Q678" s="6">
        <f t="shared" si="64"/>
        <v>0.99997000089997301</v>
      </c>
      <c r="R678">
        <f t="shared" si="65"/>
        <v>-6.4778795777517312E-4</v>
      </c>
      <c r="T678" s="5">
        <v>45242</v>
      </c>
      <c r="U678" s="1">
        <v>-6.4778795777517312E-4</v>
      </c>
    </row>
    <row r="679" spans="3:21" x14ac:dyDescent="0.2">
      <c r="C679" s="5">
        <v>45243</v>
      </c>
      <c r="D679" s="6">
        <v>1.00004</v>
      </c>
      <c r="E679" s="6">
        <v>36479.660000000003</v>
      </c>
      <c r="F679" s="6">
        <v>36491.5</v>
      </c>
      <c r="G679" s="6">
        <v>36493.97</v>
      </c>
      <c r="H679" s="6">
        <v>36475.9</v>
      </c>
      <c r="I679" s="5">
        <v>45243</v>
      </c>
      <c r="J679" s="7">
        <f t="shared" si="62"/>
        <v>-1.0307113607972324E-4</v>
      </c>
      <c r="K679" s="5">
        <v>45243</v>
      </c>
      <c r="L679" s="8">
        <f t="shared" si="60"/>
        <v>6.7686995601747368E-5</v>
      </c>
      <c r="M679" s="5">
        <v>45243</v>
      </c>
      <c r="N679" s="9">
        <f t="shared" si="61"/>
        <v>-3.5384140477975876E-5</v>
      </c>
      <c r="O679" s="5">
        <v>45243</v>
      </c>
      <c r="P679">
        <f t="shared" si="63"/>
        <v>0.99950484970530751</v>
      </c>
      <c r="Q679" s="6">
        <f t="shared" si="64"/>
        <v>0.99996000159993592</v>
      </c>
      <c r="R679">
        <f t="shared" si="65"/>
        <v>-4.5527372205921419E-4</v>
      </c>
      <c r="T679" s="5">
        <v>45243</v>
      </c>
      <c r="U679" s="1">
        <v>-4.5527372205921419E-4</v>
      </c>
    </row>
    <row r="680" spans="3:21" x14ac:dyDescent="0.2">
      <c r="C680" s="5">
        <v>45244</v>
      </c>
      <c r="D680" s="6">
        <v>1.00004</v>
      </c>
      <c r="E680" s="6">
        <v>35554</v>
      </c>
      <c r="F680" s="6">
        <v>35562</v>
      </c>
      <c r="G680" s="6">
        <v>35612.699999999997</v>
      </c>
      <c r="H680" s="6">
        <v>35552.6</v>
      </c>
      <c r="I680" s="5">
        <v>45244</v>
      </c>
      <c r="J680" s="7">
        <f t="shared" si="62"/>
        <v>-3.9376722731660438E-5</v>
      </c>
      <c r="K680" s="5">
        <v>45244</v>
      </c>
      <c r="L680" s="8">
        <f t="shared" si="60"/>
        <v>1.4256790956638291E-3</v>
      </c>
      <c r="M680" s="5">
        <v>45244</v>
      </c>
      <c r="N680" s="9">
        <f t="shared" si="61"/>
        <v>1.3863023729321687E-3</v>
      </c>
      <c r="O680" s="5">
        <v>45244</v>
      </c>
      <c r="P680">
        <f t="shared" si="63"/>
        <v>0.99831239978996256</v>
      </c>
      <c r="Q680" s="6">
        <f t="shared" si="64"/>
        <v>0.99996000159993592</v>
      </c>
      <c r="R680">
        <f t="shared" si="65"/>
        <v>-1.6490266113730421E-3</v>
      </c>
      <c r="T680" s="5">
        <v>45244</v>
      </c>
      <c r="U680" s="1">
        <v>-1.6490266113730421E-3</v>
      </c>
    </row>
    <row r="681" spans="3:21" x14ac:dyDescent="0.2">
      <c r="C681" s="5">
        <v>45245</v>
      </c>
      <c r="D681" s="6">
        <v>1.00007</v>
      </c>
      <c r="E681" s="6">
        <v>37880.379999999997</v>
      </c>
      <c r="F681" s="6">
        <v>37897.5</v>
      </c>
      <c r="G681" s="6">
        <v>37922.949999999997</v>
      </c>
      <c r="H681" s="6">
        <v>37895.800000000003</v>
      </c>
      <c r="I681" s="5">
        <v>45245</v>
      </c>
      <c r="J681" s="7">
        <f t="shared" si="62"/>
        <v>4.0707088999649766E-4</v>
      </c>
      <c r="K681" s="5">
        <v>45245</v>
      </c>
      <c r="L681" s="8">
        <f t="shared" si="60"/>
        <v>6.7154825516187319E-4</v>
      </c>
      <c r="M681" s="5">
        <v>45245</v>
      </c>
      <c r="N681" s="9">
        <f t="shared" si="61"/>
        <v>1.0786191451583708E-3</v>
      </c>
      <c r="O681" s="5">
        <v>45245</v>
      </c>
      <c r="P681">
        <f t="shared" si="63"/>
        <v>0.99928407468300884</v>
      </c>
      <c r="Q681" s="6">
        <f t="shared" si="64"/>
        <v>0.999930004899657</v>
      </c>
      <c r="R681">
        <f t="shared" si="65"/>
        <v>-6.4618416378793607E-4</v>
      </c>
      <c r="T681" s="5">
        <v>45245</v>
      </c>
      <c r="U681" s="1">
        <v>-6.4618416378793607E-4</v>
      </c>
    </row>
    <row r="682" spans="3:21" x14ac:dyDescent="0.2">
      <c r="C682" s="5">
        <v>45246</v>
      </c>
      <c r="D682" s="6">
        <v>1.00007</v>
      </c>
      <c r="E682" s="6">
        <v>36167.99</v>
      </c>
      <c r="F682" s="6">
        <v>36186</v>
      </c>
      <c r="G682" s="6">
        <v>36226.25</v>
      </c>
      <c r="H682" s="6">
        <v>36177.5</v>
      </c>
      <c r="I682" s="5">
        <v>45246</v>
      </c>
      <c r="J682" s="7">
        <f t="shared" si="62"/>
        <v>2.6293968782899017E-4</v>
      </c>
      <c r="K682" s="5">
        <v>45246</v>
      </c>
      <c r="L682" s="8">
        <f t="shared" si="60"/>
        <v>1.112308627646051E-3</v>
      </c>
      <c r="M682" s="5">
        <v>45246</v>
      </c>
      <c r="N682" s="9">
        <f t="shared" si="61"/>
        <v>1.3752483154750412E-3</v>
      </c>
      <c r="O682" s="5">
        <v>45246</v>
      </c>
      <c r="P682">
        <f t="shared" si="63"/>
        <v>0.99865429074221046</v>
      </c>
      <c r="Q682" s="6">
        <f t="shared" si="64"/>
        <v>0.999930004899657</v>
      </c>
      <c r="R682">
        <f t="shared" si="65"/>
        <v>-1.2766179875291889E-3</v>
      </c>
      <c r="T682" s="5">
        <v>45246</v>
      </c>
      <c r="U682" s="1">
        <v>-1.2766179875291889E-3</v>
      </c>
    </row>
    <row r="683" spans="3:21" x14ac:dyDescent="0.2">
      <c r="C683" s="5">
        <v>45247</v>
      </c>
      <c r="D683" s="6">
        <v>1.00004</v>
      </c>
      <c r="E683" s="6">
        <v>36624.01</v>
      </c>
      <c r="F683" s="6">
        <v>36629.5</v>
      </c>
      <c r="G683" s="6">
        <v>36678.51</v>
      </c>
      <c r="H683" s="6">
        <v>36600.1</v>
      </c>
      <c r="I683" s="5">
        <v>45247</v>
      </c>
      <c r="J683" s="7">
        <f t="shared" si="62"/>
        <v>-6.5285041151975139E-4</v>
      </c>
      <c r="K683" s="5">
        <v>45247</v>
      </c>
      <c r="L683" s="8">
        <f t="shared" si="60"/>
        <v>1.3379926015916689E-3</v>
      </c>
      <c r="M683" s="5">
        <v>45247</v>
      </c>
      <c r="N683" s="9">
        <f t="shared" si="61"/>
        <v>6.8514219007191754E-4</v>
      </c>
      <c r="O683" s="5">
        <v>45247</v>
      </c>
      <c r="P683">
        <f t="shared" si="63"/>
        <v>0.99786223595233281</v>
      </c>
      <c r="Q683" s="6">
        <f t="shared" si="64"/>
        <v>0.99996000159993592</v>
      </c>
      <c r="R683">
        <f t="shared" si="65"/>
        <v>-2.100053126990025E-3</v>
      </c>
      <c r="T683" s="5">
        <v>45247</v>
      </c>
      <c r="U683" s="1">
        <v>-2.100053126990025E-3</v>
      </c>
    </row>
    <row r="684" spans="3:21" x14ac:dyDescent="0.2">
      <c r="C684" s="5">
        <v>45248</v>
      </c>
      <c r="D684" s="6">
        <v>0.99997000000000003</v>
      </c>
      <c r="E684" s="6">
        <v>36594.269999999997</v>
      </c>
      <c r="F684" s="6">
        <v>36598.5</v>
      </c>
      <c r="G684" s="6">
        <v>36686.050000000003</v>
      </c>
      <c r="H684" s="6">
        <v>36566</v>
      </c>
      <c r="I684" s="5">
        <v>45248</v>
      </c>
      <c r="J684" s="7">
        <f t="shared" si="62"/>
        <v>-7.7252531612180813E-4</v>
      </c>
      <c r="K684" s="5">
        <v>45248</v>
      </c>
      <c r="L684" s="8">
        <f t="shared" si="60"/>
        <v>2.3921745426725934E-3</v>
      </c>
      <c r="M684" s="5">
        <v>45248</v>
      </c>
      <c r="N684" s="9">
        <f t="shared" si="61"/>
        <v>1.6196492265507854E-3</v>
      </c>
      <c r="O684" s="5">
        <v>45248</v>
      </c>
      <c r="P684">
        <f t="shared" si="63"/>
        <v>0.99672763897993921</v>
      </c>
      <c r="Q684" s="6">
        <f t="shared" si="64"/>
        <v>1.0000300009000269</v>
      </c>
      <c r="R684">
        <f t="shared" si="65"/>
        <v>-3.3077273526602924E-3</v>
      </c>
      <c r="T684" s="5">
        <v>45248</v>
      </c>
      <c r="U684" s="1">
        <v>-3.3077273526602924E-3</v>
      </c>
    </row>
    <row r="685" spans="3:21" x14ac:dyDescent="0.2">
      <c r="C685" s="5">
        <v>45249</v>
      </c>
      <c r="D685" s="6">
        <v>1.0000100000000001</v>
      </c>
      <c r="E685" s="6">
        <v>37378.61</v>
      </c>
      <c r="F685" s="6">
        <v>37379</v>
      </c>
      <c r="G685" s="6">
        <v>37388.400000000001</v>
      </c>
      <c r="H685" s="6">
        <v>37367.9</v>
      </c>
      <c r="I685" s="5">
        <v>45249</v>
      </c>
      <c r="J685" s="7">
        <f t="shared" si="62"/>
        <v>-2.8652750864730192E-4</v>
      </c>
      <c r="K685" s="5">
        <v>45249</v>
      </c>
      <c r="L685" s="8">
        <f t="shared" si="60"/>
        <v>2.5147810267801319E-4</v>
      </c>
      <c r="M685" s="5">
        <v>45249</v>
      </c>
      <c r="N685" s="9">
        <f t="shared" si="61"/>
        <v>-3.5049405969288727E-5</v>
      </c>
      <c r="O685" s="5">
        <v>45249</v>
      </c>
      <c r="P685">
        <f t="shared" si="63"/>
        <v>0.99945170159728691</v>
      </c>
      <c r="Q685" s="6">
        <f t="shared" si="64"/>
        <v>0.99999000009999894</v>
      </c>
      <c r="R685">
        <f t="shared" si="65"/>
        <v>-5.38448823249733E-4</v>
      </c>
      <c r="T685" s="5">
        <v>45249</v>
      </c>
      <c r="U685" s="1">
        <v>-5.38448823249733E-4</v>
      </c>
    </row>
    <row r="686" spans="3:21" x14ac:dyDescent="0.2">
      <c r="C686" s="5">
        <v>45250</v>
      </c>
      <c r="D686" s="6">
        <v>0.99999000000000005</v>
      </c>
      <c r="E686" s="6">
        <v>37474.29</v>
      </c>
      <c r="F686" s="6">
        <v>37476</v>
      </c>
      <c r="G686" s="6">
        <v>37498.1</v>
      </c>
      <c r="H686" s="6">
        <v>37475.1</v>
      </c>
      <c r="I686" s="5">
        <v>45250</v>
      </c>
      <c r="J686" s="7">
        <f t="shared" si="62"/>
        <v>2.1614819119926533E-5</v>
      </c>
      <c r="K686" s="5">
        <v>45250</v>
      </c>
      <c r="L686" s="8">
        <f t="shared" si="60"/>
        <v>5.8971074821215035E-4</v>
      </c>
      <c r="M686" s="5">
        <v>45250</v>
      </c>
      <c r="N686" s="9">
        <f t="shared" si="61"/>
        <v>6.1132556733207684E-4</v>
      </c>
      <c r="O686" s="5">
        <v>45250</v>
      </c>
      <c r="P686">
        <f t="shared" si="63"/>
        <v>0.99938663558953655</v>
      </c>
      <c r="Q686" s="6">
        <f t="shared" si="64"/>
        <v>1.000010000100001</v>
      </c>
      <c r="R686">
        <f t="shared" si="65"/>
        <v>-6.2355264536825188E-4</v>
      </c>
      <c r="T686" s="5">
        <v>45250</v>
      </c>
      <c r="U686" s="1">
        <v>-6.2355264536825188E-4</v>
      </c>
    </row>
    <row r="687" spans="3:21" x14ac:dyDescent="0.2">
      <c r="C687" s="5">
        <v>45251</v>
      </c>
      <c r="D687" s="6">
        <v>1.00004</v>
      </c>
      <c r="E687" s="6">
        <v>35752</v>
      </c>
      <c r="F687" s="6">
        <v>35723.5</v>
      </c>
      <c r="G687" s="6">
        <v>35777.69</v>
      </c>
      <c r="H687" s="6">
        <v>35728.5</v>
      </c>
      <c r="I687" s="5">
        <v>45251</v>
      </c>
      <c r="J687" s="7">
        <f t="shared" si="62"/>
        <v>-6.5730588498545532E-4</v>
      </c>
      <c r="K687" s="5">
        <v>45251</v>
      </c>
      <c r="L687" s="8">
        <f t="shared" si="60"/>
        <v>1.5169286324129027E-3</v>
      </c>
      <c r="M687" s="5">
        <v>45251</v>
      </c>
      <c r="N687" s="9">
        <f t="shared" si="61"/>
        <v>8.596227474274474E-4</v>
      </c>
      <c r="O687" s="5">
        <v>45251</v>
      </c>
      <c r="P687">
        <f t="shared" si="63"/>
        <v>0.99862512085045174</v>
      </c>
      <c r="Q687" s="6">
        <f t="shared" si="64"/>
        <v>0.99996000159993592</v>
      </c>
      <c r="R687">
        <f t="shared" si="65"/>
        <v>-1.3358259630670923E-3</v>
      </c>
      <c r="T687" s="5">
        <v>45251</v>
      </c>
      <c r="U687" s="1">
        <v>-1.3358259630670923E-3</v>
      </c>
    </row>
    <row r="688" spans="3:21" x14ac:dyDescent="0.2">
      <c r="C688" s="5">
        <v>45252</v>
      </c>
      <c r="D688" s="6">
        <v>0.99997999999999998</v>
      </c>
      <c r="E688" s="6">
        <v>37422.44</v>
      </c>
      <c r="F688" s="6">
        <v>37429</v>
      </c>
      <c r="G688" s="6">
        <v>37413.26</v>
      </c>
      <c r="H688" s="6">
        <v>37452.1</v>
      </c>
      <c r="I688" s="5">
        <v>45252</v>
      </c>
      <c r="J688" s="7">
        <f t="shared" si="62"/>
        <v>7.9257258479127006E-4</v>
      </c>
      <c r="K688" s="5">
        <v>45252</v>
      </c>
      <c r="L688" s="8">
        <f t="shared" si="60"/>
        <v>-4.2052953592128998E-4</v>
      </c>
      <c r="M688" s="5">
        <v>45252</v>
      </c>
      <c r="N688" s="9">
        <f t="shared" si="61"/>
        <v>3.7204304886998007E-4</v>
      </c>
      <c r="O688" s="5">
        <v>45252</v>
      </c>
      <c r="P688">
        <f t="shared" si="63"/>
        <v>1.0010381346078903</v>
      </c>
      <c r="Q688" s="6">
        <f t="shared" si="64"/>
        <v>1.0000200004000079</v>
      </c>
      <c r="R688">
        <f t="shared" si="65"/>
        <v>1.0175959188061065E-3</v>
      </c>
      <c r="T688" s="5">
        <v>45252</v>
      </c>
      <c r="U688" s="1">
        <v>1.0175959188061065E-3</v>
      </c>
    </row>
    <row r="689" spans="3:21" x14ac:dyDescent="0.2">
      <c r="C689" s="5">
        <v>45253</v>
      </c>
      <c r="D689" s="6">
        <v>1</v>
      </c>
      <c r="E689" s="6">
        <v>37298.019999999997</v>
      </c>
      <c r="F689" s="6">
        <v>37297</v>
      </c>
      <c r="G689" s="6">
        <v>37299.25</v>
      </c>
      <c r="H689" s="6">
        <v>37272.800000000003</v>
      </c>
      <c r="I689" s="5">
        <v>45253</v>
      </c>
      <c r="J689" s="7">
        <f t="shared" si="62"/>
        <v>-6.7617530367547365E-4</v>
      </c>
      <c r="K689" s="5">
        <v>45253</v>
      </c>
      <c r="L689" s="8">
        <f t="shared" si="60"/>
        <v>6.0326567820468133E-5</v>
      </c>
      <c r="M689" s="5">
        <v>45253</v>
      </c>
      <c r="N689" s="9">
        <f t="shared" si="61"/>
        <v>-6.1584873585500551E-4</v>
      </c>
      <c r="O689" s="5">
        <v>45253</v>
      </c>
      <c r="P689">
        <f t="shared" si="63"/>
        <v>0.99929087045986187</v>
      </c>
      <c r="Q689" s="6">
        <f t="shared" si="64"/>
        <v>1</v>
      </c>
      <c r="R689">
        <f t="shared" si="65"/>
        <v>-7.0938109141913943E-4</v>
      </c>
      <c r="T689" s="5">
        <v>45253</v>
      </c>
      <c r="U689" s="1">
        <v>-7.0938109141913943E-4</v>
      </c>
    </row>
    <row r="690" spans="3:21" x14ac:dyDescent="0.2">
      <c r="C690" s="5">
        <v>45254</v>
      </c>
      <c r="D690" s="6">
        <v>1.00004</v>
      </c>
      <c r="E690" s="6">
        <v>37749.01</v>
      </c>
      <c r="F690" s="6">
        <v>37761</v>
      </c>
      <c r="G690" s="6">
        <v>37717.08</v>
      </c>
      <c r="H690" s="6">
        <v>37736.1</v>
      </c>
      <c r="I690" s="5">
        <v>45254</v>
      </c>
      <c r="J690" s="7">
        <f t="shared" si="62"/>
        <v>-3.4199572386145997E-4</v>
      </c>
      <c r="K690" s="5">
        <v>45254</v>
      </c>
      <c r="L690" s="8">
        <f t="shared" si="60"/>
        <v>-1.163104790656981E-3</v>
      </c>
      <c r="M690" s="5">
        <v>45254</v>
      </c>
      <c r="N690" s="9">
        <f t="shared" si="61"/>
        <v>-1.505100514518441E-3</v>
      </c>
      <c r="O690" s="5">
        <v>45254</v>
      </c>
      <c r="P690">
        <f t="shared" si="63"/>
        <v>1.0005042808191937</v>
      </c>
      <c r="Q690" s="6">
        <f t="shared" si="64"/>
        <v>0.99996000159993592</v>
      </c>
      <c r="R690">
        <f t="shared" si="65"/>
        <v>5.4415291237284395E-4</v>
      </c>
      <c r="T690" s="5">
        <v>45254</v>
      </c>
      <c r="U690" s="1">
        <v>5.4415291237284395E-4</v>
      </c>
    </row>
    <row r="691" spans="3:21" x14ac:dyDescent="0.2">
      <c r="C691" s="5">
        <v>45255</v>
      </c>
      <c r="D691" s="6">
        <v>1.00003</v>
      </c>
      <c r="E691" s="6">
        <v>37803.480000000003</v>
      </c>
      <c r="F691" s="6">
        <v>37816.5</v>
      </c>
      <c r="G691" s="6">
        <v>37672.879999999997</v>
      </c>
      <c r="H691" s="6">
        <v>37800</v>
      </c>
      <c r="I691" s="5">
        <v>45255</v>
      </c>
      <c r="J691" s="7">
        <f t="shared" si="62"/>
        <v>-9.2055017157235294E-5</v>
      </c>
      <c r="K691" s="5">
        <v>45255</v>
      </c>
      <c r="L691" s="8">
        <f t="shared" si="60"/>
        <v>-3.797813123901012E-3</v>
      </c>
      <c r="M691" s="5">
        <v>45255</v>
      </c>
      <c r="N691" s="9">
        <f t="shared" si="61"/>
        <v>-3.8898681410582474E-3</v>
      </c>
      <c r="O691" s="5">
        <v>45255</v>
      </c>
      <c r="P691">
        <f t="shared" si="63"/>
        <v>1.0033743106446866</v>
      </c>
      <c r="Q691" s="6">
        <f t="shared" si="64"/>
        <v>0.99997000089997301</v>
      </c>
      <c r="R691">
        <f t="shared" si="65"/>
        <v>3.3986299828119046E-3</v>
      </c>
      <c r="T691" s="5">
        <v>45255</v>
      </c>
      <c r="U691" s="1">
        <v>3.3986299828119046E-3</v>
      </c>
    </row>
    <row r="692" spans="3:21" x14ac:dyDescent="0.2">
      <c r="C692" s="5">
        <v>45256</v>
      </c>
      <c r="D692" s="6">
        <v>0.99999000000000005</v>
      </c>
      <c r="E692" s="6">
        <v>37460.370000000003</v>
      </c>
      <c r="F692" s="6">
        <v>37459.5</v>
      </c>
      <c r="G692" s="6">
        <v>37399.4</v>
      </c>
      <c r="H692" s="6">
        <v>37446.6</v>
      </c>
      <c r="I692" s="5">
        <v>45256</v>
      </c>
      <c r="J692" s="7">
        <f t="shared" si="62"/>
        <v>-3.6758846749255478E-4</v>
      </c>
      <c r="K692" s="5">
        <v>45256</v>
      </c>
      <c r="L692" s="8">
        <f t="shared" si="60"/>
        <v>-1.604399418038109E-3</v>
      </c>
      <c r="M692" s="5">
        <v>45256</v>
      </c>
      <c r="N692" s="9">
        <f t="shared" si="61"/>
        <v>-1.9719878855306637E-3</v>
      </c>
      <c r="O692" s="5">
        <v>45256</v>
      </c>
      <c r="P692">
        <f t="shared" si="63"/>
        <v>1.0012620523323903</v>
      </c>
      <c r="Q692" s="6">
        <f t="shared" si="64"/>
        <v>1.000010000100001</v>
      </c>
      <c r="R692">
        <f t="shared" si="65"/>
        <v>1.2512565637670804E-3</v>
      </c>
      <c r="T692" s="5">
        <v>45256</v>
      </c>
      <c r="U692" s="1">
        <v>1.2512565637670804E-3</v>
      </c>
    </row>
    <row r="693" spans="3:21" x14ac:dyDescent="0.2">
      <c r="C693" s="5">
        <v>45257</v>
      </c>
      <c r="D693" s="6">
        <v>0.99997000000000003</v>
      </c>
      <c r="E693" s="6">
        <v>37246.15</v>
      </c>
      <c r="F693" s="6">
        <v>37256</v>
      </c>
      <c r="G693" s="6">
        <v>37273.660000000003</v>
      </c>
      <c r="H693" s="6">
        <v>37267.4</v>
      </c>
      <c r="I693" s="5">
        <v>45257</v>
      </c>
      <c r="J693" s="7">
        <f t="shared" si="62"/>
        <v>5.7052876606038477E-4</v>
      </c>
      <c r="K693" s="5">
        <v>45257</v>
      </c>
      <c r="L693" s="8">
        <f t="shared" si="60"/>
        <v>4.7401760790217665E-4</v>
      </c>
      <c r="M693" s="5">
        <v>45257</v>
      </c>
      <c r="N693" s="9">
        <f t="shared" si="61"/>
        <v>1.0445463739625614E-3</v>
      </c>
      <c r="O693" s="5">
        <v>45257</v>
      </c>
      <c r="P693">
        <f t="shared" si="63"/>
        <v>0.9998320529832595</v>
      </c>
      <c r="Q693" s="6">
        <f t="shared" si="64"/>
        <v>1.0000300009000269</v>
      </c>
      <c r="R693">
        <f t="shared" si="65"/>
        <v>-1.9796157142886275E-4</v>
      </c>
      <c r="T693" s="5">
        <v>45257</v>
      </c>
      <c r="U693" s="1">
        <v>-1.9796157142886275E-4</v>
      </c>
    </row>
    <row r="694" spans="3:21" x14ac:dyDescent="0.2">
      <c r="C694" s="5">
        <v>45258</v>
      </c>
      <c r="D694" s="6">
        <v>1.00004</v>
      </c>
      <c r="E694" s="6">
        <v>37841.449999999997</v>
      </c>
      <c r="F694" s="6">
        <v>37817.5</v>
      </c>
      <c r="G694" s="6">
        <v>37843.01</v>
      </c>
      <c r="H694" s="6">
        <v>37823</v>
      </c>
      <c r="I694" s="5">
        <v>45258</v>
      </c>
      <c r="J694" s="7">
        <f t="shared" si="62"/>
        <v>-4.8756059823281328E-4</v>
      </c>
      <c r="K694" s="5">
        <v>45258</v>
      </c>
      <c r="L694" s="8">
        <f t="shared" si="60"/>
        <v>6.7455543068690516E-4</v>
      </c>
      <c r="M694" s="5">
        <v>45258</v>
      </c>
      <c r="N694" s="9">
        <f t="shared" si="61"/>
        <v>1.8699483245409188E-4</v>
      </c>
      <c r="O694" s="5">
        <v>45258</v>
      </c>
      <c r="P694">
        <f t="shared" si="63"/>
        <v>0.99947123656389902</v>
      </c>
      <c r="Q694" s="6">
        <f t="shared" si="64"/>
        <v>0.99996000159993592</v>
      </c>
      <c r="R694">
        <f t="shared" si="65"/>
        <v>-4.8890408076394747E-4</v>
      </c>
      <c r="T694" s="5">
        <v>45258</v>
      </c>
      <c r="U694" s="1">
        <v>-4.8890408076394747E-4</v>
      </c>
    </row>
    <row r="695" spans="3:21" x14ac:dyDescent="0.2">
      <c r="C695" s="5">
        <v>45259</v>
      </c>
      <c r="D695" s="6">
        <v>1</v>
      </c>
      <c r="E695" s="6">
        <v>37865.22</v>
      </c>
      <c r="F695" s="6">
        <v>37855.5</v>
      </c>
      <c r="G695" s="6">
        <v>37880.559999999998</v>
      </c>
      <c r="H695" s="6">
        <v>37852.699999999997</v>
      </c>
      <c r="I695" s="5">
        <v>45259</v>
      </c>
      <c r="J695" s="7">
        <f t="shared" si="62"/>
        <v>-3.3064643490792009E-4</v>
      </c>
      <c r="K695" s="5">
        <v>45259</v>
      </c>
      <c r="L695" s="8">
        <f t="shared" si="60"/>
        <v>6.6199099206185811E-4</v>
      </c>
      <c r="M695" s="5">
        <v>45259</v>
      </c>
      <c r="N695" s="9">
        <f t="shared" si="61"/>
        <v>3.3134455715393802E-4</v>
      </c>
      <c r="O695" s="5">
        <v>45259</v>
      </c>
      <c r="P695">
        <f t="shared" si="63"/>
        <v>0.99926453040820928</v>
      </c>
      <c r="Q695" s="6">
        <f t="shared" si="64"/>
        <v>1</v>
      </c>
      <c r="R695">
        <f t="shared" si="65"/>
        <v>-7.3574018223310331E-4</v>
      </c>
      <c r="T695" s="5">
        <v>45259</v>
      </c>
      <c r="U695" s="1">
        <v>-7.3574018223310331E-4</v>
      </c>
    </row>
    <row r="696" spans="3:21" x14ac:dyDescent="0.2">
      <c r="C696" s="5">
        <v>45260</v>
      </c>
      <c r="D696" s="6">
        <v>0.99999000000000005</v>
      </c>
      <c r="E696" s="6">
        <v>37735</v>
      </c>
      <c r="F696" s="6">
        <v>37727</v>
      </c>
      <c r="G696" s="6">
        <v>37739.550000000003</v>
      </c>
      <c r="H696" s="6">
        <v>37700.1</v>
      </c>
      <c r="I696" s="5">
        <v>45260</v>
      </c>
      <c r="J696" s="7">
        <f t="shared" si="62"/>
        <v>-9.2487080959325436E-4</v>
      </c>
      <c r="K696" s="5">
        <v>45260</v>
      </c>
      <c r="L696" s="8">
        <f t="shared" si="60"/>
        <v>3.3265300713024916E-4</v>
      </c>
      <c r="M696" s="5">
        <v>45260</v>
      </c>
      <c r="N696" s="9">
        <f t="shared" si="61"/>
        <v>-5.9221780246300525E-4</v>
      </c>
      <c r="O696" s="5">
        <v>45260</v>
      </c>
      <c r="P696">
        <f t="shared" si="63"/>
        <v>0.99895467752000211</v>
      </c>
      <c r="Q696" s="6">
        <f t="shared" si="64"/>
        <v>1.000010000100001</v>
      </c>
      <c r="R696">
        <f t="shared" si="65"/>
        <v>-1.0558692605814517E-3</v>
      </c>
      <c r="T696" s="5">
        <v>45260</v>
      </c>
      <c r="U696" s="1">
        <v>-1.0558692605814517E-3</v>
      </c>
    </row>
    <row r="697" spans="3:21" x14ac:dyDescent="0.2">
      <c r="C697" s="5">
        <v>45261</v>
      </c>
      <c r="D697" s="6">
        <v>1.0000100000000001</v>
      </c>
      <c r="E697" s="6">
        <v>38699.919999999998</v>
      </c>
      <c r="F697" s="6">
        <v>38706.5</v>
      </c>
      <c r="G697" s="6">
        <v>38721.19</v>
      </c>
      <c r="H697" s="6">
        <v>38677.599999999999</v>
      </c>
      <c r="I697" s="5">
        <v>45261</v>
      </c>
      <c r="J697" s="7">
        <f t="shared" si="62"/>
        <v>-5.7674537828501218E-4</v>
      </c>
      <c r="K697" s="5">
        <v>45261</v>
      </c>
      <c r="L697" s="8">
        <f t="shared" si="60"/>
        <v>3.7952281916479993E-4</v>
      </c>
      <c r="M697" s="5">
        <v>45261</v>
      </c>
      <c r="N697" s="9">
        <f t="shared" si="61"/>
        <v>-1.9722255912021225E-4</v>
      </c>
      <c r="O697" s="5">
        <v>45261</v>
      </c>
      <c r="P697">
        <f t="shared" si="63"/>
        <v>0.99887425980451527</v>
      </c>
      <c r="Q697" s="6">
        <f t="shared" si="64"/>
        <v>0.99999000009999894</v>
      </c>
      <c r="R697">
        <f t="shared" si="65"/>
        <v>-1.1163743669269175E-3</v>
      </c>
      <c r="T697" s="5">
        <v>45261</v>
      </c>
      <c r="U697" s="1">
        <v>-1.1163743669269175E-3</v>
      </c>
    </row>
    <row r="698" spans="3:21" x14ac:dyDescent="0.2">
      <c r="C698" s="5">
        <v>45262</v>
      </c>
      <c r="D698" s="6">
        <v>0.99997000000000003</v>
      </c>
      <c r="E698" s="6">
        <v>39465.75</v>
      </c>
      <c r="F698" s="6">
        <v>39481.5</v>
      </c>
      <c r="G698" s="6">
        <v>39498.870000000003</v>
      </c>
      <c r="H698" s="6">
        <v>39458.699999999997</v>
      </c>
      <c r="I698" s="5">
        <v>45262</v>
      </c>
      <c r="J698" s="7">
        <f t="shared" si="62"/>
        <v>-1.7863590581714299E-4</v>
      </c>
      <c r="K698" s="5">
        <v>45262</v>
      </c>
      <c r="L698" s="8">
        <f t="shared" si="60"/>
        <v>4.3995288932797944E-4</v>
      </c>
      <c r="M698" s="5">
        <v>45262</v>
      </c>
      <c r="N698" s="9">
        <f t="shared" si="61"/>
        <v>2.6131698351083646E-4</v>
      </c>
      <c r="O698" s="5">
        <v>45262</v>
      </c>
      <c r="P698">
        <f t="shared" si="63"/>
        <v>0.99898300888101343</v>
      </c>
      <c r="Q698" s="6">
        <f t="shared" si="64"/>
        <v>1.0000300009000269</v>
      </c>
      <c r="R698">
        <f t="shared" si="65"/>
        <v>-1.0475090553459625E-3</v>
      </c>
      <c r="T698" s="5">
        <v>45262</v>
      </c>
      <c r="U698" s="1">
        <v>-1.0475090553459625E-3</v>
      </c>
    </row>
    <row r="699" spans="3:21" x14ac:dyDescent="0.2">
      <c r="C699" s="5">
        <v>45263</v>
      </c>
      <c r="D699" s="6">
        <v>1.00003</v>
      </c>
      <c r="E699" s="6">
        <v>39982.9</v>
      </c>
      <c r="F699" s="6">
        <v>40027</v>
      </c>
      <c r="G699" s="6">
        <v>39985.86</v>
      </c>
      <c r="H699" s="6">
        <v>39999.300000000003</v>
      </c>
      <c r="I699" s="5">
        <v>45263</v>
      </c>
      <c r="J699" s="7">
        <f t="shared" si="62"/>
        <v>4.1017534996214518E-4</v>
      </c>
      <c r="K699" s="5">
        <v>45263</v>
      </c>
      <c r="L699" s="8">
        <f t="shared" si="60"/>
        <v>-1.0278062307941993E-3</v>
      </c>
      <c r="M699" s="5">
        <v>45263</v>
      </c>
      <c r="N699" s="9">
        <f t="shared" si="61"/>
        <v>-6.1763088083205409E-4</v>
      </c>
      <c r="O699" s="5">
        <v>45263</v>
      </c>
      <c r="P699">
        <f t="shared" si="63"/>
        <v>1.0003361188180022</v>
      </c>
      <c r="Q699" s="6">
        <f t="shared" si="64"/>
        <v>0.99997000089997301</v>
      </c>
      <c r="R699">
        <f t="shared" si="65"/>
        <v>3.660618927359752E-4</v>
      </c>
      <c r="T699" s="5">
        <v>45263</v>
      </c>
      <c r="U699" s="1">
        <v>3.660618927359752E-4</v>
      </c>
    </row>
    <row r="700" spans="3:21" x14ac:dyDescent="0.2">
      <c r="C700" s="5">
        <v>45264</v>
      </c>
      <c r="D700" s="6">
        <v>1.0000100000000001</v>
      </c>
      <c r="E700" s="6">
        <v>41988</v>
      </c>
      <c r="F700" s="6">
        <v>42004</v>
      </c>
      <c r="G700" s="6">
        <v>42030.65</v>
      </c>
      <c r="H700" s="6">
        <v>41999.8</v>
      </c>
      <c r="I700" s="5">
        <v>45264</v>
      </c>
      <c r="J700" s="7">
        <f t="shared" si="62"/>
        <v>2.8103267600273677E-4</v>
      </c>
      <c r="K700" s="5">
        <v>45264</v>
      </c>
      <c r="L700" s="8">
        <f t="shared" si="60"/>
        <v>6.344633844396118E-4</v>
      </c>
      <c r="M700" s="5">
        <v>45264</v>
      </c>
      <c r="N700" s="9">
        <f t="shared" si="61"/>
        <v>9.1549606044234863E-4</v>
      </c>
      <c r="O700" s="5">
        <v>45264</v>
      </c>
      <c r="P700">
        <f t="shared" si="63"/>
        <v>0.99926601182708341</v>
      </c>
      <c r="Q700" s="6">
        <f t="shared" si="64"/>
        <v>0.99999000009999894</v>
      </c>
      <c r="R700">
        <f t="shared" si="65"/>
        <v>-7.2425772411701913E-4</v>
      </c>
      <c r="T700" s="5">
        <v>45264</v>
      </c>
      <c r="U700" s="1">
        <v>-7.2425772411701913E-4</v>
      </c>
    </row>
    <row r="701" spans="3:21" x14ac:dyDescent="0.2">
      <c r="C701" s="5">
        <v>45265</v>
      </c>
      <c r="D701" s="6">
        <v>1.00004</v>
      </c>
      <c r="E701" s="6">
        <v>44089.99</v>
      </c>
      <c r="F701" s="6">
        <v>44102</v>
      </c>
      <c r="G701" s="6">
        <v>44110.11</v>
      </c>
      <c r="H701" s="6">
        <v>44081.4</v>
      </c>
      <c r="I701" s="5">
        <v>45265</v>
      </c>
      <c r="J701" s="7">
        <f t="shared" si="62"/>
        <v>-1.9482880354467099E-4</v>
      </c>
      <c r="K701" s="5">
        <v>45265</v>
      </c>
      <c r="L701" s="8">
        <f t="shared" si="60"/>
        <v>1.8389188698926539E-4</v>
      </c>
      <c r="M701" s="5">
        <v>45265</v>
      </c>
      <c r="N701" s="9">
        <f t="shared" si="61"/>
        <v>-1.0936916555405593E-5</v>
      </c>
      <c r="O701" s="5">
        <v>45265</v>
      </c>
      <c r="P701">
        <f t="shared" si="63"/>
        <v>0.99934912880516502</v>
      </c>
      <c r="Q701" s="6">
        <f t="shared" si="64"/>
        <v>0.99996000159993592</v>
      </c>
      <c r="R701">
        <f t="shared" si="65"/>
        <v>-6.1108390342479743E-4</v>
      </c>
      <c r="T701" s="5">
        <v>45265</v>
      </c>
      <c r="U701" s="1">
        <v>-6.1108390342479743E-4</v>
      </c>
    </row>
    <row r="702" spans="3:21" x14ac:dyDescent="0.2">
      <c r="C702" s="5">
        <v>45266</v>
      </c>
      <c r="D702" s="6">
        <v>1.00004</v>
      </c>
      <c r="E702" s="6">
        <v>43766</v>
      </c>
      <c r="F702" s="6">
        <v>43780.5</v>
      </c>
      <c r="G702" s="6">
        <v>43792.52</v>
      </c>
      <c r="H702" s="6">
        <v>43763.3</v>
      </c>
      <c r="I702" s="5">
        <v>45266</v>
      </c>
      <c r="J702" s="7">
        <f t="shared" si="62"/>
        <v>-6.1691724169380104E-5</v>
      </c>
      <c r="K702" s="5">
        <v>45266</v>
      </c>
      <c r="L702" s="8">
        <f t="shared" si="60"/>
        <v>2.7455145555662448E-4</v>
      </c>
      <c r="M702" s="5">
        <v>45266</v>
      </c>
      <c r="N702" s="9">
        <f t="shared" si="61"/>
        <v>2.1285973138724436E-4</v>
      </c>
      <c r="O702" s="5">
        <v>45266</v>
      </c>
      <c r="P702">
        <f t="shared" si="63"/>
        <v>0.99933276276405203</v>
      </c>
      <c r="Q702" s="6">
        <f t="shared" si="64"/>
        <v>0.99996000159993592</v>
      </c>
      <c r="R702">
        <f t="shared" si="65"/>
        <v>-6.2746073775988794E-4</v>
      </c>
      <c r="T702" s="5">
        <v>45266</v>
      </c>
      <c r="U702" s="1">
        <v>-6.2746073775988794E-4</v>
      </c>
    </row>
    <row r="703" spans="3:21" x14ac:dyDescent="0.2">
      <c r="C703" s="5">
        <v>45267</v>
      </c>
      <c r="D703" s="6">
        <v>1</v>
      </c>
      <c r="E703" s="6">
        <v>43279</v>
      </c>
      <c r="F703" s="6">
        <v>43319</v>
      </c>
      <c r="G703" s="6">
        <v>43322.21</v>
      </c>
      <c r="H703" s="6">
        <v>43324.800000000003</v>
      </c>
      <c r="I703" s="5">
        <v>45267</v>
      </c>
      <c r="J703" s="7">
        <f t="shared" si="62"/>
        <v>1.0582499595647521E-3</v>
      </c>
      <c r="K703" s="5">
        <v>45267</v>
      </c>
      <c r="L703" s="8">
        <f t="shared" si="60"/>
        <v>7.4101433551077513E-5</v>
      </c>
      <c r="M703" s="5">
        <v>45267</v>
      </c>
      <c r="N703" s="9">
        <f t="shared" si="61"/>
        <v>1.1323513931158296E-3</v>
      </c>
      <c r="O703" s="5">
        <v>45267</v>
      </c>
      <c r="P703">
        <f t="shared" si="63"/>
        <v>1.0000597845770103</v>
      </c>
      <c r="Q703" s="6">
        <f t="shared" si="64"/>
        <v>1</v>
      </c>
      <c r="R703">
        <f t="shared" si="65"/>
        <v>5.9782789983679978E-5</v>
      </c>
      <c r="T703" s="5">
        <v>45267</v>
      </c>
      <c r="U703" s="1">
        <v>5.9782789983679978E-5</v>
      </c>
    </row>
    <row r="704" spans="3:21" x14ac:dyDescent="0.2">
      <c r="C704" s="5">
        <v>45268</v>
      </c>
      <c r="D704" s="6">
        <v>0.99999000000000005</v>
      </c>
      <c r="E704" s="6">
        <v>44190.07</v>
      </c>
      <c r="F704" s="6">
        <v>44198</v>
      </c>
      <c r="G704" s="6">
        <v>44237.47</v>
      </c>
      <c r="H704" s="6">
        <v>44192.800000000003</v>
      </c>
      <c r="I704" s="5">
        <v>45268</v>
      </c>
      <c r="J704" s="7">
        <f t="shared" si="62"/>
        <v>6.1778585098489356E-5</v>
      </c>
      <c r="K704" s="5">
        <v>45268</v>
      </c>
      <c r="L704" s="8">
        <f t="shared" si="60"/>
        <v>8.9302683379341061E-4</v>
      </c>
      <c r="M704" s="5">
        <v>45268</v>
      </c>
      <c r="N704" s="9">
        <f t="shared" si="61"/>
        <v>9.5480541889189998E-4</v>
      </c>
      <c r="O704" s="5">
        <v>45268</v>
      </c>
      <c r="P704">
        <f t="shared" si="63"/>
        <v>0.99899022254211189</v>
      </c>
      <c r="Q704" s="6">
        <f t="shared" si="64"/>
        <v>1.000010000100001</v>
      </c>
      <c r="R704">
        <f t="shared" si="65"/>
        <v>-1.0202876766124188E-3</v>
      </c>
      <c r="T704" s="5">
        <v>45268</v>
      </c>
      <c r="U704" s="1">
        <v>-1.0202876766124188E-3</v>
      </c>
    </row>
    <row r="705" spans="3:21" x14ac:dyDescent="0.2">
      <c r="C705" s="5">
        <v>45269</v>
      </c>
      <c r="D705" s="6">
        <v>0.99999000000000005</v>
      </c>
      <c r="E705" s="6">
        <v>43723</v>
      </c>
      <c r="F705" s="6">
        <v>43753.5</v>
      </c>
      <c r="G705" s="6">
        <v>43786.46</v>
      </c>
      <c r="H705" s="6">
        <v>43762.1</v>
      </c>
      <c r="I705" s="5">
        <v>45269</v>
      </c>
      <c r="J705" s="7">
        <f t="shared" si="62"/>
        <v>8.9426617569696827E-4</v>
      </c>
      <c r="K705" s="5">
        <v>45269</v>
      </c>
      <c r="L705" s="8">
        <f t="shared" si="60"/>
        <v>7.5331116367831439E-4</v>
      </c>
      <c r="M705" s="5">
        <v>45269</v>
      </c>
      <c r="N705" s="9">
        <f t="shared" si="61"/>
        <v>1.6475773393752825E-3</v>
      </c>
      <c r="O705" s="5">
        <v>45269</v>
      </c>
      <c r="P705">
        <f t="shared" si="63"/>
        <v>0.99944366363483128</v>
      </c>
      <c r="Q705" s="6">
        <f t="shared" si="64"/>
        <v>1.000010000100001</v>
      </c>
      <c r="R705">
        <f t="shared" si="65"/>
        <v>-5.6649122766581526E-4</v>
      </c>
      <c r="T705" s="5">
        <v>45269</v>
      </c>
      <c r="U705" s="1">
        <v>-5.6649122766581526E-4</v>
      </c>
    </row>
    <row r="706" spans="3:21" x14ac:dyDescent="0.2">
      <c r="C706" s="5">
        <v>45270</v>
      </c>
      <c r="D706" s="6">
        <v>0.99999000000000005</v>
      </c>
      <c r="E706" s="6">
        <v>43791</v>
      </c>
      <c r="F706" s="6">
        <v>43841.5</v>
      </c>
      <c r="G706" s="6">
        <v>43831.67</v>
      </c>
      <c r="H706" s="6">
        <v>43825.9</v>
      </c>
      <c r="I706" s="5">
        <v>45270</v>
      </c>
      <c r="J706" s="7">
        <f t="shared" si="62"/>
        <v>7.9696741339547984E-4</v>
      </c>
      <c r="K706" s="5">
        <v>45270</v>
      </c>
      <c r="L706" s="8">
        <f t="shared" si="60"/>
        <v>-2.2421678090397788E-4</v>
      </c>
      <c r="M706" s="5">
        <v>45270</v>
      </c>
      <c r="N706" s="9">
        <f t="shared" si="61"/>
        <v>5.7275063249150201E-4</v>
      </c>
      <c r="O706" s="5">
        <v>45270</v>
      </c>
      <c r="P706">
        <f t="shared" si="63"/>
        <v>0.99986836002369983</v>
      </c>
      <c r="Q706" s="6">
        <f t="shared" si="64"/>
        <v>1.000010000100001</v>
      </c>
      <c r="R706">
        <f t="shared" si="65"/>
        <v>-1.4164869160260767E-4</v>
      </c>
      <c r="T706" s="5">
        <v>45270</v>
      </c>
      <c r="U706" s="1">
        <v>-1.4164869160260767E-4</v>
      </c>
    </row>
    <row r="707" spans="3:21" x14ac:dyDescent="0.2">
      <c r="C707" s="5">
        <v>45271</v>
      </c>
      <c r="D707" s="6">
        <v>1</v>
      </c>
      <c r="E707" s="6">
        <v>41227.58</v>
      </c>
      <c r="F707" s="6">
        <v>41245</v>
      </c>
      <c r="G707" s="6">
        <v>41288</v>
      </c>
      <c r="H707" s="6">
        <v>41270.5</v>
      </c>
      <c r="I707" s="5">
        <v>45271</v>
      </c>
      <c r="J707" s="7">
        <f t="shared" si="62"/>
        <v>1.0410506753003269E-3</v>
      </c>
      <c r="K707" s="5">
        <v>45271</v>
      </c>
      <c r="L707" s="8">
        <f t="shared" si="60"/>
        <v>1.0425506121954176E-3</v>
      </c>
      <c r="M707" s="5">
        <v>45271</v>
      </c>
      <c r="N707" s="9">
        <f t="shared" si="61"/>
        <v>2.0836012874957443E-3</v>
      </c>
      <c r="O707" s="5">
        <v>45271</v>
      </c>
      <c r="P707">
        <f t="shared" si="63"/>
        <v>0.99957614803332684</v>
      </c>
      <c r="Q707" s="6">
        <f t="shared" si="64"/>
        <v>1</v>
      </c>
      <c r="R707">
        <f t="shared" si="65"/>
        <v>-4.2394181730779653E-4</v>
      </c>
      <c r="T707" s="5">
        <v>45271</v>
      </c>
      <c r="U707" s="1">
        <v>-4.2394181730779653E-4</v>
      </c>
    </row>
    <row r="708" spans="3:21" x14ac:dyDescent="0.2">
      <c r="C708" s="5">
        <v>45272</v>
      </c>
      <c r="D708" s="6">
        <v>1.00004</v>
      </c>
      <c r="E708" s="6">
        <v>41474.800000000003</v>
      </c>
      <c r="F708" s="6">
        <v>41499.5</v>
      </c>
      <c r="G708" s="6">
        <v>41512.06</v>
      </c>
      <c r="H708" s="6">
        <v>41477.800000000003</v>
      </c>
      <c r="I708" s="5">
        <v>45272</v>
      </c>
      <c r="J708" s="7">
        <f t="shared" si="62"/>
        <v>7.2333079363854667E-5</v>
      </c>
      <c r="K708" s="5">
        <v>45272</v>
      </c>
      <c r="L708" s="8">
        <f t="shared" si="60"/>
        <v>3.0265424884631554E-4</v>
      </c>
      <c r="M708" s="5">
        <v>45272</v>
      </c>
      <c r="N708" s="9">
        <f t="shared" si="61"/>
        <v>3.7498732821017022E-4</v>
      </c>
      <c r="O708" s="5">
        <v>45272</v>
      </c>
      <c r="P708">
        <f t="shared" si="63"/>
        <v>0.99917469766617228</v>
      </c>
      <c r="Q708" s="6">
        <f t="shared" si="64"/>
        <v>0.99996000159993592</v>
      </c>
      <c r="R708">
        <f t="shared" si="65"/>
        <v>-7.8564388327116697E-4</v>
      </c>
      <c r="T708" s="5">
        <v>45272</v>
      </c>
      <c r="U708" s="1">
        <v>-7.8564388327116697E-4</v>
      </c>
    </row>
    <row r="709" spans="3:21" x14ac:dyDescent="0.2">
      <c r="C709" s="5">
        <v>45273</v>
      </c>
      <c r="D709" s="6">
        <v>1.0000100000000001</v>
      </c>
      <c r="E709" s="6">
        <v>42876.58</v>
      </c>
      <c r="F709" s="6">
        <v>42894</v>
      </c>
      <c r="G709" s="6">
        <v>42956.27</v>
      </c>
      <c r="H709" s="6">
        <v>42878</v>
      </c>
      <c r="I709" s="5">
        <v>45273</v>
      </c>
      <c r="J709" s="7">
        <f t="shared" si="62"/>
        <v>3.3118313074369588E-5</v>
      </c>
      <c r="K709" s="5">
        <v>45273</v>
      </c>
      <c r="L709" s="8">
        <f t="shared" si="60"/>
        <v>1.4517181890240313E-3</v>
      </c>
      <c r="M709" s="5">
        <v>45273</v>
      </c>
      <c r="N709" s="9">
        <f t="shared" si="61"/>
        <v>1.4848365020984008E-3</v>
      </c>
      <c r="O709" s="5">
        <v>45273</v>
      </c>
      <c r="P709">
        <f t="shared" si="63"/>
        <v>0.99817791442320303</v>
      </c>
      <c r="Q709" s="6">
        <f t="shared" si="64"/>
        <v>0.99999000009999894</v>
      </c>
      <c r="R709">
        <f t="shared" si="65"/>
        <v>-1.813747643919682E-3</v>
      </c>
      <c r="T709" s="5">
        <v>45273</v>
      </c>
      <c r="U709" s="1">
        <v>-1.813747643919682E-3</v>
      </c>
    </row>
    <row r="710" spans="3:21" x14ac:dyDescent="0.2">
      <c r="C710" s="5">
        <v>45274</v>
      </c>
      <c r="D710" s="6">
        <v>1.0000100000000001</v>
      </c>
      <c r="E710" s="6">
        <v>43032.02</v>
      </c>
      <c r="F710" s="6">
        <v>43049.5</v>
      </c>
      <c r="G710" s="6">
        <v>43040.38</v>
      </c>
      <c r="H710" s="6">
        <v>43044.800000000003</v>
      </c>
      <c r="I710" s="5">
        <v>45274</v>
      </c>
      <c r="J710" s="7">
        <f t="shared" si="62"/>
        <v>2.9698814975467365E-4</v>
      </c>
      <c r="K710" s="5">
        <v>45274</v>
      </c>
      <c r="L710" s="8">
        <f t="shared" si="60"/>
        <v>-2.1184915039669728E-4</v>
      </c>
      <c r="M710" s="5">
        <v>45274</v>
      </c>
      <c r="N710" s="9">
        <f t="shared" si="61"/>
        <v>8.5138999357976374E-5</v>
      </c>
      <c r="O710" s="5">
        <v>45274</v>
      </c>
      <c r="P710">
        <f t="shared" si="63"/>
        <v>1.0001026942605991</v>
      </c>
      <c r="Q710" s="6">
        <f t="shared" si="64"/>
        <v>0.99999000009999894</v>
      </c>
      <c r="R710">
        <f t="shared" si="65"/>
        <v>1.1268893790478105E-4</v>
      </c>
      <c r="T710" s="5">
        <v>45274</v>
      </c>
      <c r="U710" s="1">
        <v>1.1268893790478105E-4</v>
      </c>
    </row>
    <row r="711" spans="3:21" x14ac:dyDescent="0.2">
      <c r="C711" s="5">
        <v>45275</v>
      </c>
      <c r="D711" s="6">
        <v>1.0000100000000001</v>
      </c>
      <c r="E711" s="6">
        <v>41942</v>
      </c>
      <c r="F711" s="6">
        <v>41969.5</v>
      </c>
      <c r="G711" s="6">
        <v>41958.22</v>
      </c>
      <c r="H711" s="6">
        <v>41972.6</v>
      </c>
      <c r="I711" s="5">
        <v>45275</v>
      </c>
      <c r="J711" s="7">
        <f t="shared" si="62"/>
        <v>7.2957894234892344E-4</v>
      </c>
      <c r="K711" s="5">
        <v>45275</v>
      </c>
      <c r="L711" s="8">
        <f t="shared" si="60"/>
        <v>-2.6876660431977595E-4</v>
      </c>
      <c r="M711" s="5">
        <v>45275</v>
      </c>
      <c r="N711" s="9">
        <f t="shared" si="61"/>
        <v>4.6081233802914748E-4</v>
      </c>
      <c r="O711" s="5">
        <v>45275</v>
      </c>
      <c r="P711">
        <f t="shared" si="63"/>
        <v>1.0003427218790502</v>
      </c>
      <c r="Q711" s="6">
        <f t="shared" si="64"/>
        <v>0.99999000009999894</v>
      </c>
      <c r="R711">
        <f t="shared" si="65"/>
        <v>3.5266311332236584E-4</v>
      </c>
      <c r="T711" s="5">
        <v>45275</v>
      </c>
      <c r="U711" s="1">
        <v>3.5266311332236584E-4</v>
      </c>
    </row>
    <row r="712" spans="3:21" x14ac:dyDescent="0.2">
      <c r="C712" s="5">
        <v>45276</v>
      </c>
      <c r="D712" s="6">
        <v>1</v>
      </c>
      <c r="E712" s="6">
        <v>42243.08</v>
      </c>
      <c r="F712" s="6">
        <v>42278.5</v>
      </c>
      <c r="G712" s="6">
        <v>42210.7</v>
      </c>
      <c r="H712" s="6">
        <v>42265.5</v>
      </c>
      <c r="I712" s="5">
        <v>45276</v>
      </c>
      <c r="J712" s="7">
        <f t="shared" si="62"/>
        <v>5.3073781551909224E-4</v>
      </c>
      <c r="K712" s="5">
        <v>45276</v>
      </c>
      <c r="L712" s="8">
        <f t="shared" si="60"/>
        <v>-1.6036519744078647E-3</v>
      </c>
      <c r="M712" s="5">
        <v>45276</v>
      </c>
      <c r="N712" s="9">
        <f t="shared" si="61"/>
        <v>-1.0729141588887725E-3</v>
      </c>
      <c r="O712" s="5">
        <v>45276</v>
      </c>
      <c r="P712">
        <f t="shared" si="63"/>
        <v>1.0012982490221674</v>
      </c>
      <c r="Q712" s="6">
        <f t="shared" si="64"/>
        <v>1</v>
      </c>
      <c r="R712">
        <f t="shared" si="65"/>
        <v>1.297407025574289E-3</v>
      </c>
      <c r="T712" s="5">
        <v>45276</v>
      </c>
      <c r="U712" s="1">
        <v>1.297407025574289E-3</v>
      </c>
    </row>
    <row r="713" spans="3:21" x14ac:dyDescent="0.2">
      <c r="C713" s="5">
        <v>45277</v>
      </c>
      <c r="D713" s="6">
        <v>1.0000100000000001</v>
      </c>
      <c r="E713" s="6">
        <v>41341.99</v>
      </c>
      <c r="F713" s="6">
        <v>41353</v>
      </c>
      <c r="G713" s="6">
        <v>41362</v>
      </c>
      <c r="H713" s="6">
        <v>41359.9</v>
      </c>
      <c r="I713" s="5">
        <v>45277</v>
      </c>
      <c r="J713" s="7">
        <f t="shared" si="62"/>
        <v>4.3321572086886707E-4</v>
      </c>
      <c r="K713" s="5">
        <v>45277</v>
      </c>
      <c r="L713" s="8">
        <f t="shared" si="60"/>
        <v>2.1763838173772157E-4</v>
      </c>
      <c r="M713" s="5">
        <v>45277</v>
      </c>
      <c r="N713" s="9">
        <f t="shared" si="61"/>
        <v>6.5085410260658867E-4</v>
      </c>
      <c r="O713" s="5">
        <v>45277</v>
      </c>
      <c r="P713">
        <f t="shared" si="63"/>
        <v>0.99994922876069825</v>
      </c>
      <c r="Q713" s="6">
        <f t="shared" si="64"/>
        <v>0.99999000009999894</v>
      </c>
      <c r="R713">
        <f t="shared" si="65"/>
        <v>-4.0772578204382324E-5</v>
      </c>
      <c r="T713" s="5">
        <v>45277</v>
      </c>
      <c r="U713" s="1">
        <v>-4.0772578204382324E-5</v>
      </c>
    </row>
    <row r="714" spans="3:21" x14ac:dyDescent="0.2">
      <c r="C714" s="5">
        <v>45278</v>
      </c>
      <c r="D714" s="6">
        <v>1.00004</v>
      </c>
      <c r="E714" s="6">
        <v>42642.400000000001</v>
      </c>
      <c r="F714" s="6">
        <v>42682</v>
      </c>
      <c r="G714" s="6">
        <v>42642.44</v>
      </c>
      <c r="H714" s="6">
        <v>42659.199999999997</v>
      </c>
      <c r="I714" s="5">
        <v>45278</v>
      </c>
      <c r="J714" s="7">
        <f t="shared" si="62"/>
        <v>3.9397407275377637E-4</v>
      </c>
      <c r="K714" s="5">
        <v>45278</v>
      </c>
      <c r="L714" s="8">
        <f t="shared" si="60"/>
        <v>-9.2685441169574224E-4</v>
      </c>
      <c r="M714" s="5">
        <v>45278</v>
      </c>
      <c r="N714" s="9">
        <f t="shared" si="61"/>
        <v>-5.3288033894196586E-4</v>
      </c>
      <c r="O714" s="5">
        <v>45278</v>
      </c>
      <c r="P714">
        <f t="shared" si="63"/>
        <v>1.0003930356705666</v>
      </c>
      <c r="Q714" s="6">
        <f t="shared" si="64"/>
        <v>0.99996000159993592</v>
      </c>
      <c r="R714">
        <f t="shared" si="65"/>
        <v>4.3295765230116136E-4</v>
      </c>
      <c r="T714" s="5">
        <v>45278</v>
      </c>
      <c r="U714" s="1">
        <v>4.3295765230116136E-4</v>
      </c>
    </row>
    <row r="715" spans="3:21" x14ac:dyDescent="0.2">
      <c r="C715" s="5">
        <v>45279</v>
      </c>
      <c r="D715" s="6">
        <v>0.99999000000000005</v>
      </c>
      <c r="E715" s="6">
        <v>42262.31</v>
      </c>
      <c r="F715" s="6">
        <v>42291.5</v>
      </c>
      <c r="G715" s="6">
        <v>42269.1</v>
      </c>
      <c r="H715" s="6">
        <v>42275.1</v>
      </c>
      <c r="I715" s="5">
        <v>45279</v>
      </c>
      <c r="J715" s="7">
        <f t="shared" si="62"/>
        <v>3.026337178445966E-4</v>
      </c>
      <c r="K715" s="5">
        <v>45279</v>
      </c>
      <c r="L715" s="8">
        <f t="shared" ref="L715:L778" si="66">(G715-F715)/F715</f>
        <v>-5.2965725973307771E-4</v>
      </c>
      <c r="M715" s="5">
        <v>45279</v>
      </c>
      <c r="N715" s="9">
        <f t="shared" ref="N715:N778" si="67">J715+L715</f>
        <v>-2.2702354188848111E-4</v>
      </c>
      <c r="O715" s="5">
        <v>45279</v>
      </c>
      <c r="P715">
        <f t="shared" si="63"/>
        <v>1.0001419476638964</v>
      </c>
      <c r="Q715" s="6">
        <f t="shared" si="64"/>
        <v>1.000010000100001</v>
      </c>
      <c r="R715">
        <f t="shared" si="65"/>
        <v>1.3193754027974734E-4</v>
      </c>
      <c r="T715" s="5">
        <v>45279</v>
      </c>
      <c r="U715" s="1">
        <v>1.3193754027974734E-4</v>
      </c>
    </row>
    <row r="716" spans="3:21" x14ac:dyDescent="0.2">
      <c r="C716" s="5">
        <v>45280</v>
      </c>
      <c r="D716" s="6">
        <v>0.99999000000000005</v>
      </c>
      <c r="E716" s="6">
        <v>43670.59</v>
      </c>
      <c r="F716" s="6">
        <v>43699.5</v>
      </c>
      <c r="G716" s="6">
        <v>43688.22</v>
      </c>
      <c r="H716" s="6">
        <v>43697.3</v>
      </c>
      <c r="I716" s="5">
        <v>45280</v>
      </c>
      <c r="J716" s="7">
        <f t="shared" ref="J716:J779" si="68">(H716-E716)/E716</f>
        <v>6.1162443649161614E-4</v>
      </c>
      <c r="K716" s="5">
        <v>45280</v>
      </c>
      <c r="L716" s="8">
        <f t="shared" si="66"/>
        <v>-2.5812652318673749E-4</v>
      </c>
      <c r="M716" s="5">
        <v>45280</v>
      </c>
      <c r="N716" s="9">
        <f t="shared" si="67"/>
        <v>3.5349791330487864E-4</v>
      </c>
      <c r="O716" s="5">
        <v>45280</v>
      </c>
      <c r="P716">
        <f t="shared" ref="P716:P779" si="69">(1/G716)*H716</f>
        <v>1.000207836345816</v>
      </c>
      <c r="Q716" s="6">
        <f t="shared" ref="Q716:Q779" si="70">1/D716</f>
        <v>1.000010000100001</v>
      </c>
      <c r="R716">
        <f t="shared" ref="R716:R779" si="71">LN(P716/Q716)</f>
        <v>1.9781470083457886E-4</v>
      </c>
      <c r="T716" s="5">
        <v>45280</v>
      </c>
      <c r="U716" s="1">
        <v>1.9781470083457886E-4</v>
      </c>
    </row>
    <row r="717" spans="3:21" x14ac:dyDescent="0.2">
      <c r="C717" s="5">
        <v>45281</v>
      </c>
      <c r="D717" s="6">
        <v>1.0000100000000001</v>
      </c>
      <c r="E717" s="6">
        <v>43866.94</v>
      </c>
      <c r="F717" s="6">
        <v>43906.5</v>
      </c>
      <c r="G717" s="6">
        <v>43891.28</v>
      </c>
      <c r="H717" s="6">
        <v>43912.5</v>
      </c>
      <c r="I717" s="5">
        <v>45281</v>
      </c>
      <c r="J717" s="7">
        <f t="shared" si="68"/>
        <v>1.0385953522173571E-3</v>
      </c>
      <c r="K717" s="5">
        <v>45281</v>
      </c>
      <c r="L717" s="8">
        <f t="shared" si="66"/>
        <v>-3.4664571304934724E-4</v>
      </c>
      <c r="M717" s="5">
        <v>45281</v>
      </c>
      <c r="N717" s="9">
        <f t="shared" si="67"/>
        <v>6.9194963916800983E-4</v>
      </c>
      <c r="O717" s="5">
        <v>45281</v>
      </c>
      <c r="P717">
        <f t="shared" si="69"/>
        <v>1.0004834673310963</v>
      </c>
      <c r="Q717" s="6">
        <f t="shared" si="70"/>
        <v>0.99999000009999894</v>
      </c>
      <c r="R717">
        <f t="shared" si="71"/>
        <v>4.9335044842157855E-4</v>
      </c>
      <c r="T717" s="5">
        <v>45281</v>
      </c>
      <c r="U717" s="1">
        <v>4.9335044842157855E-4</v>
      </c>
    </row>
    <row r="718" spans="3:21" x14ac:dyDescent="0.2">
      <c r="C718" s="5">
        <v>45282</v>
      </c>
      <c r="D718" s="6">
        <v>0.99999000000000005</v>
      </c>
      <c r="E718" s="6">
        <v>44003</v>
      </c>
      <c r="F718" s="6">
        <v>44046</v>
      </c>
      <c r="G718" s="6">
        <v>44070.06</v>
      </c>
      <c r="H718" s="6">
        <v>44031.5</v>
      </c>
      <c r="I718" s="5">
        <v>45282</v>
      </c>
      <c r="J718" s="7">
        <f t="shared" si="68"/>
        <v>6.4768311251505578E-4</v>
      </c>
      <c r="K718" s="5">
        <v>45282</v>
      </c>
      <c r="L718" s="8">
        <f t="shared" si="66"/>
        <v>5.4624710529895275E-4</v>
      </c>
      <c r="M718" s="5">
        <v>45282</v>
      </c>
      <c r="N718" s="9">
        <f t="shared" si="67"/>
        <v>1.1939302178140085E-3</v>
      </c>
      <c r="O718" s="5">
        <v>45282</v>
      </c>
      <c r="P718">
        <f t="shared" si="69"/>
        <v>0.99912502955521276</v>
      </c>
      <c r="Q718" s="6">
        <f t="shared" si="70"/>
        <v>1.000010000100001</v>
      </c>
      <c r="R718">
        <f t="shared" si="71"/>
        <v>-8.8535350485848582E-4</v>
      </c>
      <c r="T718" s="5">
        <v>45282</v>
      </c>
      <c r="U718" s="1">
        <v>-8.8535350485848582E-4</v>
      </c>
    </row>
    <row r="719" spans="3:21" x14ac:dyDescent="0.2">
      <c r="C719" s="5">
        <v>45283</v>
      </c>
      <c r="D719" s="6">
        <v>1.0000100000000001</v>
      </c>
      <c r="E719" s="6">
        <v>43720</v>
      </c>
      <c r="F719" s="6">
        <v>43737</v>
      </c>
      <c r="G719" s="6">
        <v>43982.75</v>
      </c>
      <c r="H719" s="6">
        <v>43752.2</v>
      </c>
      <c r="I719" s="5">
        <v>45283</v>
      </c>
      <c r="J719" s="7">
        <f t="shared" si="68"/>
        <v>7.3650503202189136E-4</v>
      </c>
      <c r="K719" s="5">
        <v>45283</v>
      </c>
      <c r="L719" s="8">
        <f t="shared" si="66"/>
        <v>5.618812447127146E-3</v>
      </c>
      <c r="M719" s="5">
        <v>45283</v>
      </c>
      <c r="N719" s="9">
        <f t="shared" si="67"/>
        <v>6.3553174791490374E-3</v>
      </c>
      <c r="O719" s="5">
        <v>45283</v>
      </c>
      <c r="P719">
        <f t="shared" si="69"/>
        <v>0.99475817223797958</v>
      </c>
      <c r="Q719" s="6">
        <f t="shared" si="70"/>
        <v>0.99999000009999894</v>
      </c>
      <c r="R719">
        <f t="shared" si="71"/>
        <v>-5.2456143901795094E-3</v>
      </c>
      <c r="T719" s="5">
        <v>45283</v>
      </c>
      <c r="U719" s="1">
        <v>-5.2456143901795094E-3</v>
      </c>
    </row>
    <row r="720" spans="3:21" x14ac:dyDescent="0.2">
      <c r="C720" s="5">
        <v>45284</v>
      </c>
      <c r="D720" s="6">
        <v>0.99999000000000005</v>
      </c>
      <c r="E720" s="6">
        <v>43020.4</v>
      </c>
      <c r="F720" s="6">
        <v>43038</v>
      </c>
      <c r="G720" s="6">
        <v>43403.44</v>
      </c>
      <c r="H720" s="6">
        <v>43043.6</v>
      </c>
      <c r="I720" s="5">
        <v>45284</v>
      </c>
      <c r="J720" s="7">
        <f t="shared" si="68"/>
        <v>5.3927903971132509E-4</v>
      </c>
      <c r="K720" s="5">
        <v>45284</v>
      </c>
      <c r="L720" s="8">
        <f t="shared" si="66"/>
        <v>8.4911008875877669E-3</v>
      </c>
      <c r="M720" s="5">
        <v>45284</v>
      </c>
      <c r="N720" s="9">
        <f t="shared" si="67"/>
        <v>9.0303799272990915E-3</v>
      </c>
      <c r="O720" s="5">
        <v>45284</v>
      </c>
      <c r="P720">
        <f t="shared" si="69"/>
        <v>0.99170941289446168</v>
      </c>
      <c r="Q720" s="6">
        <f t="shared" si="70"/>
        <v>1.000010000100001</v>
      </c>
      <c r="R720">
        <f t="shared" si="71"/>
        <v>-8.3351452097363728E-3</v>
      </c>
      <c r="T720" s="5">
        <v>45284</v>
      </c>
      <c r="U720" s="1">
        <v>-8.3351452097363728E-3</v>
      </c>
    </row>
    <row r="721" spans="3:21" x14ac:dyDescent="0.2">
      <c r="C721" s="5">
        <v>45285</v>
      </c>
      <c r="D721" s="6">
        <v>0.99999000000000005</v>
      </c>
      <c r="E721" s="6">
        <v>43581.45</v>
      </c>
      <c r="F721" s="6">
        <v>43620</v>
      </c>
      <c r="G721" s="6">
        <v>43746.17</v>
      </c>
      <c r="H721" s="6">
        <v>43624</v>
      </c>
      <c r="I721" s="5">
        <v>45285</v>
      </c>
      <c r="J721" s="7">
        <f t="shared" si="68"/>
        <v>9.763328205005321E-4</v>
      </c>
      <c r="K721" s="5">
        <v>45285</v>
      </c>
      <c r="L721" s="8">
        <f t="shared" si="66"/>
        <v>2.8924805135258657E-3</v>
      </c>
      <c r="M721" s="5">
        <v>45285</v>
      </c>
      <c r="N721" s="9">
        <f t="shared" si="67"/>
        <v>3.8688133340263977E-3</v>
      </c>
      <c r="O721" s="5">
        <v>45285</v>
      </c>
      <c r="P721">
        <f t="shared" si="69"/>
        <v>0.99720729837606359</v>
      </c>
      <c r="Q721" s="6">
        <f t="shared" si="70"/>
        <v>1.000010000100001</v>
      </c>
      <c r="R721">
        <f t="shared" si="71"/>
        <v>-2.8066085406207976E-3</v>
      </c>
      <c r="T721" s="5">
        <v>45285</v>
      </c>
      <c r="U721" s="1">
        <v>-2.8066085406207976E-3</v>
      </c>
    </row>
    <row r="722" spans="3:21" x14ac:dyDescent="0.2">
      <c r="C722" s="5">
        <v>45286</v>
      </c>
      <c r="D722" s="6">
        <v>1</v>
      </c>
      <c r="E722" s="6">
        <v>42504</v>
      </c>
      <c r="F722" s="6">
        <v>42552</v>
      </c>
      <c r="G722" s="6">
        <v>42581.84</v>
      </c>
      <c r="H722" s="6">
        <v>42552.6</v>
      </c>
      <c r="I722" s="5">
        <v>45286</v>
      </c>
      <c r="J722" s="7">
        <f t="shared" si="68"/>
        <v>1.1434217955956743E-3</v>
      </c>
      <c r="K722" s="5">
        <v>45286</v>
      </c>
      <c r="L722" s="8">
        <f t="shared" si="66"/>
        <v>7.0125963526970552E-4</v>
      </c>
      <c r="M722" s="5">
        <v>45286</v>
      </c>
      <c r="N722" s="9">
        <f t="shared" si="67"/>
        <v>1.8446814308653798E-3</v>
      </c>
      <c r="O722" s="5">
        <v>45286</v>
      </c>
      <c r="P722">
        <f t="shared" si="69"/>
        <v>0.99931332229889558</v>
      </c>
      <c r="Q722" s="6">
        <f t="shared" si="70"/>
        <v>1</v>
      </c>
      <c r="R722">
        <f t="shared" si="71"/>
        <v>-6.8691357222149029E-4</v>
      </c>
      <c r="T722" s="5">
        <v>45286</v>
      </c>
      <c r="U722" s="1">
        <v>-6.8691357222149029E-4</v>
      </c>
    </row>
    <row r="723" spans="3:21" x14ac:dyDescent="0.2">
      <c r="C723" s="5">
        <v>45287</v>
      </c>
      <c r="D723" s="6">
        <v>0.99997000000000003</v>
      </c>
      <c r="E723" s="6">
        <v>43458.82</v>
      </c>
      <c r="F723" s="6">
        <v>43469.5</v>
      </c>
      <c r="G723" s="6">
        <v>43480.75</v>
      </c>
      <c r="H723" s="6">
        <v>43477.7</v>
      </c>
      <c r="I723" s="5">
        <v>45287</v>
      </c>
      <c r="J723" s="7">
        <f t="shared" si="68"/>
        <v>4.3443425293179566E-4</v>
      </c>
      <c r="K723" s="5">
        <v>45287</v>
      </c>
      <c r="L723" s="8">
        <f t="shared" si="66"/>
        <v>2.5880214863294951E-4</v>
      </c>
      <c r="M723" s="5">
        <v>45287</v>
      </c>
      <c r="N723" s="9">
        <f t="shared" si="67"/>
        <v>6.9323640156474518E-4</v>
      </c>
      <c r="O723" s="5">
        <v>45287</v>
      </c>
      <c r="P723">
        <f t="shared" si="69"/>
        <v>0.99992985401585754</v>
      </c>
      <c r="Q723" s="6">
        <f t="shared" si="70"/>
        <v>1.0000300009000269</v>
      </c>
      <c r="R723">
        <f t="shared" si="71"/>
        <v>-1.0014889449599697E-4</v>
      </c>
      <c r="T723" s="5">
        <v>45287</v>
      </c>
      <c r="U723" s="1">
        <v>-1.0014889449599697E-4</v>
      </c>
    </row>
    <row r="724" spans="3:21" x14ac:dyDescent="0.2">
      <c r="C724" s="5">
        <v>45288</v>
      </c>
      <c r="D724" s="6">
        <v>1.0000100000000001</v>
      </c>
      <c r="E724" s="6">
        <v>42579.87</v>
      </c>
      <c r="F724" s="6">
        <v>42621</v>
      </c>
      <c r="G724" s="6">
        <v>42661.599999999999</v>
      </c>
      <c r="H724" s="6">
        <v>42632.7</v>
      </c>
      <c r="I724" s="5">
        <v>45288</v>
      </c>
      <c r="J724" s="7">
        <f t="shared" si="68"/>
        <v>1.2407271323278926E-3</v>
      </c>
      <c r="K724" s="5">
        <v>45288</v>
      </c>
      <c r="L724" s="8">
        <f t="shared" si="66"/>
        <v>9.5258206048658047E-4</v>
      </c>
      <c r="M724" s="5">
        <v>45288</v>
      </c>
      <c r="N724" s="9">
        <f t="shared" si="67"/>
        <v>2.1933091928144732E-3</v>
      </c>
      <c r="O724" s="5">
        <v>45288</v>
      </c>
      <c r="P724">
        <f t="shared" si="69"/>
        <v>0.99932257580587702</v>
      </c>
      <c r="Q724" s="6">
        <f t="shared" si="70"/>
        <v>0.99999000009999894</v>
      </c>
      <c r="R724">
        <f t="shared" si="71"/>
        <v>-6.6765379956877082E-4</v>
      </c>
      <c r="T724" s="5">
        <v>45288</v>
      </c>
      <c r="U724" s="1">
        <v>-6.6765379956877082E-4</v>
      </c>
    </row>
    <row r="725" spans="3:21" x14ac:dyDescent="0.2">
      <c r="C725" s="5">
        <v>45289</v>
      </c>
      <c r="D725" s="6">
        <v>1.00004</v>
      </c>
      <c r="E725" s="6">
        <v>42065.45</v>
      </c>
      <c r="F725" s="6">
        <v>42090.5</v>
      </c>
      <c r="G725" s="6">
        <v>42199.49</v>
      </c>
      <c r="H725" s="6">
        <v>42105.8</v>
      </c>
      <c r="I725" s="5">
        <v>45289</v>
      </c>
      <c r="J725" s="7">
        <f t="shared" si="68"/>
        <v>9.5921950199048919E-4</v>
      </c>
      <c r="K725" s="5">
        <v>45289</v>
      </c>
      <c r="L725" s="8">
        <f t="shared" si="66"/>
        <v>2.5894204155331481E-3</v>
      </c>
      <c r="M725" s="5">
        <v>45289</v>
      </c>
      <c r="N725" s="9">
        <f t="shared" si="67"/>
        <v>3.5486399175236371E-3</v>
      </c>
      <c r="O725" s="5">
        <v>45289</v>
      </c>
      <c r="P725">
        <f t="shared" si="69"/>
        <v>0.99777983098847889</v>
      </c>
      <c r="Q725" s="6">
        <f t="shared" si="70"/>
        <v>0.99996000159993592</v>
      </c>
      <c r="R725">
        <f t="shared" si="71"/>
        <v>-2.182638040653486E-3</v>
      </c>
      <c r="T725" s="5">
        <v>45289</v>
      </c>
      <c r="U725" s="1">
        <v>-2.182638040653486E-3</v>
      </c>
    </row>
    <row r="726" spans="3:21" x14ac:dyDescent="0.2">
      <c r="C726" s="5">
        <v>45290</v>
      </c>
      <c r="D726" s="6">
        <v>0.99997000000000003</v>
      </c>
      <c r="E726" s="6">
        <v>42148.1</v>
      </c>
      <c r="F726" s="6">
        <v>42179</v>
      </c>
      <c r="G726" s="6">
        <v>42307.28</v>
      </c>
      <c r="H726" s="6">
        <v>42176.800000000003</v>
      </c>
      <c r="I726" s="5">
        <v>45290</v>
      </c>
      <c r="J726" s="7">
        <f t="shared" si="68"/>
        <v>6.8093223656592742E-4</v>
      </c>
      <c r="K726" s="5">
        <v>45290</v>
      </c>
      <c r="L726" s="8">
        <f t="shared" si="66"/>
        <v>3.0413238815524038E-3</v>
      </c>
      <c r="M726" s="5">
        <v>45290</v>
      </c>
      <c r="N726" s="9">
        <f t="shared" si="67"/>
        <v>3.7222561181183313E-3</v>
      </c>
      <c r="O726" s="5">
        <v>45290</v>
      </c>
      <c r="P726">
        <f t="shared" si="69"/>
        <v>0.9969158972167439</v>
      </c>
      <c r="Q726" s="6">
        <f t="shared" si="70"/>
        <v>1.0000300009000269</v>
      </c>
      <c r="R726">
        <f t="shared" si="71"/>
        <v>-3.1188688792710808E-3</v>
      </c>
      <c r="T726" s="5">
        <v>45290</v>
      </c>
      <c r="U726" s="1">
        <v>-3.1188688792710808E-3</v>
      </c>
    </row>
    <row r="727" spans="3:21" x14ac:dyDescent="0.2">
      <c r="C727" s="5">
        <v>45291</v>
      </c>
      <c r="D727" s="6">
        <v>0.99933000000000005</v>
      </c>
      <c r="E727" s="6">
        <v>42277.02</v>
      </c>
      <c r="F727" s="6">
        <v>42302</v>
      </c>
      <c r="G727" s="6">
        <v>42408.19</v>
      </c>
      <c r="H727" s="6">
        <v>42296</v>
      </c>
      <c r="I727" s="5">
        <v>45291</v>
      </c>
      <c r="J727" s="7">
        <f t="shared" si="68"/>
        <v>4.4894365780755603E-4</v>
      </c>
      <c r="K727" s="5">
        <v>45291</v>
      </c>
      <c r="L727" s="8">
        <f t="shared" si="66"/>
        <v>2.5102832017399254E-3</v>
      </c>
      <c r="M727" s="5">
        <v>45291</v>
      </c>
      <c r="N727" s="9">
        <f t="shared" si="67"/>
        <v>2.9592268595474815E-3</v>
      </c>
      <c r="O727" s="5">
        <v>45291</v>
      </c>
      <c r="P727">
        <f t="shared" si="69"/>
        <v>0.9973545204357932</v>
      </c>
      <c r="Q727" s="6">
        <f t="shared" si="70"/>
        <v>1.0006704492009646</v>
      </c>
      <c r="R727">
        <f t="shared" si="71"/>
        <v>-3.3192095793623953E-3</v>
      </c>
      <c r="T727" s="5">
        <v>45291</v>
      </c>
      <c r="U727" s="1">
        <v>-3.3192095793623953E-3</v>
      </c>
    </row>
    <row r="728" spans="3:21" x14ac:dyDescent="0.2">
      <c r="C728" s="5">
        <v>45292</v>
      </c>
      <c r="D728" s="6">
        <v>0.99997000000000003</v>
      </c>
      <c r="E728" s="6">
        <v>44188.67</v>
      </c>
      <c r="F728" s="6">
        <v>44249.5</v>
      </c>
      <c r="G728" s="6">
        <v>44269.58</v>
      </c>
      <c r="H728" s="6">
        <v>44245.599999999999</v>
      </c>
      <c r="I728" s="5">
        <v>45292</v>
      </c>
      <c r="J728" s="7">
        <f t="shared" si="68"/>
        <v>1.2883392960231727E-3</v>
      </c>
      <c r="K728" s="5">
        <v>45292</v>
      </c>
      <c r="L728" s="8">
        <f t="shared" si="66"/>
        <v>4.5379043831007685E-4</v>
      </c>
      <c r="M728" s="5">
        <v>45292</v>
      </c>
      <c r="N728" s="9">
        <f t="shared" si="67"/>
        <v>1.7421297343332494E-3</v>
      </c>
      <c r="O728" s="5">
        <v>45292</v>
      </c>
      <c r="P728">
        <f t="shared" si="69"/>
        <v>0.99945831878233315</v>
      </c>
      <c r="Q728" s="6">
        <f t="shared" si="70"/>
        <v>1.0000300009000269</v>
      </c>
      <c r="R728">
        <f t="shared" si="71"/>
        <v>-5.7182842994788819E-4</v>
      </c>
      <c r="T728" s="5">
        <v>45292</v>
      </c>
      <c r="U728" s="1">
        <v>-5.7182842994788819E-4</v>
      </c>
    </row>
    <row r="729" spans="3:21" x14ac:dyDescent="0.2">
      <c r="C729" s="5">
        <v>45293</v>
      </c>
      <c r="D729" s="6">
        <v>1.0000199999999999</v>
      </c>
      <c r="E729" s="6">
        <v>44968.26</v>
      </c>
      <c r="F729" s="6">
        <v>45015.5</v>
      </c>
      <c r="G729" s="6">
        <v>45016.87</v>
      </c>
      <c r="H729" s="6">
        <v>44998.5</v>
      </c>
      <c r="I729" s="5">
        <v>45293</v>
      </c>
      <c r="J729" s="7">
        <f t="shared" si="68"/>
        <v>6.7247431855264048E-4</v>
      </c>
      <c r="K729" s="5">
        <v>45293</v>
      </c>
      <c r="L729" s="8">
        <f t="shared" si="66"/>
        <v>3.0433961635494872E-5</v>
      </c>
      <c r="M729" s="5">
        <v>45293</v>
      </c>
      <c r="N729" s="9">
        <f t="shared" si="67"/>
        <v>7.0290828018813531E-4</v>
      </c>
      <c r="O729" s="5">
        <v>45293</v>
      </c>
      <c r="P729">
        <f t="shared" si="69"/>
        <v>0.99959193075840225</v>
      </c>
      <c r="Q729" s="6">
        <f t="shared" si="70"/>
        <v>0.99998000039999213</v>
      </c>
      <c r="R729">
        <f t="shared" si="71"/>
        <v>-3.8815272450578225E-4</v>
      </c>
      <c r="T729" s="5">
        <v>45293</v>
      </c>
      <c r="U729" s="1">
        <v>-3.8815272450578225E-4</v>
      </c>
    </row>
    <row r="730" spans="3:21" x14ac:dyDescent="0.2">
      <c r="C730" s="5">
        <v>45294</v>
      </c>
      <c r="D730" s="6">
        <v>0.99999000000000005</v>
      </c>
      <c r="E730" s="6">
        <v>42864.33</v>
      </c>
      <c r="F730" s="6">
        <v>42854.5</v>
      </c>
      <c r="G730" s="6">
        <v>43028.33</v>
      </c>
      <c r="H730" s="6">
        <v>42880.3</v>
      </c>
      <c r="I730" s="5">
        <v>45294</v>
      </c>
      <c r="J730" s="7">
        <f t="shared" si="68"/>
        <v>3.7257085320127864E-4</v>
      </c>
      <c r="K730" s="5">
        <v>45294</v>
      </c>
      <c r="L730" s="8">
        <f t="shared" si="66"/>
        <v>4.0562834708140743E-3</v>
      </c>
      <c r="M730" s="5">
        <v>45294</v>
      </c>
      <c r="N730" s="9">
        <f t="shared" si="67"/>
        <v>4.428854324015353E-3</v>
      </c>
      <c r="O730" s="5">
        <v>45294</v>
      </c>
      <c r="P730">
        <f t="shared" si="69"/>
        <v>0.99655970845254749</v>
      </c>
      <c r="Q730" s="6">
        <f t="shared" si="70"/>
        <v>1.000010000100001</v>
      </c>
      <c r="R730">
        <f t="shared" si="71"/>
        <v>-3.4562230081805626E-3</v>
      </c>
      <c r="T730" s="5">
        <v>45294</v>
      </c>
      <c r="U730" s="1">
        <v>-3.4562230081805626E-3</v>
      </c>
    </row>
    <row r="731" spans="3:21" x14ac:dyDescent="0.2">
      <c r="C731" s="5">
        <v>45295</v>
      </c>
      <c r="D731" s="6">
        <v>1.0000100000000001</v>
      </c>
      <c r="E731" s="6">
        <v>44191.82</v>
      </c>
      <c r="F731" s="6">
        <v>44146</v>
      </c>
      <c r="G731" s="6">
        <v>44263.69</v>
      </c>
      <c r="H731" s="6">
        <v>44186</v>
      </c>
      <c r="I731" s="5">
        <v>45295</v>
      </c>
      <c r="J731" s="7">
        <f t="shared" si="68"/>
        <v>-1.3169858132115194E-4</v>
      </c>
      <c r="K731" s="5">
        <v>45295</v>
      </c>
      <c r="L731" s="8">
        <f t="shared" si="66"/>
        <v>2.6659266977756158E-3</v>
      </c>
      <c r="M731" s="5">
        <v>45295</v>
      </c>
      <c r="N731" s="9">
        <f t="shared" si="67"/>
        <v>2.534228116454464E-3</v>
      </c>
      <c r="O731" s="5">
        <v>45295</v>
      </c>
      <c r="P731">
        <f t="shared" si="69"/>
        <v>0.99824483679512477</v>
      </c>
      <c r="Q731" s="6">
        <f t="shared" si="70"/>
        <v>0.99999000009999894</v>
      </c>
      <c r="R731">
        <f t="shared" si="71"/>
        <v>-1.7467053585058987E-3</v>
      </c>
      <c r="T731" s="5">
        <v>45295</v>
      </c>
      <c r="U731" s="1">
        <v>-1.7467053585058987E-3</v>
      </c>
    </row>
    <row r="732" spans="3:21" x14ac:dyDescent="0.2">
      <c r="C732" s="5">
        <v>45296</v>
      </c>
      <c r="D732" s="6">
        <v>0.99999000000000005</v>
      </c>
      <c r="E732" s="6">
        <v>44182.77</v>
      </c>
      <c r="F732" s="6">
        <v>44159.5</v>
      </c>
      <c r="G732" s="6">
        <v>44264.01</v>
      </c>
      <c r="H732" s="6">
        <v>44179.8</v>
      </c>
      <c r="I732" s="5">
        <v>45296</v>
      </c>
      <c r="J732" s="7">
        <f t="shared" si="68"/>
        <v>-6.7220774070840016E-5</v>
      </c>
      <c r="K732" s="5">
        <v>45296</v>
      </c>
      <c r="L732" s="8">
        <f t="shared" si="66"/>
        <v>2.3666481730998321E-3</v>
      </c>
      <c r="M732" s="5">
        <v>45296</v>
      </c>
      <c r="N732" s="9">
        <f t="shared" si="67"/>
        <v>2.2994273990289919E-3</v>
      </c>
      <c r="O732" s="5">
        <v>45296</v>
      </c>
      <c r="P732">
        <f t="shared" si="69"/>
        <v>0.99809755148708856</v>
      </c>
      <c r="Q732" s="6">
        <f t="shared" si="70"/>
        <v>1.000010000100001</v>
      </c>
      <c r="R732">
        <f t="shared" si="71"/>
        <v>-1.9142605165475993E-3</v>
      </c>
      <c r="T732" s="5">
        <v>45296</v>
      </c>
      <c r="U732" s="1">
        <v>-1.9142605165475993E-3</v>
      </c>
    </row>
    <row r="733" spans="3:21" x14ac:dyDescent="0.2">
      <c r="C733" s="5">
        <v>45297</v>
      </c>
      <c r="D733" s="6">
        <v>0.99997000000000003</v>
      </c>
      <c r="E733" s="6">
        <v>43985.97</v>
      </c>
      <c r="F733" s="6">
        <v>43967.5</v>
      </c>
      <c r="G733" s="6">
        <v>44124.89</v>
      </c>
      <c r="H733" s="6">
        <v>43994.9</v>
      </c>
      <c r="I733" s="5">
        <v>45297</v>
      </c>
      <c r="J733" s="7">
        <f t="shared" si="68"/>
        <v>2.0301928092071838E-4</v>
      </c>
      <c r="K733" s="5">
        <v>45297</v>
      </c>
      <c r="L733" s="8">
        <f t="shared" si="66"/>
        <v>3.579689543412735E-3</v>
      </c>
      <c r="M733" s="5">
        <v>45297</v>
      </c>
      <c r="N733" s="9">
        <f t="shared" si="67"/>
        <v>3.7827088243334536E-3</v>
      </c>
      <c r="O733" s="5">
        <v>45297</v>
      </c>
      <c r="P733">
        <f t="shared" si="69"/>
        <v>0.9970540436474743</v>
      </c>
      <c r="Q733" s="6">
        <f t="shared" si="70"/>
        <v>1.0000300009000269</v>
      </c>
      <c r="R733">
        <f t="shared" si="71"/>
        <v>-2.9803046731411292E-3</v>
      </c>
      <c r="T733" s="5">
        <v>45297</v>
      </c>
      <c r="U733" s="1">
        <v>-2.9803046731411292E-3</v>
      </c>
    </row>
    <row r="734" spans="3:21" x14ac:dyDescent="0.2">
      <c r="C734" s="5">
        <v>45298</v>
      </c>
      <c r="D734" s="6">
        <v>1.0000100000000001</v>
      </c>
      <c r="E734" s="6">
        <v>43956.88</v>
      </c>
      <c r="F734" s="6">
        <v>43925</v>
      </c>
      <c r="G734" s="6">
        <v>44055.41</v>
      </c>
      <c r="H734" s="6">
        <v>43946.5</v>
      </c>
      <c r="I734" s="5">
        <v>45298</v>
      </c>
      <c r="J734" s="7">
        <f t="shared" si="68"/>
        <v>-2.3614050860746672E-4</v>
      </c>
      <c r="K734" s="5">
        <v>45298</v>
      </c>
      <c r="L734" s="8">
        <f t="shared" si="66"/>
        <v>2.9689243027889241E-3</v>
      </c>
      <c r="M734" s="5">
        <v>45298</v>
      </c>
      <c r="N734" s="9">
        <f t="shared" si="67"/>
        <v>2.7327837941814575E-3</v>
      </c>
      <c r="O734" s="5">
        <v>45298</v>
      </c>
      <c r="P734">
        <f t="shared" si="69"/>
        <v>0.99752788590549935</v>
      </c>
      <c r="Q734" s="6">
        <f t="shared" si="70"/>
        <v>0.99999000009999894</v>
      </c>
      <c r="R734">
        <f t="shared" si="71"/>
        <v>-2.4651748638872401E-3</v>
      </c>
      <c r="T734" s="5">
        <v>45298</v>
      </c>
      <c r="U734" s="1">
        <v>-2.4651748638872401E-3</v>
      </c>
    </row>
    <row r="735" spans="3:21" x14ac:dyDescent="0.2">
      <c r="C735" s="5">
        <v>45299</v>
      </c>
      <c r="D735" s="6">
        <v>1</v>
      </c>
      <c r="E735" s="6">
        <v>46988.639999999999</v>
      </c>
      <c r="F735" s="6">
        <v>46971.5</v>
      </c>
      <c r="G735" s="6">
        <v>47018.879999999997</v>
      </c>
      <c r="H735" s="6">
        <v>46978.8</v>
      </c>
      <c r="I735" s="5">
        <v>45299</v>
      </c>
      <c r="J735" s="7">
        <f t="shared" si="68"/>
        <v>-2.0941231753029047E-4</v>
      </c>
      <c r="K735" s="5">
        <v>45299</v>
      </c>
      <c r="L735" s="8">
        <f t="shared" si="66"/>
        <v>1.0086967629306576E-3</v>
      </c>
      <c r="M735" s="5">
        <v>45299</v>
      </c>
      <c r="N735" s="9">
        <f t="shared" si="67"/>
        <v>7.9928444540036713E-4</v>
      </c>
      <c r="O735" s="5">
        <v>45299</v>
      </c>
      <c r="P735">
        <f t="shared" si="69"/>
        <v>0.99914757646290187</v>
      </c>
      <c r="Q735" s="6">
        <f t="shared" si="70"/>
        <v>1</v>
      </c>
      <c r="R735">
        <f t="shared" si="71"/>
        <v>-8.5278705663785676E-4</v>
      </c>
      <c r="T735" s="5">
        <v>45299</v>
      </c>
      <c r="U735" s="1">
        <v>-8.5278705663785676E-4</v>
      </c>
    </row>
    <row r="736" spans="3:21" x14ac:dyDescent="0.2">
      <c r="C736" s="5">
        <v>45300</v>
      </c>
      <c r="D736" s="6">
        <v>1.0000100000000001</v>
      </c>
      <c r="E736" s="6">
        <v>46125.36</v>
      </c>
      <c r="F736" s="6">
        <v>46119.5</v>
      </c>
      <c r="G736" s="6">
        <v>46193.03</v>
      </c>
      <c r="H736" s="6">
        <v>46140.7</v>
      </c>
      <c r="I736" s="5">
        <v>45300</v>
      </c>
      <c r="J736" s="7">
        <f t="shared" si="68"/>
        <v>3.3257193006182517E-4</v>
      </c>
      <c r="K736" s="5">
        <v>45300</v>
      </c>
      <c r="L736" s="8">
        <f t="shared" si="66"/>
        <v>1.5943364520430367E-3</v>
      </c>
      <c r="M736" s="5">
        <v>45300</v>
      </c>
      <c r="N736" s="9">
        <f t="shared" si="67"/>
        <v>1.9269083821048618E-3</v>
      </c>
      <c r="O736" s="5">
        <v>45300</v>
      </c>
      <c r="P736">
        <f t="shared" si="69"/>
        <v>0.99886714510825558</v>
      </c>
      <c r="Q736" s="6">
        <f t="shared" si="70"/>
        <v>0.99999000009999894</v>
      </c>
      <c r="R736">
        <f t="shared" si="71"/>
        <v>-1.1234971068792745E-3</v>
      </c>
      <c r="T736" s="5">
        <v>45300</v>
      </c>
      <c r="U736" s="1">
        <v>-1.1234971068792745E-3</v>
      </c>
    </row>
    <row r="737" spans="3:21" x14ac:dyDescent="0.2">
      <c r="C737" s="5">
        <v>45301</v>
      </c>
      <c r="D737" s="6">
        <v>0.99999000000000005</v>
      </c>
      <c r="E737" s="6">
        <v>46670.69</v>
      </c>
      <c r="F737" s="6">
        <v>46678.5</v>
      </c>
      <c r="G737" s="6">
        <v>46715.83</v>
      </c>
      <c r="H737" s="6">
        <v>46676.800000000003</v>
      </c>
      <c r="I737" s="5">
        <v>45301</v>
      </c>
      <c r="J737" s="7">
        <f t="shared" si="68"/>
        <v>1.3091728448841406E-4</v>
      </c>
      <c r="K737" s="5">
        <v>45301</v>
      </c>
      <c r="L737" s="8">
        <f t="shared" si="66"/>
        <v>7.9972578381914039E-4</v>
      </c>
      <c r="M737" s="5">
        <v>45301</v>
      </c>
      <c r="N737" s="9">
        <f t="shared" si="67"/>
        <v>9.3064306830755448E-4</v>
      </c>
      <c r="O737" s="5">
        <v>45301</v>
      </c>
      <c r="P737">
        <f t="shared" si="69"/>
        <v>0.99916452303212844</v>
      </c>
      <c r="Q737" s="6">
        <f t="shared" si="70"/>
        <v>1.000010000100001</v>
      </c>
      <c r="R737">
        <f t="shared" si="71"/>
        <v>-8.4582622326938924E-4</v>
      </c>
      <c r="T737" s="5">
        <v>45301</v>
      </c>
      <c r="U737" s="1">
        <v>-8.4582622326938924E-4</v>
      </c>
    </row>
    <row r="738" spans="3:21" x14ac:dyDescent="0.2">
      <c r="C738" s="5">
        <v>45302</v>
      </c>
      <c r="D738" s="6">
        <v>1.0000100000000001</v>
      </c>
      <c r="E738" s="6">
        <v>46336.800000000003</v>
      </c>
      <c r="F738" s="6">
        <v>46350.5</v>
      </c>
      <c r="G738" s="6">
        <v>46422.16</v>
      </c>
      <c r="H738" s="6">
        <v>46343.9</v>
      </c>
      <c r="I738" s="5">
        <v>45302</v>
      </c>
      <c r="J738" s="7">
        <f t="shared" si="68"/>
        <v>1.5322594568460801E-4</v>
      </c>
      <c r="K738" s="5">
        <v>45302</v>
      </c>
      <c r="L738" s="8">
        <f t="shared" si="66"/>
        <v>1.5460458894726809E-3</v>
      </c>
      <c r="M738" s="5">
        <v>45302</v>
      </c>
      <c r="N738" s="9">
        <f t="shared" si="67"/>
        <v>1.6992718351572888E-3</v>
      </c>
      <c r="O738" s="5">
        <v>45302</v>
      </c>
      <c r="P738">
        <f t="shared" si="69"/>
        <v>0.99831416719945809</v>
      </c>
      <c r="Q738" s="6">
        <f t="shared" si="70"/>
        <v>0.99999000009999894</v>
      </c>
      <c r="R738">
        <f t="shared" si="71"/>
        <v>-1.6772554657429955E-3</v>
      </c>
      <c r="T738" s="5">
        <v>45302</v>
      </c>
      <c r="U738" s="1">
        <v>-1.6772554657429955E-3</v>
      </c>
    </row>
    <row r="739" spans="3:21" x14ac:dyDescent="0.2">
      <c r="C739" s="5">
        <v>45303</v>
      </c>
      <c r="D739" s="6">
        <v>1.00003</v>
      </c>
      <c r="E739" s="6">
        <v>42770.62</v>
      </c>
      <c r="F739" s="6">
        <v>42750</v>
      </c>
      <c r="G739" s="6">
        <v>42906.64</v>
      </c>
      <c r="H739" s="6">
        <v>42788</v>
      </c>
      <c r="I739" s="5">
        <v>45303</v>
      </c>
      <c r="J739" s="7">
        <f t="shared" si="68"/>
        <v>4.0635370728779195E-4</v>
      </c>
      <c r="K739" s="5">
        <v>45303</v>
      </c>
      <c r="L739" s="8">
        <f t="shared" si="66"/>
        <v>3.6640935672514483E-3</v>
      </c>
      <c r="M739" s="5">
        <v>45303</v>
      </c>
      <c r="N739" s="9">
        <f t="shared" si="67"/>
        <v>4.0704472745392399E-3</v>
      </c>
      <c r="O739" s="5">
        <v>45303</v>
      </c>
      <c r="P739">
        <f t="shared" si="69"/>
        <v>0.99723492680853121</v>
      </c>
      <c r="Q739" s="6">
        <f t="shared" si="70"/>
        <v>0.99997000089997301</v>
      </c>
      <c r="R739">
        <f t="shared" si="71"/>
        <v>-2.7389035178918796E-3</v>
      </c>
      <c r="T739" s="5">
        <v>45303</v>
      </c>
      <c r="U739" s="1">
        <v>-2.7389035178918796E-3</v>
      </c>
    </row>
    <row r="740" spans="3:21" x14ac:dyDescent="0.2">
      <c r="C740" s="5">
        <v>45304</v>
      </c>
      <c r="D740" s="6">
        <v>0.99997999999999998</v>
      </c>
      <c r="E740" s="6">
        <v>42835.68</v>
      </c>
      <c r="F740" s="6">
        <v>42829.5</v>
      </c>
      <c r="G740" s="6">
        <v>42996.2</v>
      </c>
      <c r="H740" s="6">
        <v>42856.800000000003</v>
      </c>
      <c r="I740" s="5">
        <v>45304</v>
      </c>
      <c r="J740" s="7">
        <f t="shared" si="68"/>
        <v>4.9304691789654373E-4</v>
      </c>
      <c r="K740" s="5">
        <v>45304</v>
      </c>
      <c r="L740" s="8">
        <f t="shared" si="66"/>
        <v>3.8921771209095854E-3</v>
      </c>
      <c r="M740" s="5">
        <v>45304</v>
      </c>
      <c r="N740" s="9">
        <f t="shared" si="67"/>
        <v>4.3852240388061294E-3</v>
      </c>
      <c r="O740" s="5">
        <v>45304</v>
      </c>
      <c r="P740">
        <f t="shared" si="69"/>
        <v>0.99675785301956932</v>
      </c>
      <c r="Q740" s="6">
        <f t="shared" si="70"/>
        <v>1.0000200004000079</v>
      </c>
      <c r="R740">
        <f t="shared" si="71"/>
        <v>-3.2674143266105691E-3</v>
      </c>
      <c r="T740" s="5">
        <v>45304</v>
      </c>
      <c r="U740" s="1">
        <v>-3.2674143266105691E-3</v>
      </c>
    </row>
    <row r="741" spans="3:21" x14ac:dyDescent="0.2">
      <c r="C741" s="5">
        <v>45305</v>
      </c>
      <c r="D741" s="6">
        <v>1</v>
      </c>
      <c r="E741" s="6">
        <v>41702.67</v>
      </c>
      <c r="F741" s="6">
        <v>41675</v>
      </c>
      <c r="G741" s="6">
        <v>41792.51</v>
      </c>
      <c r="H741" s="6">
        <v>41714.699999999997</v>
      </c>
      <c r="I741" s="5">
        <v>45305</v>
      </c>
      <c r="J741" s="7">
        <f t="shared" si="68"/>
        <v>2.8847073820450434E-4</v>
      </c>
      <c r="K741" s="5">
        <v>45305</v>
      </c>
      <c r="L741" s="8">
        <f t="shared" si="66"/>
        <v>2.8196760647870916E-3</v>
      </c>
      <c r="M741" s="5">
        <v>45305</v>
      </c>
      <c r="N741" s="9">
        <f t="shared" si="67"/>
        <v>3.108146802991596E-3</v>
      </c>
      <c r="O741" s="5">
        <v>45305</v>
      </c>
      <c r="P741">
        <f t="shared" si="69"/>
        <v>0.99813818313377201</v>
      </c>
      <c r="Q741" s="6">
        <f t="shared" si="70"/>
        <v>1</v>
      </c>
      <c r="R741">
        <f t="shared" si="71"/>
        <v>-1.8635522015018498E-3</v>
      </c>
      <c r="T741" s="5">
        <v>45305</v>
      </c>
      <c r="U741" s="1">
        <v>-1.8635522015018498E-3</v>
      </c>
    </row>
    <row r="742" spans="3:21" x14ac:dyDescent="0.2">
      <c r="C742" s="5">
        <v>45306</v>
      </c>
      <c r="D742" s="6">
        <v>0.99997000000000003</v>
      </c>
      <c r="E742" s="6">
        <v>42478.26</v>
      </c>
      <c r="F742" s="6">
        <v>42476</v>
      </c>
      <c r="G742" s="6">
        <v>42526.01</v>
      </c>
      <c r="H742" s="6">
        <v>42508.800000000003</v>
      </c>
      <c r="I742" s="5">
        <v>45306</v>
      </c>
      <c r="J742" s="7">
        <f t="shared" si="68"/>
        <v>7.1895600243514852E-4</v>
      </c>
      <c r="K742" s="5">
        <v>45306</v>
      </c>
      <c r="L742" s="8">
        <f t="shared" si="66"/>
        <v>1.1773707505415303E-3</v>
      </c>
      <c r="M742" s="5">
        <v>45306</v>
      </c>
      <c r="N742" s="9">
        <f t="shared" si="67"/>
        <v>1.8963267529766787E-3</v>
      </c>
      <c r="O742" s="5">
        <v>45306</v>
      </c>
      <c r="P742">
        <f t="shared" si="69"/>
        <v>0.99959530649595385</v>
      </c>
      <c r="Q742" s="6">
        <f t="shared" si="70"/>
        <v>1.0000300009000269</v>
      </c>
      <c r="R742">
        <f t="shared" si="71"/>
        <v>-4.3477586457106322E-4</v>
      </c>
      <c r="T742" s="5">
        <v>45306</v>
      </c>
      <c r="U742" s="1">
        <v>-4.3477586457106322E-4</v>
      </c>
    </row>
    <row r="743" spans="3:21" x14ac:dyDescent="0.2">
      <c r="C743" s="5">
        <v>45307</v>
      </c>
      <c r="D743" s="6">
        <v>1.00003</v>
      </c>
      <c r="E743" s="6">
        <v>43120.61</v>
      </c>
      <c r="F743" s="6">
        <v>43100.5</v>
      </c>
      <c r="G743" s="6">
        <v>43187.86</v>
      </c>
      <c r="H743" s="6">
        <v>43127.9</v>
      </c>
      <c r="I743" s="5">
        <v>45307</v>
      </c>
      <c r="J743" s="7">
        <f t="shared" si="68"/>
        <v>1.6906068814891238E-4</v>
      </c>
      <c r="K743" s="5">
        <v>45307</v>
      </c>
      <c r="L743" s="8">
        <f t="shared" si="66"/>
        <v>2.0268906393197429E-3</v>
      </c>
      <c r="M743" s="5">
        <v>45307</v>
      </c>
      <c r="N743" s="9">
        <f t="shared" si="67"/>
        <v>2.1959513274686553E-3</v>
      </c>
      <c r="O743" s="5">
        <v>45307</v>
      </c>
      <c r="P743">
        <f t="shared" si="69"/>
        <v>0.9986116468841012</v>
      </c>
      <c r="Q743" s="6">
        <f t="shared" si="70"/>
        <v>0.99997000089997301</v>
      </c>
      <c r="R743">
        <f t="shared" si="71"/>
        <v>-1.3593182210350071E-3</v>
      </c>
      <c r="T743" s="5">
        <v>45307</v>
      </c>
      <c r="U743" s="1">
        <v>-1.3593182210350071E-3</v>
      </c>
    </row>
    <row r="744" spans="3:21" x14ac:dyDescent="0.2">
      <c r="C744" s="5">
        <v>45308</v>
      </c>
      <c r="D744" s="6">
        <v>1</v>
      </c>
      <c r="E744" s="6">
        <v>42732.78</v>
      </c>
      <c r="F744" s="6">
        <v>42718.5</v>
      </c>
      <c r="G744" s="6">
        <v>42795.42</v>
      </c>
      <c r="H744" s="6">
        <v>42760</v>
      </c>
      <c r="I744" s="5">
        <v>45308</v>
      </c>
      <c r="J744" s="7">
        <f t="shared" si="68"/>
        <v>6.3698172690850356E-4</v>
      </c>
      <c r="K744" s="5">
        <v>45308</v>
      </c>
      <c r="L744" s="8">
        <f t="shared" si="66"/>
        <v>1.8006250219459543E-3</v>
      </c>
      <c r="M744" s="5">
        <v>45308</v>
      </c>
      <c r="N744" s="9">
        <f t="shared" si="67"/>
        <v>2.4376067488544578E-3</v>
      </c>
      <c r="O744" s="5">
        <v>45308</v>
      </c>
      <c r="P744">
        <f t="shared" si="69"/>
        <v>0.99917234133933031</v>
      </c>
      <c r="Q744" s="6">
        <f t="shared" si="70"/>
        <v>1</v>
      </c>
      <c r="R744">
        <f t="shared" si="71"/>
        <v>-8.2800135920363936E-4</v>
      </c>
      <c r="T744" s="5">
        <v>45308</v>
      </c>
      <c r="U744" s="1">
        <v>-8.2800135920363936E-4</v>
      </c>
    </row>
    <row r="745" spans="3:21" x14ac:dyDescent="0.2">
      <c r="C745" s="5">
        <v>45309</v>
      </c>
      <c r="D745" s="6">
        <v>1.00004</v>
      </c>
      <c r="E745" s="6">
        <v>41294.5</v>
      </c>
      <c r="F745" s="6">
        <v>41265.5</v>
      </c>
      <c r="G745" s="6">
        <v>41334.22</v>
      </c>
      <c r="H745" s="6">
        <v>41298</v>
      </c>
      <c r="I745" s="5">
        <v>45309</v>
      </c>
      <c r="J745" s="7">
        <f t="shared" si="68"/>
        <v>8.4757049970335028E-5</v>
      </c>
      <c r="K745" s="5">
        <v>45309</v>
      </c>
      <c r="L745" s="8">
        <f t="shared" si="66"/>
        <v>1.6653136397232838E-3</v>
      </c>
      <c r="M745" s="5">
        <v>45309</v>
      </c>
      <c r="N745" s="9">
        <f t="shared" si="67"/>
        <v>1.7500706896936189E-3</v>
      </c>
      <c r="O745" s="5">
        <v>45309</v>
      </c>
      <c r="P745">
        <f t="shared" si="69"/>
        <v>0.99912372847485686</v>
      </c>
      <c r="Q745" s="6">
        <f t="shared" si="70"/>
        <v>0.99996000159993592</v>
      </c>
      <c r="R745">
        <f t="shared" si="71"/>
        <v>-8.3665647544435746E-4</v>
      </c>
      <c r="T745" s="5">
        <v>45309</v>
      </c>
      <c r="U745" s="1">
        <v>-8.3665647544435746E-4</v>
      </c>
    </row>
    <row r="746" spans="3:21" x14ac:dyDescent="0.2">
      <c r="C746" s="5">
        <v>45310</v>
      </c>
      <c r="D746" s="6">
        <v>1</v>
      </c>
      <c r="E746" s="6">
        <v>41625.879999999997</v>
      </c>
      <c r="F746" s="6">
        <v>41612.5</v>
      </c>
      <c r="G746" s="6">
        <v>41685.85</v>
      </c>
      <c r="H746" s="6">
        <v>41636.300000000003</v>
      </c>
      <c r="I746" s="5">
        <v>45310</v>
      </c>
      <c r="J746" s="7">
        <f t="shared" si="68"/>
        <v>2.5032503817349998E-4</v>
      </c>
      <c r="K746" s="5">
        <v>45310</v>
      </c>
      <c r="L746" s="8">
        <f t="shared" si="66"/>
        <v>1.7626914989485982E-3</v>
      </c>
      <c r="M746" s="5">
        <v>45310</v>
      </c>
      <c r="N746" s="9">
        <f t="shared" si="67"/>
        <v>2.013016537122098E-3</v>
      </c>
      <c r="O746" s="5">
        <v>45310</v>
      </c>
      <c r="P746">
        <f t="shared" si="69"/>
        <v>0.99881134725572351</v>
      </c>
      <c r="Q746" s="6">
        <f t="shared" si="70"/>
        <v>1</v>
      </c>
      <c r="R746">
        <f t="shared" si="71"/>
        <v>-1.1893597522632444E-3</v>
      </c>
      <c r="T746" s="5">
        <v>45310</v>
      </c>
      <c r="U746" s="1">
        <v>-1.1893597522632444E-3</v>
      </c>
    </row>
    <row r="747" spans="3:21" x14ac:dyDescent="0.2">
      <c r="C747" s="5">
        <v>45311</v>
      </c>
      <c r="D747" s="6">
        <v>1.0000100000000001</v>
      </c>
      <c r="E747" s="6">
        <v>41660.81</v>
      </c>
      <c r="F747" s="6">
        <v>41646</v>
      </c>
      <c r="G747" s="6">
        <v>41740.42</v>
      </c>
      <c r="H747" s="6">
        <v>41688.800000000003</v>
      </c>
      <c r="I747" s="5">
        <v>45311</v>
      </c>
      <c r="J747" s="7">
        <f t="shared" si="68"/>
        <v>6.7185443585963023E-4</v>
      </c>
      <c r="K747" s="5">
        <v>45311</v>
      </c>
      <c r="L747" s="8">
        <f t="shared" si="66"/>
        <v>2.2672045334485484E-3</v>
      </c>
      <c r="M747" s="5">
        <v>45311</v>
      </c>
      <c r="N747" s="9">
        <f t="shared" si="67"/>
        <v>2.9390589693081785E-3</v>
      </c>
      <c r="O747" s="5">
        <v>45311</v>
      </c>
      <c r="P747">
        <f t="shared" si="69"/>
        <v>0.99876330904193111</v>
      </c>
      <c r="Q747" s="6">
        <f t="shared" si="70"/>
        <v>0.99999000009999894</v>
      </c>
      <c r="R747">
        <f t="shared" si="71"/>
        <v>-1.227456341383664E-3</v>
      </c>
      <c r="T747" s="5">
        <v>45311</v>
      </c>
      <c r="U747" s="1">
        <v>-1.227456341383664E-3</v>
      </c>
    </row>
    <row r="748" spans="3:21" x14ac:dyDescent="0.2">
      <c r="C748" s="5">
        <v>45312</v>
      </c>
      <c r="D748" s="6">
        <v>1.00004</v>
      </c>
      <c r="E748" s="6">
        <v>41556</v>
      </c>
      <c r="F748" s="6">
        <v>41580</v>
      </c>
      <c r="G748" s="6">
        <v>41606.69</v>
      </c>
      <c r="H748" s="6">
        <v>41547.599999999999</v>
      </c>
      <c r="I748" s="5">
        <v>45312</v>
      </c>
      <c r="J748" s="7">
        <f t="shared" si="68"/>
        <v>-2.0213687554147307E-4</v>
      </c>
      <c r="K748" s="5">
        <v>45312</v>
      </c>
      <c r="L748" s="8">
        <f t="shared" si="66"/>
        <v>6.4189514189519792E-4</v>
      </c>
      <c r="M748" s="5">
        <v>45312</v>
      </c>
      <c r="N748" s="9">
        <f t="shared" si="67"/>
        <v>4.3975826635372483E-4</v>
      </c>
      <c r="O748" s="5">
        <v>45312</v>
      </c>
      <c r="P748">
        <f t="shared" si="69"/>
        <v>0.99857979570112398</v>
      </c>
      <c r="Q748" s="6">
        <f t="shared" si="70"/>
        <v>0.99996000159993592</v>
      </c>
      <c r="R748">
        <f t="shared" si="71"/>
        <v>-1.381214544839455E-3</v>
      </c>
      <c r="T748" s="5">
        <v>45312</v>
      </c>
      <c r="U748" s="1">
        <v>-1.381214544839455E-3</v>
      </c>
    </row>
    <row r="749" spans="3:21" x14ac:dyDescent="0.2">
      <c r="C749" s="5">
        <v>45313</v>
      </c>
      <c r="D749" s="6">
        <v>0.99999000000000005</v>
      </c>
      <c r="E749" s="6">
        <v>39525.769999999997</v>
      </c>
      <c r="F749" s="6">
        <v>39512</v>
      </c>
      <c r="G749" s="6">
        <v>39573.68</v>
      </c>
      <c r="H749" s="6">
        <v>39545.9</v>
      </c>
      <c r="I749" s="5">
        <v>45313</v>
      </c>
      <c r="J749" s="7">
        <f t="shared" si="68"/>
        <v>5.0928799110060749E-4</v>
      </c>
      <c r="K749" s="5">
        <v>45313</v>
      </c>
      <c r="L749" s="8">
        <f t="shared" si="66"/>
        <v>1.5610447458999871E-3</v>
      </c>
      <c r="M749" s="5">
        <v>45313</v>
      </c>
      <c r="N749" s="9">
        <f t="shared" si="67"/>
        <v>2.0703327370005945E-3</v>
      </c>
      <c r="O749" s="5">
        <v>45313</v>
      </c>
      <c r="P749">
        <f t="shared" si="69"/>
        <v>0.9992980182788157</v>
      </c>
      <c r="Q749" s="6">
        <f t="shared" si="70"/>
        <v>1.000010000100001</v>
      </c>
      <c r="R749">
        <f t="shared" si="71"/>
        <v>-7.1222827572093336E-4</v>
      </c>
      <c r="T749" s="5">
        <v>45313</v>
      </c>
      <c r="U749" s="1">
        <v>-7.1222827572093336E-4</v>
      </c>
    </row>
    <row r="750" spans="3:21" x14ac:dyDescent="0.2">
      <c r="C750" s="5">
        <v>45314</v>
      </c>
      <c r="D750" s="6">
        <v>0.99997000000000003</v>
      </c>
      <c r="E750" s="6">
        <v>39866.19</v>
      </c>
      <c r="F750" s="6">
        <v>39869</v>
      </c>
      <c r="G750" s="6">
        <v>39938.68</v>
      </c>
      <c r="H750" s="6">
        <v>39882.5</v>
      </c>
      <c r="I750" s="5">
        <v>45314</v>
      </c>
      <c r="J750" s="7">
        <f t="shared" si="68"/>
        <v>4.0911860401000622E-4</v>
      </c>
      <c r="K750" s="5">
        <v>45314</v>
      </c>
      <c r="L750" s="8">
        <f t="shared" si="66"/>
        <v>1.7477237954300407E-3</v>
      </c>
      <c r="M750" s="5">
        <v>45314</v>
      </c>
      <c r="N750" s="9">
        <f t="shared" si="67"/>
        <v>2.156842399440047E-3</v>
      </c>
      <c r="O750" s="5">
        <v>45314</v>
      </c>
      <c r="P750">
        <f t="shared" si="69"/>
        <v>0.99859334359573226</v>
      </c>
      <c r="Q750" s="6">
        <f t="shared" si="70"/>
        <v>1.0000300009000269</v>
      </c>
      <c r="R750">
        <f t="shared" si="71"/>
        <v>-1.4376471241517345E-3</v>
      </c>
      <c r="T750" s="5">
        <v>45314</v>
      </c>
      <c r="U750" s="1">
        <v>-1.4376471241517345E-3</v>
      </c>
    </row>
    <row r="751" spans="3:21" x14ac:dyDescent="0.2">
      <c r="C751" s="5">
        <v>45315</v>
      </c>
      <c r="D751" s="6">
        <v>0.99997000000000003</v>
      </c>
      <c r="E751" s="6">
        <v>40066.550000000003</v>
      </c>
      <c r="F751" s="6">
        <v>40061</v>
      </c>
      <c r="G751" s="6">
        <v>40088.870000000003</v>
      </c>
      <c r="H751" s="6">
        <v>40074.6</v>
      </c>
      <c r="I751" s="5">
        <v>45315</v>
      </c>
      <c r="J751" s="7">
        <f t="shared" si="68"/>
        <v>2.0091572645999304E-4</v>
      </c>
      <c r="K751" s="5">
        <v>45315</v>
      </c>
      <c r="L751" s="8">
        <f t="shared" si="66"/>
        <v>6.9568907416196844E-4</v>
      </c>
      <c r="M751" s="5">
        <v>45315</v>
      </c>
      <c r="N751" s="9">
        <f t="shared" si="67"/>
        <v>8.9660480062196148E-4</v>
      </c>
      <c r="O751" s="5">
        <v>45315</v>
      </c>
      <c r="P751">
        <f t="shared" si="69"/>
        <v>0.99964404085223646</v>
      </c>
      <c r="Q751" s="6">
        <f t="shared" si="70"/>
        <v>1.0000300009000269</v>
      </c>
      <c r="R751">
        <f t="shared" si="71"/>
        <v>-3.8602296626803154E-4</v>
      </c>
      <c r="T751" s="5">
        <v>45315</v>
      </c>
      <c r="U751" s="1">
        <v>-3.8602296626803154E-4</v>
      </c>
    </row>
    <row r="752" spans="3:21" x14ac:dyDescent="0.2">
      <c r="C752" s="5">
        <v>45316</v>
      </c>
      <c r="D752" s="6">
        <v>1.0000100000000001</v>
      </c>
      <c r="E752" s="6">
        <v>39936.080000000002</v>
      </c>
      <c r="F752" s="6">
        <v>39923</v>
      </c>
      <c r="G752" s="6">
        <v>39981.949999999997</v>
      </c>
      <c r="H752" s="6">
        <v>39954.9</v>
      </c>
      <c r="I752" s="5">
        <v>45316</v>
      </c>
      <c r="J752" s="7">
        <f t="shared" si="68"/>
        <v>4.7125306239369783E-4</v>
      </c>
      <c r="K752" s="5">
        <v>45316</v>
      </c>
      <c r="L752" s="8">
        <f t="shared" si="66"/>
        <v>1.4765924404477892E-3</v>
      </c>
      <c r="M752" s="5">
        <v>45316</v>
      </c>
      <c r="N752" s="9">
        <f t="shared" si="67"/>
        <v>1.9478455028414871E-3</v>
      </c>
      <c r="O752" s="5">
        <v>45316</v>
      </c>
      <c r="P752">
        <f t="shared" si="69"/>
        <v>0.99932344470442291</v>
      </c>
      <c r="Q752" s="6">
        <f t="shared" si="70"/>
        <v>0.99999000009999894</v>
      </c>
      <c r="R752">
        <f t="shared" si="71"/>
        <v>-6.6678431238902222E-4</v>
      </c>
      <c r="T752" s="5">
        <v>45316</v>
      </c>
      <c r="U752" s="1">
        <v>-6.6678431238902222E-4</v>
      </c>
    </row>
    <row r="753" spans="3:21" x14ac:dyDescent="0.2">
      <c r="C753" s="5">
        <v>45317</v>
      </c>
      <c r="D753" s="6">
        <v>1.00004</v>
      </c>
      <c r="E753" s="6">
        <v>41814.980000000003</v>
      </c>
      <c r="F753" s="6">
        <v>41790</v>
      </c>
      <c r="G753" s="6">
        <v>41853.4</v>
      </c>
      <c r="H753" s="6">
        <v>41774.1</v>
      </c>
      <c r="I753" s="5">
        <v>45317</v>
      </c>
      <c r="J753" s="7">
        <f t="shared" si="68"/>
        <v>-9.7764007061595286E-4</v>
      </c>
      <c r="K753" s="5">
        <v>45317</v>
      </c>
      <c r="L753" s="8">
        <f t="shared" si="66"/>
        <v>1.5171093563053711E-3</v>
      </c>
      <c r="M753" s="5">
        <v>45317</v>
      </c>
      <c r="N753" s="9">
        <f t="shared" si="67"/>
        <v>5.3946928568941819E-4</v>
      </c>
      <c r="O753" s="5">
        <v>45317</v>
      </c>
      <c r="P753">
        <f t="shared" si="69"/>
        <v>0.99810529132639147</v>
      </c>
      <c r="Q753" s="6">
        <f t="shared" si="70"/>
        <v>0.99996000159993592</v>
      </c>
      <c r="R753">
        <f t="shared" si="71"/>
        <v>-1.8565067045776297E-3</v>
      </c>
      <c r="T753" s="5">
        <v>45317</v>
      </c>
      <c r="U753" s="1">
        <v>-1.8565067045776297E-3</v>
      </c>
    </row>
    <row r="754" spans="3:21" x14ac:dyDescent="0.2">
      <c r="C754" s="5">
        <v>45318</v>
      </c>
      <c r="D754" s="6">
        <v>1</v>
      </c>
      <c r="E754" s="6">
        <v>42116.800000000003</v>
      </c>
      <c r="F754" s="6">
        <v>42096.5</v>
      </c>
      <c r="G754" s="6">
        <v>42231.48</v>
      </c>
      <c r="H754" s="6">
        <v>42093.7</v>
      </c>
      <c r="I754" s="5">
        <v>45318</v>
      </c>
      <c r="J754" s="7">
        <f t="shared" si="68"/>
        <v>-5.4847471792742613E-4</v>
      </c>
      <c r="K754" s="5">
        <v>45318</v>
      </c>
      <c r="L754" s="8">
        <f t="shared" si="66"/>
        <v>3.2064423408122576E-3</v>
      </c>
      <c r="M754" s="5">
        <v>45318</v>
      </c>
      <c r="N754" s="9">
        <f t="shared" si="67"/>
        <v>2.6579676228848316E-3</v>
      </c>
      <c r="O754" s="5">
        <v>45318</v>
      </c>
      <c r="P754">
        <f t="shared" si="69"/>
        <v>0.99673750481868018</v>
      </c>
      <c r="Q754" s="6">
        <f t="shared" si="70"/>
        <v>1</v>
      </c>
      <c r="R754">
        <f t="shared" si="71"/>
        <v>-3.2678287223177915E-3</v>
      </c>
      <c r="T754" s="5">
        <v>45318</v>
      </c>
      <c r="U754" s="1">
        <v>-3.2678287223177915E-3</v>
      </c>
    </row>
    <row r="755" spans="3:21" x14ac:dyDescent="0.2">
      <c r="C755" s="5">
        <v>45319</v>
      </c>
      <c r="D755" s="6">
        <v>0.99999000000000005</v>
      </c>
      <c r="E755" s="6">
        <v>42030.33</v>
      </c>
      <c r="F755" s="6">
        <v>42014.5</v>
      </c>
      <c r="G755" s="6">
        <v>42061.919999999998</v>
      </c>
      <c r="H755" s="6">
        <v>41989.5</v>
      </c>
      <c r="I755" s="5">
        <v>45319</v>
      </c>
      <c r="J755" s="7">
        <f t="shared" si="68"/>
        <v>-9.7144133771973106E-4</v>
      </c>
      <c r="K755" s="5">
        <v>45319</v>
      </c>
      <c r="L755" s="8">
        <f t="shared" si="66"/>
        <v>1.1286579633221449E-3</v>
      </c>
      <c r="M755" s="5">
        <v>45319</v>
      </c>
      <c r="N755" s="9">
        <f t="shared" si="67"/>
        <v>1.5721662560241379E-4</v>
      </c>
      <c r="O755" s="5">
        <v>45319</v>
      </c>
      <c r="P755">
        <f t="shared" si="69"/>
        <v>0.99827825263326064</v>
      </c>
      <c r="Q755" s="6">
        <f t="shared" si="70"/>
        <v>1.000010000100001</v>
      </c>
      <c r="R755">
        <f t="shared" si="71"/>
        <v>-1.7332313272610444E-3</v>
      </c>
      <c r="T755" s="5">
        <v>45319</v>
      </c>
      <c r="U755" s="1">
        <v>-1.7332313272610444E-3</v>
      </c>
    </row>
    <row r="756" spans="3:21" x14ac:dyDescent="0.2">
      <c r="C756" s="5">
        <v>45320</v>
      </c>
      <c r="D756" s="6">
        <v>1.00003</v>
      </c>
      <c r="E756" s="6">
        <v>43300.15</v>
      </c>
      <c r="F756" s="6">
        <v>43287</v>
      </c>
      <c r="G756" s="6">
        <v>43331.44</v>
      </c>
      <c r="H756" s="6">
        <v>43283.4</v>
      </c>
      <c r="I756" s="5">
        <v>45320</v>
      </c>
      <c r="J756" s="7">
        <f t="shared" si="68"/>
        <v>-3.8683468763965021E-4</v>
      </c>
      <c r="K756" s="5">
        <v>45320</v>
      </c>
      <c r="L756" s="8">
        <f t="shared" si="66"/>
        <v>1.0266361725229821E-3</v>
      </c>
      <c r="M756" s="5">
        <v>45320</v>
      </c>
      <c r="N756" s="9">
        <f t="shared" si="67"/>
        <v>6.3980148488333179E-4</v>
      </c>
      <c r="O756" s="5">
        <v>45320</v>
      </c>
      <c r="P756">
        <f t="shared" si="69"/>
        <v>0.99889133617530368</v>
      </c>
      <c r="Q756" s="6">
        <f t="shared" si="70"/>
        <v>0.99997000089997301</v>
      </c>
      <c r="R756">
        <f t="shared" si="71"/>
        <v>-1.0792792970361204E-3</v>
      </c>
      <c r="T756" s="5">
        <v>45320</v>
      </c>
      <c r="U756" s="1">
        <v>-1.0792792970361204E-3</v>
      </c>
    </row>
    <row r="757" spans="3:21" x14ac:dyDescent="0.2">
      <c r="C757" s="5">
        <v>45321</v>
      </c>
      <c r="D757" s="6">
        <v>0.99997999999999998</v>
      </c>
      <c r="E757" s="6">
        <v>42941.04</v>
      </c>
      <c r="F757" s="6">
        <v>42924</v>
      </c>
      <c r="G757" s="6">
        <v>42979.28</v>
      </c>
      <c r="H757" s="6">
        <v>42917.3</v>
      </c>
      <c r="I757" s="5">
        <v>45321</v>
      </c>
      <c r="J757" s="7">
        <f t="shared" si="68"/>
        <v>-5.5285107207459253E-4</v>
      </c>
      <c r="K757" s="5">
        <v>45321</v>
      </c>
      <c r="L757" s="8">
        <f t="shared" si="66"/>
        <v>1.2878576087969164E-3</v>
      </c>
      <c r="M757" s="5">
        <v>45321</v>
      </c>
      <c r="N757" s="9">
        <f t="shared" si="67"/>
        <v>7.3500653672232388E-4</v>
      </c>
      <c r="O757" s="5">
        <v>45321</v>
      </c>
      <c r="P757">
        <f t="shared" si="69"/>
        <v>0.99855790976489145</v>
      </c>
      <c r="Q757" s="6">
        <f t="shared" si="70"/>
        <v>1.0000200004000079</v>
      </c>
      <c r="R757">
        <f t="shared" si="71"/>
        <v>-1.4631312479852681E-3</v>
      </c>
      <c r="T757" s="5">
        <v>45321</v>
      </c>
      <c r="U757" s="1">
        <v>-1.4631312479852681E-3</v>
      </c>
    </row>
    <row r="758" spans="3:21" x14ac:dyDescent="0.2">
      <c r="C758" s="5">
        <v>45322</v>
      </c>
      <c r="D758" s="6">
        <v>0.99997000000000003</v>
      </c>
      <c r="E758" s="6">
        <v>42548.69</v>
      </c>
      <c r="F758" s="6">
        <v>42540</v>
      </c>
      <c r="G758" s="6">
        <v>42581.86</v>
      </c>
      <c r="H758" s="6">
        <v>42555.8</v>
      </c>
      <c r="I758" s="5">
        <v>45322</v>
      </c>
      <c r="J758" s="7">
        <f t="shared" si="68"/>
        <v>1.6710267695669553E-4</v>
      </c>
      <c r="K758" s="5">
        <v>45322</v>
      </c>
      <c r="L758" s="8">
        <f t="shared" si="66"/>
        <v>9.8401504466385939E-4</v>
      </c>
      <c r="M758" s="5">
        <v>45322</v>
      </c>
      <c r="N758" s="9">
        <f t="shared" si="67"/>
        <v>1.1511177216205549E-3</v>
      </c>
      <c r="O758" s="5">
        <v>45322</v>
      </c>
      <c r="P758">
        <f t="shared" si="69"/>
        <v>0.99938800230896452</v>
      </c>
      <c r="Q758" s="6">
        <f t="shared" si="70"/>
        <v>1.0000300009000269</v>
      </c>
      <c r="R758">
        <f t="shared" si="71"/>
        <v>-6.421854880725047E-4</v>
      </c>
      <c r="T758" s="5">
        <v>45322</v>
      </c>
      <c r="U758" s="1">
        <v>-6.421854880725047E-4</v>
      </c>
    </row>
    <row r="759" spans="3:21" x14ac:dyDescent="0.2">
      <c r="C759" s="5">
        <v>45323</v>
      </c>
      <c r="D759" s="6">
        <v>0.99997999999999998</v>
      </c>
      <c r="E759" s="6">
        <v>43072.14</v>
      </c>
      <c r="F759" s="6">
        <v>43052.5</v>
      </c>
      <c r="G759" s="6">
        <v>43111.82</v>
      </c>
      <c r="H759" s="6">
        <v>43043.7</v>
      </c>
      <c r="I759" s="5">
        <v>45323</v>
      </c>
      <c r="J759" s="7">
        <f t="shared" si="68"/>
        <v>-6.6028760121977521E-4</v>
      </c>
      <c r="K759" s="5">
        <v>45323</v>
      </c>
      <c r="L759" s="8">
        <f t="shared" si="66"/>
        <v>1.3778526217989597E-3</v>
      </c>
      <c r="M759" s="5">
        <v>45323</v>
      </c>
      <c r="N759" s="9">
        <f t="shared" si="67"/>
        <v>7.1756502057918449E-4</v>
      </c>
      <c r="O759" s="5">
        <v>45323</v>
      </c>
      <c r="P759">
        <f t="shared" si="69"/>
        <v>0.9984199228888968</v>
      </c>
      <c r="Q759" s="6">
        <f t="shared" si="70"/>
        <v>1.0000200004000079</v>
      </c>
      <c r="R759">
        <f t="shared" si="71"/>
        <v>-1.6013269494678042E-3</v>
      </c>
      <c r="T759" s="5">
        <v>45323</v>
      </c>
      <c r="U759" s="1">
        <v>-1.6013269494678042E-3</v>
      </c>
    </row>
    <row r="760" spans="3:21" x14ac:dyDescent="0.2">
      <c r="C760" s="5">
        <v>45324</v>
      </c>
      <c r="D760" s="6">
        <v>0.99999000000000005</v>
      </c>
      <c r="E760" s="6">
        <v>43175.95</v>
      </c>
      <c r="F760" s="6">
        <v>43161.5</v>
      </c>
      <c r="G760" s="6">
        <v>43164.09</v>
      </c>
      <c r="H760" s="6">
        <v>43145.599999999999</v>
      </c>
      <c r="I760" s="5">
        <v>45324</v>
      </c>
      <c r="J760" s="7">
        <f t="shared" si="68"/>
        <v>-7.0293763078747656E-4</v>
      </c>
      <c r="K760" s="5">
        <v>45324</v>
      </c>
      <c r="L760" s="8">
        <f t="shared" si="66"/>
        <v>6.000718232676129E-5</v>
      </c>
      <c r="M760" s="5">
        <v>45324</v>
      </c>
      <c r="N760" s="9">
        <f t="shared" si="67"/>
        <v>-6.4293044846071529E-4</v>
      </c>
      <c r="O760" s="5">
        <v>45324</v>
      </c>
      <c r="P760">
        <f t="shared" si="69"/>
        <v>0.99957163466205368</v>
      </c>
      <c r="Q760" s="6">
        <f t="shared" si="70"/>
        <v>1.000010000100001</v>
      </c>
      <c r="R760">
        <f t="shared" si="71"/>
        <v>-4.384571625876995E-4</v>
      </c>
      <c r="T760" s="5">
        <v>45324</v>
      </c>
      <c r="U760" s="1">
        <v>-4.384571625876995E-4</v>
      </c>
    </row>
    <row r="761" spans="3:21" x14ac:dyDescent="0.2">
      <c r="C761" s="5">
        <v>45325</v>
      </c>
      <c r="D761" s="6">
        <v>0.99999000000000005</v>
      </c>
      <c r="E761" s="6">
        <v>43003.28</v>
      </c>
      <c r="F761" s="6">
        <v>42984</v>
      </c>
      <c r="G761" s="6">
        <v>43014.559999999998</v>
      </c>
      <c r="H761" s="6">
        <v>42976</v>
      </c>
      <c r="I761" s="5">
        <v>45325</v>
      </c>
      <c r="J761" s="7">
        <f t="shared" si="68"/>
        <v>-6.3437021548121066E-4</v>
      </c>
      <c r="K761" s="5">
        <v>45325</v>
      </c>
      <c r="L761" s="8">
        <f t="shared" si="66"/>
        <v>7.1096221849985275E-4</v>
      </c>
      <c r="M761" s="5">
        <v>45325</v>
      </c>
      <c r="N761" s="9">
        <f t="shared" si="67"/>
        <v>7.6592003018642087E-5</v>
      </c>
      <c r="O761" s="5">
        <v>45325</v>
      </c>
      <c r="P761">
        <f t="shared" si="69"/>
        <v>0.99910355935292616</v>
      </c>
      <c r="Q761" s="6">
        <f t="shared" si="70"/>
        <v>1.000010000100001</v>
      </c>
      <c r="R761">
        <f t="shared" si="71"/>
        <v>-9.0684274028089218E-4</v>
      </c>
      <c r="T761" s="5">
        <v>45325</v>
      </c>
      <c r="U761" s="1">
        <v>-9.0684274028089218E-4</v>
      </c>
    </row>
    <row r="762" spans="3:21" x14ac:dyDescent="0.2">
      <c r="C762" s="5">
        <v>45326</v>
      </c>
      <c r="D762" s="6">
        <v>0.99997000000000003</v>
      </c>
      <c r="E762" s="6">
        <v>42568.6</v>
      </c>
      <c r="F762" s="6">
        <v>42542</v>
      </c>
      <c r="G762" s="6">
        <v>42623.1</v>
      </c>
      <c r="H762" s="6">
        <v>42552.4</v>
      </c>
      <c r="I762" s="5">
        <v>45326</v>
      </c>
      <c r="J762" s="7">
        <f t="shared" si="68"/>
        <v>-3.8056219842788088E-4</v>
      </c>
      <c r="K762" s="5">
        <v>45326</v>
      </c>
      <c r="L762" s="8">
        <f t="shared" si="66"/>
        <v>1.9063513704103837E-3</v>
      </c>
      <c r="M762" s="5">
        <v>45326</v>
      </c>
      <c r="N762" s="9">
        <f t="shared" si="67"/>
        <v>1.5257891719825029E-3</v>
      </c>
      <c r="O762" s="5">
        <v>45326</v>
      </c>
      <c r="P762">
        <f t="shared" si="69"/>
        <v>0.99834127503630676</v>
      </c>
      <c r="Q762" s="6">
        <f t="shared" si="70"/>
        <v>1.0000300009000269</v>
      </c>
      <c r="R762">
        <f t="shared" si="71"/>
        <v>-1.6901026211043311E-3</v>
      </c>
      <c r="T762" s="5">
        <v>45326</v>
      </c>
      <c r="U762" s="1">
        <v>-1.6901026211043311E-3</v>
      </c>
    </row>
    <row r="763" spans="3:21" x14ac:dyDescent="0.2">
      <c r="C763" s="5">
        <v>45327</v>
      </c>
      <c r="D763" s="6">
        <v>0.99999000000000005</v>
      </c>
      <c r="E763" s="6">
        <v>42653.8</v>
      </c>
      <c r="F763" s="6">
        <v>42645.5</v>
      </c>
      <c r="G763" s="6">
        <v>42678.45</v>
      </c>
      <c r="H763" s="6">
        <v>42674.1</v>
      </c>
      <c r="I763" s="5">
        <v>45327</v>
      </c>
      <c r="J763" s="7">
        <f t="shared" si="68"/>
        <v>4.7592477106367154E-4</v>
      </c>
      <c r="K763" s="5">
        <v>45327</v>
      </c>
      <c r="L763" s="8">
        <f t="shared" si="66"/>
        <v>7.7264893130569675E-4</v>
      </c>
      <c r="M763" s="5">
        <v>45327</v>
      </c>
      <c r="N763" s="9">
        <f t="shared" si="67"/>
        <v>1.2485737023693682E-3</v>
      </c>
      <c r="O763" s="5">
        <v>45327</v>
      </c>
      <c r="P763">
        <f t="shared" si="69"/>
        <v>0.99989807502381178</v>
      </c>
      <c r="Q763" s="6">
        <f t="shared" si="70"/>
        <v>1.000010000100001</v>
      </c>
      <c r="R763">
        <f t="shared" si="71"/>
        <v>-1.1193022089183935E-4</v>
      </c>
      <c r="T763" s="5">
        <v>45327</v>
      </c>
      <c r="U763" s="1">
        <v>-1.1193022089183935E-4</v>
      </c>
    </row>
    <row r="764" spans="3:21" x14ac:dyDescent="0.2">
      <c r="C764" s="5">
        <v>45328</v>
      </c>
      <c r="D764" s="6">
        <v>0.99997000000000003</v>
      </c>
      <c r="E764" s="6">
        <v>43091.68</v>
      </c>
      <c r="F764" s="6">
        <v>43061.5</v>
      </c>
      <c r="G764" s="6">
        <v>43066.96</v>
      </c>
      <c r="H764" s="6">
        <v>43056.6</v>
      </c>
      <c r="I764" s="5">
        <v>45328</v>
      </c>
      <c r="J764" s="7">
        <f t="shared" si="68"/>
        <v>-8.1407826290369153E-4</v>
      </c>
      <c r="K764" s="5">
        <v>45328</v>
      </c>
      <c r="L764" s="8">
        <f t="shared" si="66"/>
        <v>1.2679539728061324E-4</v>
      </c>
      <c r="M764" s="5">
        <v>45328</v>
      </c>
      <c r="N764" s="9">
        <f t="shared" si="67"/>
        <v>-6.8728286562307831E-4</v>
      </c>
      <c r="O764" s="5">
        <v>45328</v>
      </c>
      <c r="P764">
        <f t="shared" si="69"/>
        <v>0.99975944436291775</v>
      </c>
      <c r="Q764" s="6">
        <f t="shared" si="70"/>
        <v>1.0000300009000269</v>
      </c>
      <c r="R764">
        <f t="shared" si="71"/>
        <v>-2.7058502523936962E-4</v>
      </c>
      <c r="T764" s="5">
        <v>45328</v>
      </c>
      <c r="U764" s="1">
        <v>-2.7058502523936962E-4</v>
      </c>
    </row>
    <row r="765" spans="3:21" x14ac:dyDescent="0.2">
      <c r="C765" s="5">
        <v>45329</v>
      </c>
      <c r="D765" s="6">
        <v>1.0000100000000001</v>
      </c>
      <c r="E765" s="6">
        <v>44341.78</v>
      </c>
      <c r="F765" s="6">
        <v>44329</v>
      </c>
      <c r="G765" s="6">
        <v>44318.74</v>
      </c>
      <c r="H765" s="6">
        <v>44291.1</v>
      </c>
      <c r="I765" s="5">
        <v>45329</v>
      </c>
      <c r="J765" s="7">
        <f t="shared" si="68"/>
        <v>-1.1429401345638423E-3</v>
      </c>
      <c r="K765" s="5">
        <v>45329</v>
      </c>
      <c r="L765" s="8">
        <f t="shared" si="66"/>
        <v>-2.3145119447770166E-4</v>
      </c>
      <c r="M765" s="5">
        <v>45329</v>
      </c>
      <c r="N765" s="9">
        <f t="shared" si="67"/>
        <v>-1.374391329041544E-3</v>
      </c>
      <c r="O765" s="5">
        <v>45329</v>
      </c>
      <c r="P765">
        <f t="shared" si="69"/>
        <v>0.99937633606009557</v>
      </c>
      <c r="Q765" s="6">
        <f t="shared" si="70"/>
        <v>0.99999000009999894</v>
      </c>
      <c r="R765">
        <f t="shared" si="71"/>
        <v>-6.1385854915629173E-4</v>
      </c>
      <c r="T765" s="5">
        <v>45329</v>
      </c>
      <c r="U765" s="1">
        <v>-6.1385854915629173E-4</v>
      </c>
    </row>
    <row r="766" spans="3:21" x14ac:dyDescent="0.2">
      <c r="C766" s="5">
        <v>45330</v>
      </c>
      <c r="D766" s="6">
        <v>0.99999000000000005</v>
      </c>
      <c r="E766" s="6">
        <v>45299.26</v>
      </c>
      <c r="F766" s="6">
        <v>45276</v>
      </c>
      <c r="G766" s="6">
        <v>45328.75</v>
      </c>
      <c r="H766" s="6">
        <v>45265.2</v>
      </c>
      <c r="I766" s="5">
        <v>45330</v>
      </c>
      <c r="J766" s="7">
        <f t="shared" si="68"/>
        <v>-7.5188866219900606E-4</v>
      </c>
      <c r="K766" s="5">
        <v>45330</v>
      </c>
      <c r="L766" s="8">
        <f t="shared" si="66"/>
        <v>1.165076420178461E-3</v>
      </c>
      <c r="M766" s="5">
        <v>45330</v>
      </c>
      <c r="N766" s="9">
        <f t="shared" si="67"/>
        <v>4.1318775797945489E-4</v>
      </c>
      <c r="O766" s="5">
        <v>45330</v>
      </c>
      <c r="P766">
        <f t="shared" si="69"/>
        <v>0.99859802002040632</v>
      </c>
      <c r="Q766" s="6">
        <f t="shared" si="70"/>
        <v>1.000010000100001</v>
      </c>
      <c r="R766">
        <f t="shared" si="71"/>
        <v>-1.4129637230454373E-3</v>
      </c>
      <c r="T766" s="5">
        <v>45330</v>
      </c>
      <c r="U766" s="1">
        <v>-1.4129637230454373E-3</v>
      </c>
    </row>
    <row r="767" spans="3:21" x14ac:dyDescent="0.2">
      <c r="C767" s="5">
        <v>45331</v>
      </c>
      <c r="D767" s="6">
        <v>1.00004</v>
      </c>
      <c r="E767" s="6">
        <v>47152.9</v>
      </c>
      <c r="F767" s="6">
        <v>47142.5</v>
      </c>
      <c r="G767" s="6">
        <v>47103.48</v>
      </c>
      <c r="H767" s="6">
        <v>47128</v>
      </c>
      <c r="I767" s="5">
        <v>45331</v>
      </c>
      <c r="J767" s="7">
        <f t="shared" si="68"/>
        <v>-5.2806932341386116E-4</v>
      </c>
      <c r="K767" s="5">
        <v>45331</v>
      </c>
      <c r="L767" s="8">
        <f t="shared" si="66"/>
        <v>-8.2770324017599406E-4</v>
      </c>
      <c r="M767" s="5">
        <v>45331</v>
      </c>
      <c r="N767" s="9">
        <f t="shared" si="67"/>
        <v>-1.3557725635898552E-3</v>
      </c>
      <c r="O767" s="5">
        <v>45331</v>
      </c>
      <c r="P767">
        <f t="shared" si="69"/>
        <v>1.0005205560183663</v>
      </c>
      <c r="Q767" s="6">
        <f t="shared" si="70"/>
        <v>0.99996000159993592</v>
      </c>
      <c r="R767">
        <f t="shared" si="71"/>
        <v>5.6041977610513539E-4</v>
      </c>
      <c r="T767" s="5">
        <v>45331</v>
      </c>
      <c r="U767" s="1">
        <v>5.6041977610513539E-4</v>
      </c>
    </row>
    <row r="768" spans="3:21" x14ac:dyDescent="0.2">
      <c r="C768" s="5">
        <v>45332</v>
      </c>
      <c r="D768" s="6">
        <v>0.99999000000000005</v>
      </c>
      <c r="E768" s="6">
        <v>47766.52</v>
      </c>
      <c r="F768" s="6">
        <v>47753</v>
      </c>
      <c r="G768" s="6">
        <v>47662.7</v>
      </c>
      <c r="H768" s="6">
        <v>47736.6</v>
      </c>
      <c r="I768" s="5">
        <v>45332</v>
      </c>
      <c r="J768" s="7">
        <f t="shared" si="68"/>
        <v>-6.2638015078339928E-4</v>
      </c>
      <c r="K768" s="5">
        <v>45332</v>
      </c>
      <c r="L768" s="8">
        <f t="shared" si="66"/>
        <v>-1.8909806713714931E-3</v>
      </c>
      <c r="M768" s="5">
        <v>45332</v>
      </c>
      <c r="N768" s="9">
        <f t="shared" si="67"/>
        <v>-2.5173608221548925E-3</v>
      </c>
      <c r="O768" s="5">
        <v>45332</v>
      </c>
      <c r="P768">
        <f t="shared" si="69"/>
        <v>1.0015504786761975</v>
      </c>
      <c r="Q768" s="6">
        <f t="shared" si="70"/>
        <v>1.000010000100001</v>
      </c>
      <c r="R768">
        <f t="shared" si="71"/>
        <v>1.5392778751336805E-3</v>
      </c>
      <c r="T768" s="5">
        <v>45332</v>
      </c>
      <c r="U768" s="1">
        <v>1.5392778751336805E-3</v>
      </c>
    </row>
    <row r="769" spans="3:21" x14ac:dyDescent="0.2">
      <c r="C769" s="5">
        <v>45333</v>
      </c>
      <c r="D769" s="6">
        <v>0.99999000000000005</v>
      </c>
      <c r="E769" s="6">
        <v>48319.3</v>
      </c>
      <c r="F769" s="6">
        <v>48331</v>
      </c>
      <c r="G769" s="6">
        <v>48162.32</v>
      </c>
      <c r="H769" s="6">
        <v>48300.4</v>
      </c>
      <c r="I769" s="5">
        <v>45333</v>
      </c>
      <c r="J769" s="7">
        <f t="shared" si="68"/>
        <v>-3.9114805057195479E-4</v>
      </c>
      <c r="K769" s="5">
        <v>45333</v>
      </c>
      <c r="L769" s="8">
        <f t="shared" si="66"/>
        <v>-3.4900995220458978E-3</v>
      </c>
      <c r="M769" s="5">
        <v>45333</v>
      </c>
      <c r="N769" s="9">
        <f t="shared" si="67"/>
        <v>-3.8812475726178524E-3</v>
      </c>
      <c r="O769" s="5">
        <v>45333</v>
      </c>
      <c r="P769">
        <f t="shared" si="69"/>
        <v>1.0028669715246274</v>
      </c>
      <c r="Q769" s="6">
        <f t="shared" si="70"/>
        <v>1.000010000100001</v>
      </c>
      <c r="R769">
        <f t="shared" si="71"/>
        <v>2.8528695499629637E-3</v>
      </c>
      <c r="T769" s="5">
        <v>45333</v>
      </c>
      <c r="U769" s="1">
        <v>2.8528695499629637E-3</v>
      </c>
    </row>
    <row r="770" spans="3:21" x14ac:dyDescent="0.2">
      <c r="C770" s="5">
        <v>45334</v>
      </c>
      <c r="D770" s="6">
        <v>1</v>
      </c>
      <c r="E770" s="6">
        <v>49942.82</v>
      </c>
      <c r="F770" s="6">
        <v>49944</v>
      </c>
      <c r="G770" s="6">
        <v>49842.57</v>
      </c>
      <c r="H770" s="6">
        <v>49956.2</v>
      </c>
      <c r="I770" s="5">
        <v>45334</v>
      </c>
      <c r="J770" s="7">
        <f t="shared" si="68"/>
        <v>2.6790637773352365E-4</v>
      </c>
      <c r="K770" s="5">
        <v>45334</v>
      </c>
      <c r="L770" s="8">
        <f t="shared" si="66"/>
        <v>-2.0308745795290786E-3</v>
      </c>
      <c r="M770" s="5">
        <v>45334</v>
      </c>
      <c r="N770" s="9">
        <f t="shared" si="67"/>
        <v>-1.7629682017955548E-3</v>
      </c>
      <c r="O770" s="5">
        <v>45334</v>
      </c>
      <c r="P770">
        <f t="shared" si="69"/>
        <v>1.0022797781093551</v>
      </c>
      <c r="Q770" s="6">
        <f t="shared" si="70"/>
        <v>1</v>
      </c>
      <c r="R770">
        <f t="shared" si="71"/>
        <v>2.2771833581308612E-3</v>
      </c>
      <c r="T770" s="5">
        <v>45334</v>
      </c>
      <c r="U770" s="1">
        <v>2.2771833581308612E-3</v>
      </c>
    </row>
    <row r="771" spans="3:21" x14ac:dyDescent="0.2">
      <c r="C771" s="5">
        <v>45335</v>
      </c>
      <c r="D771" s="6">
        <v>0.99999000000000005</v>
      </c>
      <c r="E771" s="6">
        <v>49725.58</v>
      </c>
      <c r="F771" s="6">
        <v>49736</v>
      </c>
      <c r="G771" s="6">
        <v>49710.45</v>
      </c>
      <c r="H771" s="6">
        <v>49726.6</v>
      </c>
      <c r="I771" s="5">
        <v>45335</v>
      </c>
      <c r="J771" s="7">
        <f t="shared" si="68"/>
        <v>2.0512581250873265E-5</v>
      </c>
      <c r="K771" s="5">
        <v>45335</v>
      </c>
      <c r="L771" s="8">
        <f t="shared" si="66"/>
        <v>-5.1371240147987196E-4</v>
      </c>
      <c r="M771" s="5">
        <v>45335</v>
      </c>
      <c r="N771" s="9">
        <f t="shared" si="67"/>
        <v>-4.931998202289987E-4</v>
      </c>
      <c r="O771" s="5">
        <v>45335</v>
      </c>
      <c r="P771">
        <f t="shared" si="69"/>
        <v>1.0003248813881187</v>
      </c>
      <c r="Q771" s="6">
        <f t="shared" si="70"/>
        <v>1.000010000100001</v>
      </c>
      <c r="R771">
        <f t="shared" si="71"/>
        <v>3.1482857558752791E-4</v>
      </c>
      <c r="T771" s="5">
        <v>45335</v>
      </c>
      <c r="U771" s="1">
        <v>3.1482857558752791E-4</v>
      </c>
    </row>
    <row r="772" spans="3:21" x14ac:dyDescent="0.2">
      <c r="C772" s="5">
        <v>45336</v>
      </c>
      <c r="D772" s="6">
        <v>1</v>
      </c>
      <c r="E772" s="6">
        <v>51844.54</v>
      </c>
      <c r="F772" s="6">
        <v>51849</v>
      </c>
      <c r="G772" s="6">
        <v>51890.11</v>
      </c>
      <c r="H772" s="6">
        <v>51825.599999999999</v>
      </c>
      <c r="I772" s="5">
        <v>45336</v>
      </c>
      <c r="J772" s="7">
        <f t="shared" si="68"/>
        <v>-3.6532294432552257E-4</v>
      </c>
      <c r="K772" s="5">
        <v>45336</v>
      </c>
      <c r="L772" s="8">
        <f t="shared" si="66"/>
        <v>7.9287932264847122E-4</v>
      </c>
      <c r="M772" s="5">
        <v>45336</v>
      </c>
      <c r="N772" s="9">
        <f t="shared" si="67"/>
        <v>4.2755637832294865E-4</v>
      </c>
      <c r="O772" s="5">
        <v>45336</v>
      </c>
      <c r="P772">
        <f t="shared" si="69"/>
        <v>0.99875679585184929</v>
      </c>
      <c r="Q772" s="6">
        <f t="shared" si="70"/>
        <v>1</v>
      </c>
      <c r="R772">
        <f t="shared" si="71"/>
        <v>-1.2439775675062552E-3</v>
      </c>
      <c r="T772" s="5">
        <v>45336</v>
      </c>
      <c r="U772" s="1">
        <v>-1.2439775675062552E-3</v>
      </c>
    </row>
    <row r="773" spans="3:21" x14ac:dyDescent="0.2">
      <c r="C773" s="5">
        <v>45337</v>
      </c>
      <c r="D773" s="6">
        <v>0.99999000000000005</v>
      </c>
      <c r="E773" s="6">
        <v>51929.41</v>
      </c>
      <c r="F773" s="6">
        <v>51964</v>
      </c>
      <c r="G773" s="6">
        <v>51946.78</v>
      </c>
      <c r="H773" s="6">
        <v>51937.2</v>
      </c>
      <c r="I773" s="5">
        <v>45337</v>
      </c>
      <c r="J773" s="7">
        <f t="shared" si="68"/>
        <v>1.5001133269169814E-4</v>
      </c>
      <c r="K773" s="5">
        <v>45337</v>
      </c>
      <c r="L773" s="8">
        <f t="shared" si="66"/>
        <v>-3.3138326533756375E-4</v>
      </c>
      <c r="M773" s="5">
        <v>45337</v>
      </c>
      <c r="N773" s="9">
        <f t="shared" si="67"/>
        <v>-1.8137193264586562E-4</v>
      </c>
      <c r="O773" s="5">
        <v>45337</v>
      </c>
      <c r="P773">
        <f t="shared" si="69"/>
        <v>0.99981558048448815</v>
      </c>
      <c r="Q773" s="6">
        <f t="shared" si="70"/>
        <v>1.000010000100001</v>
      </c>
      <c r="R773">
        <f t="shared" si="71"/>
        <v>-1.9443657288203655E-4</v>
      </c>
      <c r="T773" s="5">
        <v>45337</v>
      </c>
      <c r="U773" s="1">
        <v>-1.9443657288203655E-4</v>
      </c>
    </row>
    <row r="774" spans="3:21" x14ac:dyDescent="0.2">
      <c r="C774" s="5">
        <v>45338</v>
      </c>
      <c r="D774" s="6">
        <v>1</v>
      </c>
      <c r="E774" s="6">
        <v>52162.78</v>
      </c>
      <c r="F774" s="6">
        <v>52160.5</v>
      </c>
      <c r="G774" s="6">
        <v>52181.22</v>
      </c>
      <c r="H774" s="6">
        <v>52189.3</v>
      </c>
      <c r="I774" s="5">
        <v>45338</v>
      </c>
      <c r="J774" s="7">
        <f t="shared" si="68"/>
        <v>5.0840848589749391E-4</v>
      </c>
      <c r="K774" s="5">
        <v>45338</v>
      </c>
      <c r="L774" s="8">
        <f t="shared" si="66"/>
        <v>3.9723545594848905E-4</v>
      </c>
      <c r="M774" s="5">
        <v>45338</v>
      </c>
      <c r="N774" s="9">
        <f t="shared" si="67"/>
        <v>9.0564394184598296E-4</v>
      </c>
      <c r="O774" s="5">
        <v>45338</v>
      </c>
      <c r="P774">
        <f t="shared" si="69"/>
        <v>1.000154844980627</v>
      </c>
      <c r="Q774" s="6">
        <f t="shared" si="70"/>
        <v>1</v>
      </c>
      <c r="R774">
        <f t="shared" si="71"/>
        <v>1.54832993380426E-4</v>
      </c>
      <c r="T774" s="5">
        <v>45338</v>
      </c>
      <c r="U774" s="1">
        <v>1.54832993380426E-4</v>
      </c>
    </row>
    <row r="775" spans="3:21" x14ac:dyDescent="0.2">
      <c r="C775" s="5">
        <v>45339</v>
      </c>
      <c r="D775" s="6">
        <v>0.99997000000000003</v>
      </c>
      <c r="E775" s="6">
        <v>51664.01</v>
      </c>
      <c r="F775" s="6">
        <v>51701</v>
      </c>
      <c r="G775" s="6">
        <v>51696.61</v>
      </c>
      <c r="H775" s="6">
        <v>51700.1</v>
      </c>
      <c r="I775" s="5">
        <v>45339</v>
      </c>
      <c r="J775" s="7">
        <f t="shared" si="68"/>
        <v>6.9855204812782645E-4</v>
      </c>
      <c r="K775" s="5">
        <v>45339</v>
      </c>
      <c r="L775" s="8">
        <f t="shared" si="66"/>
        <v>-8.4911316995791528E-5</v>
      </c>
      <c r="M775" s="5">
        <v>45339</v>
      </c>
      <c r="N775" s="9">
        <f t="shared" si="67"/>
        <v>6.1364073113203495E-4</v>
      </c>
      <c r="O775" s="5">
        <v>45339</v>
      </c>
      <c r="P775">
        <f t="shared" si="69"/>
        <v>1.0000675092622127</v>
      </c>
      <c r="Q775" s="6">
        <f t="shared" si="70"/>
        <v>1.0000300009000269</v>
      </c>
      <c r="R775">
        <f t="shared" si="71"/>
        <v>3.7506533556140387E-5</v>
      </c>
      <c r="T775" s="5">
        <v>45339</v>
      </c>
      <c r="U775" s="1">
        <v>3.7506533556140387E-5</v>
      </c>
    </row>
    <row r="776" spans="3:21" x14ac:dyDescent="0.2">
      <c r="C776" s="5">
        <v>45340</v>
      </c>
      <c r="D776" s="6">
        <v>1</v>
      </c>
      <c r="E776" s="6">
        <v>52150.82</v>
      </c>
      <c r="F776" s="6">
        <v>52168</v>
      </c>
      <c r="G776" s="6">
        <v>52177.55</v>
      </c>
      <c r="H776" s="6">
        <v>52163.1</v>
      </c>
      <c r="I776" s="5">
        <v>45340</v>
      </c>
      <c r="J776" s="7">
        <f t="shared" si="68"/>
        <v>2.3547089000707633E-4</v>
      </c>
      <c r="K776" s="5">
        <v>45340</v>
      </c>
      <c r="L776" s="8">
        <f t="shared" si="66"/>
        <v>1.8306241374027967E-4</v>
      </c>
      <c r="M776" s="5">
        <v>45340</v>
      </c>
      <c r="N776" s="9">
        <f t="shared" si="67"/>
        <v>4.18533303747356E-4</v>
      </c>
      <c r="O776" s="5">
        <v>45340</v>
      </c>
      <c r="P776">
        <f t="shared" si="69"/>
        <v>0.99972306097162478</v>
      </c>
      <c r="Q776" s="6">
        <f t="shared" si="70"/>
        <v>1</v>
      </c>
      <c r="R776">
        <f t="shared" si="71"/>
        <v>-2.7697738306937931E-4</v>
      </c>
      <c r="T776" s="5">
        <v>45340</v>
      </c>
      <c r="U776" s="1">
        <v>-2.7697738306937931E-4</v>
      </c>
    </row>
    <row r="777" spans="3:21" x14ac:dyDescent="0.2">
      <c r="C777" s="5">
        <v>45341</v>
      </c>
      <c r="D777" s="6">
        <v>0.99999000000000005</v>
      </c>
      <c r="E777" s="6">
        <v>51788.38</v>
      </c>
      <c r="F777" s="6">
        <v>51733</v>
      </c>
      <c r="G777" s="6">
        <v>51812.01</v>
      </c>
      <c r="H777" s="6">
        <v>51820.1</v>
      </c>
      <c r="I777" s="5">
        <v>45341</v>
      </c>
      <c r="J777" s="7">
        <f t="shared" si="68"/>
        <v>6.1249260934598E-4</v>
      </c>
      <c r="K777" s="5">
        <v>45341</v>
      </c>
      <c r="L777" s="8">
        <f t="shared" si="66"/>
        <v>1.5272649952641842E-3</v>
      </c>
      <c r="M777" s="5">
        <v>45341</v>
      </c>
      <c r="N777" s="9">
        <f t="shared" si="67"/>
        <v>2.139757604610164E-3</v>
      </c>
      <c r="O777" s="5">
        <v>45341</v>
      </c>
      <c r="P777">
        <f t="shared" si="69"/>
        <v>1.0001561414042806</v>
      </c>
      <c r="Q777" s="6">
        <f t="shared" si="70"/>
        <v>1.000010000100001</v>
      </c>
      <c r="R777">
        <f t="shared" si="71"/>
        <v>1.4612916548001128E-4</v>
      </c>
      <c r="T777" s="5">
        <v>45341</v>
      </c>
      <c r="U777" s="1">
        <v>1.4612916548001128E-4</v>
      </c>
    </row>
    <row r="778" spans="3:21" x14ac:dyDescent="0.2">
      <c r="C778" s="5">
        <v>45342</v>
      </c>
      <c r="D778" s="6">
        <v>1</v>
      </c>
      <c r="E778" s="6">
        <v>52275.35</v>
      </c>
      <c r="F778" s="6">
        <v>52325</v>
      </c>
      <c r="G778" s="6">
        <v>52284.83</v>
      </c>
      <c r="H778" s="6">
        <v>52319.1</v>
      </c>
      <c r="I778" s="5">
        <v>45342</v>
      </c>
      <c r="J778" s="7">
        <f t="shared" si="68"/>
        <v>8.3691453046225422E-4</v>
      </c>
      <c r="K778" s="5">
        <v>45342</v>
      </c>
      <c r="L778" s="8">
        <f t="shared" si="66"/>
        <v>-7.6770186335400393E-4</v>
      </c>
      <c r="M778" s="5">
        <v>45342</v>
      </c>
      <c r="N778" s="9">
        <f t="shared" si="67"/>
        <v>6.9212667108250287E-5</v>
      </c>
      <c r="O778" s="5">
        <v>45342</v>
      </c>
      <c r="P778">
        <f t="shared" si="69"/>
        <v>1.0006554482437831</v>
      </c>
      <c r="Q778" s="6">
        <f t="shared" si="70"/>
        <v>1</v>
      </c>
      <c r="R778">
        <f t="shared" si="71"/>
        <v>6.5523353139969331E-4</v>
      </c>
      <c r="T778" s="5">
        <v>45342</v>
      </c>
      <c r="U778" s="1">
        <v>6.5523353139969331E-4</v>
      </c>
    </row>
    <row r="779" spans="3:21" x14ac:dyDescent="0.2">
      <c r="C779" s="5">
        <v>45343</v>
      </c>
      <c r="D779" s="6">
        <v>0.99999000000000005</v>
      </c>
      <c r="E779" s="6">
        <v>51853.61</v>
      </c>
      <c r="F779" s="6">
        <v>51906</v>
      </c>
      <c r="G779" s="6">
        <v>51899.13</v>
      </c>
      <c r="H779" s="6">
        <v>51891.4</v>
      </c>
      <c r="I779" s="5">
        <v>45343</v>
      </c>
      <c r="J779" s="7">
        <f t="shared" si="68"/>
        <v>7.2878243192712859E-4</v>
      </c>
      <c r="K779" s="5">
        <v>45343</v>
      </c>
      <c r="L779" s="8">
        <f t="shared" ref="L779:L842" si="72">(G779-F779)/F779</f>
        <v>-1.323546410820063E-4</v>
      </c>
      <c r="M779" s="5">
        <v>45343</v>
      </c>
      <c r="N779" s="9">
        <f t="shared" ref="N779:N842" si="73">J779+L779</f>
        <v>5.9642779084512231E-4</v>
      </c>
      <c r="O779" s="5">
        <v>45343</v>
      </c>
      <c r="P779">
        <f t="shared" si="69"/>
        <v>0.99985105723352208</v>
      </c>
      <c r="Q779" s="6">
        <f t="shared" si="70"/>
        <v>1.000010000100001</v>
      </c>
      <c r="R779">
        <f t="shared" si="71"/>
        <v>-1.5895390955352783E-4</v>
      </c>
      <c r="T779" s="5">
        <v>45343</v>
      </c>
      <c r="U779" s="1">
        <v>-1.5895390955352783E-4</v>
      </c>
    </row>
    <row r="780" spans="3:21" x14ac:dyDescent="0.2">
      <c r="C780" s="5">
        <v>45344</v>
      </c>
      <c r="D780" s="6">
        <v>0.99999000000000005</v>
      </c>
      <c r="E780" s="6">
        <v>51259.63</v>
      </c>
      <c r="F780" s="6">
        <v>51303</v>
      </c>
      <c r="G780" s="6">
        <v>51320.42</v>
      </c>
      <c r="H780" s="6">
        <v>51340.800000000003</v>
      </c>
      <c r="I780" s="5">
        <v>45344</v>
      </c>
      <c r="J780" s="7">
        <f t="shared" ref="J780:J843" si="74">(H780-E780)/E780</f>
        <v>1.5835073331587749E-3</v>
      </c>
      <c r="K780" s="5">
        <v>45344</v>
      </c>
      <c r="L780" s="8">
        <f t="shared" si="72"/>
        <v>3.3955129329665427E-4</v>
      </c>
      <c r="M780" s="5">
        <v>45344</v>
      </c>
      <c r="N780" s="9">
        <f t="shared" si="73"/>
        <v>1.9230586264554293E-3</v>
      </c>
      <c r="O780" s="5">
        <v>45344</v>
      </c>
      <c r="P780">
        <f t="shared" ref="P780:P843" si="75">(1/G780)*H780</f>
        <v>1.0003971128841114</v>
      </c>
      <c r="Q780" s="6">
        <f t="shared" ref="Q780:Q843" si="76">1/D780</f>
        <v>1.000010000100001</v>
      </c>
      <c r="R780">
        <f t="shared" ref="R780:R843" si="77">LN(P780/Q780)</f>
        <v>3.8703400565819762E-4</v>
      </c>
      <c r="T780" s="5">
        <v>45344</v>
      </c>
      <c r="U780" s="1">
        <v>3.8703400565819762E-4</v>
      </c>
    </row>
    <row r="781" spans="3:21" x14ac:dyDescent="0.2">
      <c r="C781" s="5">
        <v>45345</v>
      </c>
      <c r="D781" s="6">
        <v>0.99997000000000003</v>
      </c>
      <c r="E781" s="6">
        <v>50745.62</v>
      </c>
      <c r="F781" s="6">
        <v>50746.5</v>
      </c>
      <c r="G781" s="6">
        <v>50762.59</v>
      </c>
      <c r="H781" s="6">
        <v>50760.7</v>
      </c>
      <c r="I781" s="5">
        <v>45345</v>
      </c>
      <c r="J781" s="7">
        <f t="shared" si="74"/>
        <v>2.9716850439495012E-4</v>
      </c>
      <c r="K781" s="5">
        <v>45345</v>
      </c>
      <c r="L781" s="8">
        <f t="shared" si="72"/>
        <v>3.1706620160989443E-4</v>
      </c>
      <c r="M781" s="5">
        <v>45345</v>
      </c>
      <c r="N781" s="9">
        <f t="shared" si="73"/>
        <v>6.1423470600484461E-4</v>
      </c>
      <c r="O781" s="5">
        <v>45345</v>
      </c>
      <c r="P781">
        <f t="shared" si="75"/>
        <v>0.99996276785719562</v>
      </c>
      <c r="Q781" s="6">
        <f t="shared" si="76"/>
        <v>1.0000300009000269</v>
      </c>
      <c r="R781">
        <f t="shared" si="77"/>
        <v>-6.7233285946771102E-5</v>
      </c>
      <c r="T781" s="5">
        <v>45345</v>
      </c>
      <c r="U781" s="1">
        <v>-6.7233285946771102E-5</v>
      </c>
    </row>
    <row r="782" spans="3:21" x14ac:dyDescent="0.2">
      <c r="C782" s="5">
        <v>45346</v>
      </c>
      <c r="D782" s="6">
        <v>0.99992999999999999</v>
      </c>
      <c r="E782" s="6">
        <v>51568.9</v>
      </c>
      <c r="F782" s="6">
        <v>51600</v>
      </c>
      <c r="G782" s="6">
        <v>51539.58</v>
      </c>
      <c r="H782" s="6">
        <v>51596</v>
      </c>
      <c r="I782" s="5">
        <v>45346</v>
      </c>
      <c r="J782" s="7">
        <f t="shared" si="74"/>
        <v>5.2551053057169235E-4</v>
      </c>
      <c r="K782" s="5">
        <v>45346</v>
      </c>
      <c r="L782" s="8">
        <f t="shared" si="72"/>
        <v>-1.1709302325581057E-3</v>
      </c>
      <c r="M782" s="5">
        <v>45346</v>
      </c>
      <c r="N782" s="9">
        <f t="shared" si="73"/>
        <v>-6.4541970198641338E-4</v>
      </c>
      <c r="O782" s="5">
        <v>45346</v>
      </c>
      <c r="P782">
        <f t="shared" si="75"/>
        <v>1.0010946926614457</v>
      </c>
      <c r="Q782" s="6">
        <f t="shared" si="76"/>
        <v>1.000070004900343</v>
      </c>
      <c r="R782">
        <f t="shared" si="77"/>
        <v>1.024091472236921E-3</v>
      </c>
      <c r="T782" s="5">
        <v>45346</v>
      </c>
      <c r="U782" s="1">
        <v>1.024091472236921E-3</v>
      </c>
    </row>
    <row r="783" spans="3:21" x14ac:dyDescent="0.2">
      <c r="C783" s="5">
        <v>45347</v>
      </c>
      <c r="D783" s="6">
        <v>0.99992999999999999</v>
      </c>
      <c r="E783" s="6">
        <v>51732.87</v>
      </c>
      <c r="F783" s="6">
        <v>51770.5</v>
      </c>
      <c r="G783" s="6">
        <v>51693.27</v>
      </c>
      <c r="H783" s="6">
        <v>51737.4</v>
      </c>
      <c r="I783" s="5">
        <v>45347</v>
      </c>
      <c r="J783" s="7">
        <f t="shared" si="74"/>
        <v>8.7565217240003038E-5</v>
      </c>
      <c r="K783" s="5">
        <v>45347</v>
      </c>
      <c r="L783" s="8">
        <f t="shared" si="72"/>
        <v>-1.4917762045953428E-3</v>
      </c>
      <c r="M783" s="5">
        <v>45347</v>
      </c>
      <c r="N783" s="9">
        <f t="shared" si="73"/>
        <v>-1.4042109873553398E-3</v>
      </c>
      <c r="O783" s="5">
        <v>45347</v>
      </c>
      <c r="P783">
        <f t="shared" si="75"/>
        <v>1.0008536894647988</v>
      </c>
      <c r="Q783" s="6">
        <f t="shared" si="76"/>
        <v>1.000070004900343</v>
      </c>
      <c r="R783">
        <f t="shared" si="77"/>
        <v>7.8332282908613593E-4</v>
      </c>
      <c r="T783" s="5">
        <v>45347</v>
      </c>
      <c r="U783" s="1">
        <v>7.8332282908613593E-4</v>
      </c>
    </row>
    <row r="784" spans="3:21" x14ac:dyDescent="0.2">
      <c r="C784" s="5">
        <v>45348</v>
      </c>
      <c r="D784" s="6">
        <v>1</v>
      </c>
      <c r="E784" s="6">
        <v>54521.55</v>
      </c>
      <c r="F784" s="6">
        <v>54538.5</v>
      </c>
      <c r="G784" s="6">
        <v>54462.79</v>
      </c>
      <c r="H784" s="6">
        <v>54578.6</v>
      </c>
      <c r="I784" s="5">
        <v>45348</v>
      </c>
      <c r="J784" s="7">
        <f t="shared" si="74"/>
        <v>1.0463752406157864E-3</v>
      </c>
      <c r="K784" s="5">
        <v>45348</v>
      </c>
      <c r="L784" s="8">
        <f t="shared" si="72"/>
        <v>-1.3881936613584739E-3</v>
      </c>
      <c r="M784" s="5">
        <v>45348</v>
      </c>
      <c r="N784" s="9">
        <f t="shared" si="73"/>
        <v>-3.4181842074268746E-4</v>
      </c>
      <c r="O784" s="5">
        <v>45348</v>
      </c>
      <c r="P784">
        <f t="shared" si="75"/>
        <v>1.0021264059369708</v>
      </c>
      <c r="Q784" s="6">
        <f t="shared" si="76"/>
        <v>1</v>
      </c>
      <c r="R784">
        <f t="shared" si="77"/>
        <v>2.1241483356844362E-3</v>
      </c>
      <c r="T784" s="5">
        <v>45348</v>
      </c>
      <c r="U784" s="1">
        <v>2.1241483356844362E-3</v>
      </c>
    </row>
    <row r="785" spans="3:21" x14ac:dyDescent="0.2">
      <c r="C785" s="5">
        <v>45349</v>
      </c>
      <c r="D785" s="6">
        <v>1</v>
      </c>
      <c r="E785" s="6">
        <v>57065.29</v>
      </c>
      <c r="F785" s="6">
        <v>57106</v>
      </c>
      <c r="G785" s="6">
        <v>57041.98</v>
      </c>
      <c r="H785" s="6">
        <v>57097.4</v>
      </c>
      <c r="I785" s="5">
        <v>45349</v>
      </c>
      <c r="J785" s="7">
        <f t="shared" si="74"/>
        <v>5.626888078550128E-4</v>
      </c>
      <c r="K785" s="5">
        <v>45349</v>
      </c>
      <c r="L785" s="8">
        <f t="shared" si="72"/>
        <v>-1.1210730921443772E-3</v>
      </c>
      <c r="M785" s="5">
        <v>45349</v>
      </c>
      <c r="N785" s="9">
        <f t="shared" si="73"/>
        <v>-5.5838428428936439E-4</v>
      </c>
      <c r="O785" s="5">
        <v>45349</v>
      </c>
      <c r="P785">
        <f t="shared" si="75"/>
        <v>1.0009715651525422</v>
      </c>
      <c r="Q785" s="6">
        <f t="shared" si="76"/>
        <v>1</v>
      </c>
      <c r="R785">
        <f t="shared" si="77"/>
        <v>9.7109348859611671E-4</v>
      </c>
      <c r="T785" s="5">
        <v>45349</v>
      </c>
      <c r="U785" s="1">
        <v>9.7109348859611671E-4</v>
      </c>
    </row>
    <row r="786" spans="3:21" x14ac:dyDescent="0.2">
      <c r="C786" s="5">
        <v>45350</v>
      </c>
      <c r="D786" s="6">
        <v>0.99997999999999998</v>
      </c>
      <c r="E786" s="6">
        <v>62486.22</v>
      </c>
      <c r="F786" s="6">
        <v>62543.5</v>
      </c>
      <c r="G786" s="6">
        <v>62396.639999999999</v>
      </c>
      <c r="H786" s="6">
        <v>62534.9</v>
      </c>
      <c r="I786" s="5">
        <v>45350</v>
      </c>
      <c r="J786" s="7">
        <f t="shared" si="74"/>
        <v>7.7905176533322529E-4</v>
      </c>
      <c r="K786" s="5">
        <v>45350</v>
      </c>
      <c r="L786" s="8">
        <f t="shared" si="72"/>
        <v>-2.3481257045096706E-3</v>
      </c>
      <c r="M786" s="5">
        <v>45350</v>
      </c>
      <c r="N786" s="9">
        <f t="shared" si="73"/>
        <v>-1.5690739391764452E-3</v>
      </c>
      <c r="O786" s="5">
        <v>45350</v>
      </c>
      <c r="P786">
        <f t="shared" si="75"/>
        <v>1.0022158244418291</v>
      </c>
      <c r="Q786" s="6">
        <f t="shared" si="76"/>
        <v>1.0000200004000079</v>
      </c>
      <c r="R786">
        <f t="shared" si="77"/>
        <v>2.19337292330774E-3</v>
      </c>
      <c r="T786" s="5">
        <v>45350</v>
      </c>
      <c r="U786" s="1">
        <v>2.19337292330774E-3</v>
      </c>
    </row>
    <row r="787" spans="3:21" x14ac:dyDescent="0.2">
      <c r="C787" s="5">
        <v>45351</v>
      </c>
      <c r="D787" s="6">
        <v>1</v>
      </c>
      <c r="E787" s="6">
        <v>61173.15</v>
      </c>
      <c r="F787" s="6">
        <v>61262.5</v>
      </c>
      <c r="G787" s="6">
        <v>60804.82</v>
      </c>
      <c r="H787" s="6">
        <v>61217.4</v>
      </c>
      <c r="I787" s="5">
        <v>45351</v>
      </c>
      <c r="J787" s="7">
        <f t="shared" si="74"/>
        <v>7.2335657065232051E-4</v>
      </c>
      <c r="K787" s="5">
        <v>45351</v>
      </c>
      <c r="L787" s="8">
        <f t="shared" si="72"/>
        <v>-7.4708018771679294E-3</v>
      </c>
      <c r="M787" s="5">
        <v>45351</v>
      </c>
      <c r="N787" s="9">
        <f t="shared" si="73"/>
        <v>-6.7474453065156093E-3</v>
      </c>
      <c r="O787" s="5">
        <v>45351</v>
      </c>
      <c r="P787">
        <f t="shared" si="75"/>
        <v>1.0067853173481971</v>
      </c>
      <c r="Q787" s="6">
        <f t="shared" si="76"/>
        <v>1</v>
      </c>
      <c r="R787">
        <f t="shared" si="77"/>
        <v>6.7624006885727631E-3</v>
      </c>
      <c r="T787" s="5">
        <v>45351</v>
      </c>
      <c r="U787" s="1">
        <v>6.7624006885727631E-3</v>
      </c>
    </row>
    <row r="788" spans="3:21" x14ac:dyDescent="0.2">
      <c r="C788" s="5">
        <v>45352</v>
      </c>
      <c r="D788" s="6">
        <v>0.99997000000000003</v>
      </c>
      <c r="E788" s="6">
        <v>62429.24</v>
      </c>
      <c r="F788" s="6">
        <v>62470</v>
      </c>
      <c r="G788" s="6">
        <v>62401.18</v>
      </c>
      <c r="H788" s="6">
        <v>62440</v>
      </c>
      <c r="I788" s="5">
        <v>45352</v>
      </c>
      <c r="J788" s="7">
        <f t="shared" si="74"/>
        <v>1.7235513358807567E-4</v>
      </c>
      <c r="K788" s="5">
        <v>45352</v>
      </c>
      <c r="L788" s="8">
        <f t="shared" si="72"/>
        <v>-1.1016487914198769E-3</v>
      </c>
      <c r="M788" s="5">
        <v>45352</v>
      </c>
      <c r="N788" s="9">
        <f t="shared" si="73"/>
        <v>-9.2929365783180127E-4</v>
      </c>
      <c r="O788" s="5">
        <v>45352</v>
      </c>
      <c r="P788">
        <f t="shared" si="75"/>
        <v>1.0006221036204765</v>
      </c>
      <c r="Q788" s="6">
        <f t="shared" si="76"/>
        <v>1.0000300009000269</v>
      </c>
      <c r="R788">
        <f t="shared" si="77"/>
        <v>5.9190974422688352E-4</v>
      </c>
      <c r="T788" s="5">
        <v>45352</v>
      </c>
      <c r="U788" s="1">
        <v>5.9190974422688352E-4</v>
      </c>
    </row>
    <row r="789" spans="3:21" x14ac:dyDescent="0.2">
      <c r="C789" s="5">
        <v>45353</v>
      </c>
      <c r="D789" s="6">
        <v>0.99992999999999999</v>
      </c>
      <c r="E789" s="6">
        <v>62045.31</v>
      </c>
      <c r="F789" s="6">
        <v>62102</v>
      </c>
      <c r="G789" s="6">
        <v>62022.06</v>
      </c>
      <c r="H789" s="6">
        <v>62069.599999999999</v>
      </c>
      <c r="I789" s="5">
        <v>45353</v>
      </c>
      <c r="J789" s="7">
        <f t="shared" si="74"/>
        <v>3.9148809152538482E-4</v>
      </c>
      <c r="K789" s="5">
        <v>45353</v>
      </c>
      <c r="L789" s="8">
        <f t="shared" si="72"/>
        <v>-1.2872371260185232E-3</v>
      </c>
      <c r="M789" s="5">
        <v>45353</v>
      </c>
      <c r="N789" s="9">
        <f t="shared" si="73"/>
        <v>-8.9574903449313832E-4</v>
      </c>
      <c r="O789" s="5">
        <v>45353</v>
      </c>
      <c r="P789">
        <f t="shared" si="75"/>
        <v>1.0007665014673812</v>
      </c>
      <c r="Q789" s="6">
        <f t="shared" si="76"/>
        <v>1.000070004900343</v>
      </c>
      <c r="R789">
        <f t="shared" si="77"/>
        <v>6.9620540504358242E-4</v>
      </c>
      <c r="T789" s="5">
        <v>45353</v>
      </c>
      <c r="U789" s="1">
        <v>6.9620540504358242E-4</v>
      </c>
    </row>
    <row r="790" spans="3:21" x14ac:dyDescent="0.2">
      <c r="C790" s="5">
        <v>45354</v>
      </c>
      <c r="D790" s="6">
        <v>1</v>
      </c>
      <c r="E790" s="6">
        <v>63152.58</v>
      </c>
      <c r="F790" s="6">
        <v>63205.5</v>
      </c>
      <c r="G790" s="6">
        <v>63141.16</v>
      </c>
      <c r="H790" s="6">
        <v>63238.2</v>
      </c>
      <c r="I790" s="5">
        <v>45354</v>
      </c>
      <c r="J790" s="7">
        <f t="shared" si="74"/>
        <v>1.3557640875478934E-3</v>
      </c>
      <c r="K790" s="5">
        <v>45354</v>
      </c>
      <c r="L790" s="8">
        <f t="shared" si="72"/>
        <v>-1.0179493873159219E-3</v>
      </c>
      <c r="M790" s="5">
        <v>45354</v>
      </c>
      <c r="N790" s="9">
        <f t="shared" si="73"/>
        <v>3.3781470023197145E-4</v>
      </c>
      <c r="O790" s="5">
        <v>45354</v>
      </c>
      <c r="P790">
        <f t="shared" si="75"/>
        <v>1.0015368738870174</v>
      </c>
      <c r="Q790" s="6">
        <f t="shared" si="76"/>
        <v>1</v>
      </c>
      <c r="R790">
        <f t="shared" si="77"/>
        <v>1.5356941049745572E-3</v>
      </c>
      <c r="T790" s="5">
        <v>45354</v>
      </c>
      <c r="U790" s="1">
        <v>1.5356941049745572E-3</v>
      </c>
    </row>
    <row r="791" spans="3:21" x14ac:dyDescent="0.2">
      <c r="C791" s="5">
        <v>45355</v>
      </c>
      <c r="D791" s="6">
        <v>1.0000100000000001</v>
      </c>
      <c r="E791" s="6">
        <v>68347.28</v>
      </c>
      <c r="F791" s="6">
        <v>68399</v>
      </c>
      <c r="G791" s="6">
        <v>68201.210000000006</v>
      </c>
      <c r="H791" s="6">
        <v>68422.899999999994</v>
      </c>
      <c r="I791" s="5">
        <v>45355</v>
      </c>
      <c r="J791" s="7">
        <f t="shared" si="74"/>
        <v>1.1064083310995748E-3</v>
      </c>
      <c r="K791" s="5">
        <v>45355</v>
      </c>
      <c r="L791" s="8">
        <f t="shared" si="72"/>
        <v>-2.89170894311311E-3</v>
      </c>
      <c r="M791" s="5">
        <v>45355</v>
      </c>
      <c r="N791" s="9">
        <f t="shared" si="73"/>
        <v>-1.7853006120135352E-3</v>
      </c>
      <c r="O791" s="5">
        <v>45355</v>
      </c>
      <c r="P791">
        <f t="shared" si="75"/>
        <v>1.0032505288395908</v>
      </c>
      <c r="Q791" s="6">
        <f t="shared" si="76"/>
        <v>0.99999000009999894</v>
      </c>
      <c r="R791">
        <f t="shared" si="77"/>
        <v>3.2552572411804499E-3</v>
      </c>
      <c r="T791" s="5">
        <v>45355</v>
      </c>
      <c r="U791" s="1">
        <v>3.2552572411804499E-3</v>
      </c>
    </row>
    <row r="792" spans="3:21" x14ac:dyDescent="0.2">
      <c r="C792" s="5">
        <v>45356</v>
      </c>
      <c r="D792" s="6">
        <v>1</v>
      </c>
      <c r="E792" s="6">
        <v>63800.18</v>
      </c>
      <c r="F792" s="6">
        <v>63839.5</v>
      </c>
      <c r="G792" s="6">
        <v>63839.03</v>
      </c>
      <c r="H792" s="6">
        <v>63892.800000000003</v>
      </c>
      <c r="I792" s="5">
        <v>45356</v>
      </c>
      <c r="J792" s="7">
        <f t="shared" si="74"/>
        <v>1.4517200421692012E-3</v>
      </c>
      <c r="K792" s="5">
        <v>45356</v>
      </c>
      <c r="L792" s="8">
        <f t="shared" si="72"/>
        <v>-7.3622130499324738E-6</v>
      </c>
      <c r="M792" s="5">
        <v>45356</v>
      </c>
      <c r="N792" s="9">
        <f t="shared" si="73"/>
        <v>1.4443578291192687E-3</v>
      </c>
      <c r="O792" s="5">
        <v>45356</v>
      </c>
      <c r="P792">
        <f t="shared" si="75"/>
        <v>1.0008422747024821</v>
      </c>
      <c r="Q792" s="6">
        <f t="shared" si="76"/>
        <v>1</v>
      </c>
      <c r="R792">
        <f t="shared" si="77"/>
        <v>8.4192018819652717E-4</v>
      </c>
      <c r="T792" s="5">
        <v>45356</v>
      </c>
      <c r="U792" s="1">
        <v>8.4192018819652717E-4</v>
      </c>
    </row>
    <row r="793" spans="3:21" x14ac:dyDescent="0.2">
      <c r="C793" s="5">
        <v>45357</v>
      </c>
      <c r="D793" s="6">
        <v>1</v>
      </c>
      <c r="E793" s="6">
        <v>66112.34</v>
      </c>
      <c r="F793" s="6">
        <v>66155</v>
      </c>
      <c r="G793" s="6">
        <v>66169.48</v>
      </c>
      <c r="H793" s="6">
        <v>66142.7</v>
      </c>
      <c r="I793" s="5">
        <v>45357</v>
      </c>
      <c r="J793" s="7">
        <f t="shared" si="74"/>
        <v>4.5921835469748287E-4</v>
      </c>
      <c r="K793" s="5">
        <v>45357</v>
      </c>
      <c r="L793" s="8">
        <f t="shared" si="72"/>
        <v>2.1887990325743974E-4</v>
      </c>
      <c r="M793" s="5">
        <v>45357</v>
      </c>
      <c r="N793" s="9">
        <f t="shared" si="73"/>
        <v>6.7809825795492264E-4</v>
      </c>
      <c r="O793" s="5">
        <v>45357</v>
      </c>
      <c r="P793">
        <f t="shared" si="75"/>
        <v>0.99959528169180112</v>
      </c>
      <c r="Q793" s="6">
        <f t="shared" si="76"/>
        <v>1</v>
      </c>
      <c r="R793">
        <f t="shared" si="77"/>
        <v>-4.0480022875728929E-4</v>
      </c>
      <c r="T793" s="5">
        <v>45357</v>
      </c>
      <c r="U793" s="1">
        <v>-4.0480022875728929E-4</v>
      </c>
    </row>
    <row r="794" spans="3:21" x14ac:dyDescent="0.2">
      <c r="C794" s="5">
        <v>45358</v>
      </c>
      <c r="D794" s="6">
        <v>0.99999000000000005</v>
      </c>
      <c r="E794" s="6">
        <v>66933.37</v>
      </c>
      <c r="F794" s="6">
        <v>66978.5</v>
      </c>
      <c r="G794" s="6">
        <v>66977.53</v>
      </c>
      <c r="H794" s="6">
        <v>66940.7</v>
      </c>
      <c r="I794" s="5">
        <v>45358</v>
      </c>
      <c r="J794" s="7">
        <f t="shared" si="74"/>
        <v>1.0951189219968675E-4</v>
      </c>
      <c r="K794" s="5">
        <v>45358</v>
      </c>
      <c r="L794" s="8">
        <f t="shared" si="72"/>
        <v>-1.4482259232457641E-5</v>
      </c>
      <c r="M794" s="5">
        <v>45358</v>
      </c>
      <c r="N794" s="9">
        <f t="shared" si="73"/>
        <v>9.5029632967229101E-5</v>
      </c>
      <c r="O794" s="5">
        <v>45358</v>
      </c>
      <c r="P794">
        <f t="shared" si="75"/>
        <v>0.99945011409050166</v>
      </c>
      <c r="Q794" s="6">
        <f t="shared" si="76"/>
        <v>1.000010000100001</v>
      </c>
      <c r="R794">
        <f t="shared" si="77"/>
        <v>-5.6003720220211388E-4</v>
      </c>
      <c r="T794" s="5">
        <v>45358</v>
      </c>
      <c r="U794" s="1">
        <v>-5.6003720220211388E-4</v>
      </c>
    </row>
    <row r="795" spans="3:21" x14ac:dyDescent="0.2">
      <c r="C795" s="5">
        <v>45359</v>
      </c>
      <c r="D795" s="6">
        <v>0.99997999999999998</v>
      </c>
      <c r="E795" s="6">
        <v>68277.600000000006</v>
      </c>
      <c r="F795" s="6">
        <v>68308.5</v>
      </c>
      <c r="G795" s="6">
        <v>68314.92</v>
      </c>
      <c r="H795" s="6">
        <v>68274.5</v>
      </c>
      <c r="I795" s="5">
        <v>45359</v>
      </c>
      <c r="J795" s="7">
        <f t="shared" si="74"/>
        <v>-4.5402884694333434E-5</v>
      </c>
      <c r="K795" s="5">
        <v>45359</v>
      </c>
      <c r="L795" s="8">
        <f t="shared" si="72"/>
        <v>9.3985375172903136E-5</v>
      </c>
      <c r="M795" s="5">
        <v>45359</v>
      </c>
      <c r="N795" s="9">
        <f t="shared" si="73"/>
        <v>4.8582490478569702E-5</v>
      </c>
      <c r="O795" s="5">
        <v>45359</v>
      </c>
      <c r="P795">
        <f t="shared" si="75"/>
        <v>0.99940832837102056</v>
      </c>
      <c r="Q795" s="6">
        <f t="shared" si="76"/>
        <v>1.0000200004000079</v>
      </c>
      <c r="R795">
        <f t="shared" si="77"/>
        <v>-6.1184693571416119E-4</v>
      </c>
      <c r="T795" s="5">
        <v>45359</v>
      </c>
      <c r="U795" s="1">
        <v>-6.1184693571416119E-4</v>
      </c>
    </row>
    <row r="796" spans="3:21" x14ac:dyDescent="0.2">
      <c r="C796" s="5">
        <v>45360</v>
      </c>
      <c r="D796" s="6">
        <v>0.99997000000000003</v>
      </c>
      <c r="E796" s="6">
        <v>68460.5</v>
      </c>
      <c r="F796" s="6">
        <v>68493.5</v>
      </c>
      <c r="G796" s="6">
        <v>68445.61</v>
      </c>
      <c r="H796" s="6">
        <v>68485.600000000006</v>
      </c>
      <c r="I796" s="5">
        <v>45360</v>
      </c>
      <c r="J796" s="7">
        <f t="shared" si="74"/>
        <v>3.6663477479723084E-4</v>
      </c>
      <c r="K796" s="5">
        <v>45360</v>
      </c>
      <c r="L796" s="8">
        <f t="shared" si="72"/>
        <v>-6.9919043412877745E-4</v>
      </c>
      <c r="M796" s="5">
        <v>45360</v>
      </c>
      <c r="N796" s="9">
        <f t="shared" si="73"/>
        <v>-3.3255565933154661E-4</v>
      </c>
      <c r="O796" s="5">
        <v>45360</v>
      </c>
      <c r="P796">
        <f t="shared" si="75"/>
        <v>1.000584259531035</v>
      </c>
      <c r="Q796" s="6">
        <f t="shared" si="76"/>
        <v>1.0000300009000269</v>
      </c>
      <c r="R796">
        <f t="shared" si="77"/>
        <v>5.5408846787796022E-4</v>
      </c>
      <c r="T796" s="5">
        <v>45360</v>
      </c>
      <c r="U796" s="1">
        <v>5.5408846787796022E-4</v>
      </c>
    </row>
    <row r="797" spans="3:21" x14ac:dyDescent="0.2">
      <c r="C797" s="5">
        <v>45361</v>
      </c>
      <c r="D797" s="6">
        <v>1</v>
      </c>
      <c r="E797" s="6">
        <v>69019.570000000007</v>
      </c>
      <c r="F797" s="6">
        <v>69106.5</v>
      </c>
      <c r="G797" s="6">
        <v>69057.62</v>
      </c>
      <c r="H797" s="6">
        <v>69080</v>
      </c>
      <c r="I797" s="5">
        <v>45361</v>
      </c>
      <c r="J797" s="7">
        <f t="shared" si="74"/>
        <v>8.7554877551385797E-4</v>
      </c>
      <c r="K797" s="5">
        <v>45361</v>
      </c>
      <c r="L797" s="8">
        <f t="shared" si="72"/>
        <v>-7.0731407320591628E-4</v>
      </c>
      <c r="M797" s="5">
        <v>45361</v>
      </c>
      <c r="N797" s="9">
        <f t="shared" si="73"/>
        <v>1.6823470230794169E-4</v>
      </c>
      <c r="O797" s="5">
        <v>45361</v>
      </c>
      <c r="P797">
        <f t="shared" si="75"/>
        <v>1.0003240771981428</v>
      </c>
      <c r="Q797" s="6">
        <f t="shared" si="76"/>
        <v>1</v>
      </c>
      <c r="R797">
        <f t="shared" si="77"/>
        <v>3.2402469647033709E-4</v>
      </c>
      <c r="T797" s="5">
        <v>45361</v>
      </c>
      <c r="U797" s="1">
        <v>3.2402469647033709E-4</v>
      </c>
    </row>
    <row r="798" spans="3:21" x14ac:dyDescent="0.2">
      <c r="C798" s="5">
        <v>45362</v>
      </c>
      <c r="D798" s="6">
        <v>1.0000100000000001</v>
      </c>
      <c r="E798" s="6">
        <v>72098.240000000005</v>
      </c>
      <c r="F798" s="6">
        <v>72191.5</v>
      </c>
      <c r="G798" s="6">
        <v>71401.119999999995</v>
      </c>
      <c r="H798" s="6">
        <v>72186.3</v>
      </c>
      <c r="I798" s="5">
        <v>45362</v>
      </c>
      <c r="J798" s="7">
        <f t="shared" si="74"/>
        <v>1.221389038068026E-3</v>
      </c>
      <c r="K798" s="5">
        <v>45362</v>
      </c>
      <c r="L798" s="8">
        <f t="shared" si="72"/>
        <v>-1.0948380349487193E-2</v>
      </c>
      <c r="M798" s="5">
        <v>45362</v>
      </c>
      <c r="N798" s="9">
        <f t="shared" si="73"/>
        <v>-9.7269913114191673E-3</v>
      </c>
      <c r="O798" s="5">
        <v>45362</v>
      </c>
      <c r="P798">
        <f t="shared" si="75"/>
        <v>1.0109967462695264</v>
      </c>
      <c r="Q798" s="6">
        <f t="shared" si="76"/>
        <v>0.99999000009999894</v>
      </c>
      <c r="R798">
        <f t="shared" si="77"/>
        <v>1.0946721654299748E-2</v>
      </c>
      <c r="T798" s="5">
        <v>45362</v>
      </c>
      <c r="U798" s="1">
        <v>1.0946721654299748E-2</v>
      </c>
    </row>
    <row r="799" spans="3:21" x14ac:dyDescent="0.2">
      <c r="C799" s="5">
        <v>45363</v>
      </c>
      <c r="D799" s="6">
        <v>0.99999000000000005</v>
      </c>
      <c r="E799" s="6">
        <v>71458.94</v>
      </c>
      <c r="F799" s="6">
        <v>71513.5</v>
      </c>
      <c r="G799" s="6">
        <v>71492.02</v>
      </c>
      <c r="H799" s="6">
        <v>71547.600000000006</v>
      </c>
      <c r="I799" s="5">
        <v>45363</v>
      </c>
      <c r="J799" s="7">
        <f t="shared" si="74"/>
        <v>1.2407124986741126E-3</v>
      </c>
      <c r="K799" s="5">
        <v>45363</v>
      </c>
      <c r="L799" s="8">
        <f t="shared" si="72"/>
        <v>-3.0036286854923794E-4</v>
      </c>
      <c r="M799" s="5">
        <v>45363</v>
      </c>
      <c r="N799" s="9">
        <f t="shared" si="73"/>
        <v>9.4034963012487463E-4</v>
      </c>
      <c r="O799" s="5">
        <v>45363</v>
      </c>
      <c r="P799">
        <f t="shared" si="75"/>
        <v>1.0007774294249905</v>
      </c>
      <c r="Q799" s="6">
        <f t="shared" si="76"/>
        <v>1.000010000100001</v>
      </c>
      <c r="R799">
        <f t="shared" si="77"/>
        <v>7.6712733326876007E-4</v>
      </c>
      <c r="T799" s="5">
        <v>45363</v>
      </c>
      <c r="U799" s="1">
        <v>7.6712733326876007E-4</v>
      </c>
    </row>
    <row r="800" spans="3:21" x14ac:dyDescent="0.2">
      <c r="C800" s="5">
        <v>45364</v>
      </c>
      <c r="D800" s="6">
        <v>1.00004</v>
      </c>
      <c r="E800" s="6">
        <v>73126.399999999994</v>
      </c>
      <c r="F800" s="6">
        <v>73151.5</v>
      </c>
      <c r="G800" s="6">
        <v>73155.34</v>
      </c>
      <c r="H800" s="6">
        <v>73164.899999999994</v>
      </c>
      <c r="I800" s="5">
        <v>45364</v>
      </c>
      <c r="J800" s="7">
        <f t="shared" si="74"/>
        <v>5.2648564677052346E-4</v>
      </c>
      <c r="K800" s="5">
        <v>45364</v>
      </c>
      <c r="L800" s="8">
        <f t="shared" si="72"/>
        <v>5.2493797119628544E-5</v>
      </c>
      <c r="M800" s="5">
        <v>45364</v>
      </c>
      <c r="N800" s="9">
        <f t="shared" si="73"/>
        <v>5.7897944389015204E-4</v>
      </c>
      <c r="O800" s="5">
        <v>45364</v>
      </c>
      <c r="P800">
        <f t="shared" si="75"/>
        <v>1.0001306808224799</v>
      </c>
      <c r="Q800" s="6">
        <f t="shared" si="76"/>
        <v>0.99996000159993592</v>
      </c>
      <c r="R800">
        <f t="shared" si="77"/>
        <v>1.706714845063986E-4</v>
      </c>
      <c r="T800" s="5">
        <v>45364</v>
      </c>
      <c r="U800" s="1">
        <v>1.706714845063986E-4</v>
      </c>
    </row>
    <row r="801" spans="3:21" x14ac:dyDescent="0.2">
      <c r="C801" s="5">
        <v>45365</v>
      </c>
      <c r="D801" s="6">
        <v>1</v>
      </c>
      <c r="E801" s="6">
        <v>71375.5</v>
      </c>
      <c r="F801" s="6">
        <v>71450</v>
      </c>
      <c r="G801" s="6">
        <v>71434.22</v>
      </c>
      <c r="H801" s="6">
        <v>71443.5</v>
      </c>
      <c r="I801" s="5">
        <v>45365</v>
      </c>
      <c r="J801" s="7">
        <f t="shared" si="74"/>
        <v>9.5270786194142244E-4</v>
      </c>
      <c r="K801" s="5">
        <v>45365</v>
      </c>
      <c r="L801" s="8">
        <f t="shared" si="72"/>
        <v>-2.2085374387682065E-4</v>
      </c>
      <c r="M801" s="5">
        <v>45365</v>
      </c>
      <c r="N801" s="9">
        <f t="shared" si="73"/>
        <v>7.3185411806460181E-4</v>
      </c>
      <c r="O801" s="5">
        <v>45365</v>
      </c>
      <c r="P801">
        <f t="shared" si="75"/>
        <v>1.0001299097267389</v>
      </c>
      <c r="Q801" s="6">
        <f t="shared" si="76"/>
        <v>1</v>
      </c>
      <c r="R801">
        <f t="shared" si="77"/>
        <v>1.2990128920106181E-4</v>
      </c>
      <c r="T801" s="5">
        <v>45365</v>
      </c>
      <c r="U801" s="1">
        <v>1.2990128920106181E-4</v>
      </c>
    </row>
    <row r="802" spans="3:21" x14ac:dyDescent="0.2">
      <c r="C802" s="5">
        <v>45366</v>
      </c>
      <c r="D802" s="6">
        <v>0.99999000000000005</v>
      </c>
      <c r="E802" s="6">
        <v>69511.47</v>
      </c>
      <c r="F802" s="6">
        <v>69554.5</v>
      </c>
      <c r="G802" s="6">
        <v>69602.55</v>
      </c>
      <c r="H802" s="6">
        <v>69529.7</v>
      </c>
      <c r="I802" s="5">
        <v>45366</v>
      </c>
      <c r="J802" s="7">
        <f t="shared" si="74"/>
        <v>2.6225887612498953E-4</v>
      </c>
      <c r="K802" s="5">
        <v>45366</v>
      </c>
      <c r="L802" s="8">
        <f t="shared" si="72"/>
        <v>6.9082518025437474E-4</v>
      </c>
      <c r="M802" s="5">
        <v>45366</v>
      </c>
      <c r="N802" s="9">
        <f t="shared" si="73"/>
        <v>9.5308405637936427E-4</v>
      </c>
      <c r="O802" s="5">
        <v>45366</v>
      </c>
      <c r="P802">
        <f t="shared" si="75"/>
        <v>0.99895334294505012</v>
      </c>
      <c r="Q802" s="6">
        <f t="shared" si="76"/>
        <v>1.000010000100001</v>
      </c>
      <c r="R802">
        <f t="shared" si="77"/>
        <v>-1.0572052329469619E-3</v>
      </c>
      <c r="T802" s="5">
        <v>45366</v>
      </c>
      <c r="U802" s="1">
        <v>-1.0572052329469619E-3</v>
      </c>
    </row>
    <row r="803" spans="3:21" x14ac:dyDescent="0.2">
      <c r="C803" s="5">
        <v>45367</v>
      </c>
      <c r="D803" s="6">
        <v>1.0000100000000001</v>
      </c>
      <c r="E803" s="6">
        <v>65260</v>
      </c>
      <c r="F803" s="6">
        <v>65312</v>
      </c>
      <c r="G803" s="6">
        <v>65436.78</v>
      </c>
      <c r="H803" s="6">
        <v>65312.3</v>
      </c>
      <c r="I803" s="5">
        <v>45367</v>
      </c>
      <c r="J803" s="7">
        <f t="shared" si="74"/>
        <v>8.0140974563289776E-4</v>
      </c>
      <c r="K803" s="5">
        <v>45367</v>
      </c>
      <c r="L803" s="8">
        <f t="shared" si="72"/>
        <v>1.9105218030377087E-3</v>
      </c>
      <c r="M803" s="5">
        <v>45367</v>
      </c>
      <c r="N803" s="9">
        <f t="shared" si="73"/>
        <v>2.7119315486706062E-3</v>
      </c>
      <c r="O803" s="5">
        <v>45367</v>
      </c>
      <c r="P803">
        <f t="shared" si="75"/>
        <v>0.9980977059079007</v>
      </c>
      <c r="Q803" s="6">
        <f t="shared" si="76"/>
        <v>0.99999000009999894</v>
      </c>
      <c r="R803">
        <f t="shared" si="77"/>
        <v>-1.8941058014090744E-3</v>
      </c>
      <c r="T803" s="5">
        <v>45367</v>
      </c>
      <c r="U803" s="1">
        <v>-1.8941058014090744E-3</v>
      </c>
    </row>
    <row r="804" spans="3:21" x14ac:dyDescent="0.2">
      <c r="C804" s="5">
        <v>45368</v>
      </c>
      <c r="D804" s="6">
        <v>0.99997000000000003</v>
      </c>
      <c r="E804" s="6">
        <v>68341.63</v>
      </c>
      <c r="F804" s="6">
        <v>68386.5</v>
      </c>
      <c r="G804" s="6">
        <v>68498.070000000007</v>
      </c>
      <c r="H804" s="6">
        <v>68391</v>
      </c>
      <c r="I804" s="5">
        <v>45368</v>
      </c>
      <c r="J804" s="7">
        <f t="shared" si="74"/>
        <v>7.224000949347468E-4</v>
      </c>
      <c r="K804" s="5">
        <v>45368</v>
      </c>
      <c r="L804" s="8">
        <f t="shared" si="72"/>
        <v>1.6314623500253264E-3</v>
      </c>
      <c r="M804" s="5">
        <v>45368</v>
      </c>
      <c r="N804" s="9">
        <f t="shared" si="73"/>
        <v>2.3538624449600731E-3</v>
      </c>
      <c r="O804" s="5">
        <v>45368</v>
      </c>
      <c r="P804">
        <f t="shared" si="75"/>
        <v>0.99843689026566729</v>
      </c>
      <c r="Q804" s="6">
        <f t="shared" si="76"/>
        <v>1.0000300009000269</v>
      </c>
      <c r="R804">
        <f t="shared" si="77"/>
        <v>-1.5943331149116194E-3</v>
      </c>
      <c r="T804" s="5">
        <v>45368</v>
      </c>
      <c r="U804" s="1">
        <v>-1.5943331149116194E-3</v>
      </c>
    </row>
    <row r="805" spans="3:21" x14ac:dyDescent="0.2">
      <c r="C805" s="5">
        <v>45369</v>
      </c>
      <c r="D805" s="6">
        <v>1.0000100000000001</v>
      </c>
      <c r="E805" s="6">
        <v>67611.360000000001</v>
      </c>
      <c r="F805" s="6">
        <v>67614</v>
      </c>
      <c r="G805" s="6">
        <v>67652.149999999994</v>
      </c>
      <c r="H805" s="6">
        <v>67616.600000000006</v>
      </c>
      <c r="I805" s="5">
        <v>45369</v>
      </c>
      <c r="J805" s="7">
        <f t="shared" si="74"/>
        <v>7.7501768933582147E-5</v>
      </c>
      <c r="K805" s="5">
        <v>45369</v>
      </c>
      <c r="L805" s="8">
        <f t="shared" si="72"/>
        <v>5.6423225959112281E-4</v>
      </c>
      <c r="M805" s="5">
        <v>45369</v>
      </c>
      <c r="N805" s="9">
        <f t="shared" si="73"/>
        <v>6.4173402852470498E-4</v>
      </c>
      <c r="O805" s="5">
        <v>45369</v>
      </c>
      <c r="P805">
        <f t="shared" si="75"/>
        <v>0.99947451780911634</v>
      </c>
      <c r="Q805" s="6">
        <f t="shared" si="76"/>
        <v>0.99999000009999894</v>
      </c>
      <c r="R805">
        <f t="shared" si="77"/>
        <v>-5.1562035503620611E-4</v>
      </c>
      <c r="T805" s="5">
        <v>45369</v>
      </c>
      <c r="U805" s="1">
        <v>-5.1562035503620611E-4</v>
      </c>
    </row>
    <row r="806" spans="3:21" x14ac:dyDescent="0.2">
      <c r="C806" s="5">
        <v>45370</v>
      </c>
      <c r="D806" s="6">
        <v>1.0000100000000001</v>
      </c>
      <c r="E806" s="6">
        <v>61898.23</v>
      </c>
      <c r="F806" s="6">
        <v>61923</v>
      </c>
      <c r="G806" s="6">
        <v>61993.49</v>
      </c>
      <c r="H806" s="6">
        <v>61999.199999999997</v>
      </c>
      <c r="I806" s="5">
        <v>45370</v>
      </c>
      <c r="J806" s="7">
        <f t="shared" si="74"/>
        <v>1.631225965588901E-3</v>
      </c>
      <c r="K806" s="5">
        <v>45370</v>
      </c>
      <c r="L806" s="8">
        <f t="shared" si="72"/>
        <v>1.1383492401853587E-3</v>
      </c>
      <c r="M806" s="5">
        <v>45370</v>
      </c>
      <c r="N806" s="9">
        <f t="shared" si="73"/>
        <v>2.7695752057742594E-3</v>
      </c>
      <c r="O806" s="5">
        <v>45370</v>
      </c>
      <c r="P806">
        <f t="shared" si="75"/>
        <v>1.0000921064453703</v>
      </c>
      <c r="Q806" s="6">
        <f t="shared" si="76"/>
        <v>0.99999000009999894</v>
      </c>
      <c r="R806">
        <f t="shared" si="77"/>
        <v>1.0210215383236525E-4</v>
      </c>
      <c r="T806" s="5">
        <v>45370</v>
      </c>
      <c r="U806" s="1">
        <v>1.0210215383236525E-4</v>
      </c>
    </row>
    <row r="807" spans="3:21" x14ac:dyDescent="0.2">
      <c r="C807" s="5">
        <v>45371</v>
      </c>
      <c r="D807" s="6">
        <v>0.99999000000000005</v>
      </c>
      <c r="E807" s="6">
        <v>67839.59</v>
      </c>
      <c r="F807" s="6">
        <v>67881.5</v>
      </c>
      <c r="G807" s="6">
        <v>67997.47</v>
      </c>
      <c r="H807" s="6">
        <v>67915.399999999994</v>
      </c>
      <c r="I807" s="5">
        <v>45371</v>
      </c>
      <c r="J807" s="7">
        <f t="shared" si="74"/>
        <v>1.1174890650134778E-3</v>
      </c>
      <c r="K807" s="5">
        <v>45371</v>
      </c>
      <c r="L807" s="8">
        <f t="shared" si="72"/>
        <v>1.7084183466776835E-3</v>
      </c>
      <c r="M807" s="5">
        <v>45371</v>
      </c>
      <c r="N807" s="9">
        <f t="shared" si="73"/>
        <v>2.8259074116911611E-3</v>
      </c>
      <c r="O807" s="5">
        <v>45371</v>
      </c>
      <c r="P807">
        <f t="shared" si="75"/>
        <v>0.99879304332940611</v>
      </c>
      <c r="Q807" s="6">
        <f t="shared" si="76"/>
        <v>1.000010000100001</v>
      </c>
      <c r="R807">
        <f t="shared" si="77"/>
        <v>-1.2176856794033858E-3</v>
      </c>
      <c r="T807" s="5">
        <v>45371</v>
      </c>
      <c r="U807" s="1">
        <v>-1.2176856794033858E-3</v>
      </c>
    </row>
    <row r="808" spans="3:21" x14ac:dyDescent="0.2">
      <c r="C808" s="5">
        <v>45372</v>
      </c>
      <c r="D808" s="6">
        <v>1</v>
      </c>
      <c r="E808" s="6">
        <v>65485.120000000003</v>
      </c>
      <c r="F808" s="6">
        <v>65520</v>
      </c>
      <c r="G808" s="6">
        <v>65555.44</v>
      </c>
      <c r="H808" s="6">
        <v>65520.1</v>
      </c>
      <c r="I808" s="5">
        <v>45372</v>
      </c>
      <c r="J808" s="7">
        <f t="shared" si="74"/>
        <v>5.3416715125506262E-4</v>
      </c>
      <c r="K808" s="5">
        <v>45372</v>
      </c>
      <c r="L808" s="8">
        <f t="shared" si="72"/>
        <v>5.409035409035764E-4</v>
      </c>
      <c r="M808" s="5">
        <v>45372</v>
      </c>
      <c r="N808" s="9">
        <f t="shared" si="73"/>
        <v>1.075070692158639E-3</v>
      </c>
      <c r="O808" s="5">
        <v>45372</v>
      </c>
      <c r="P808">
        <f t="shared" si="75"/>
        <v>0.99946091430398443</v>
      </c>
      <c r="Q808" s="6">
        <f t="shared" si="76"/>
        <v>1</v>
      </c>
      <c r="R808">
        <f t="shared" si="77"/>
        <v>-5.3923105495236074E-4</v>
      </c>
      <c r="T808" s="5">
        <v>45372</v>
      </c>
      <c r="U808" s="1">
        <v>-5.3923105495236074E-4</v>
      </c>
    </row>
    <row r="809" spans="3:21" x14ac:dyDescent="0.2">
      <c r="C809" s="5">
        <v>45373</v>
      </c>
      <c r="D809" s="6">
        <v>1</v>
      </c>
      <c r="E809" s="6">
        <v>63811.62</v>
      </c>
      <c r="F809" s="6">
        <v>63832</v>
      </c>
      <c r="G809" s="6">
        <v>63865.65</v>
      </c>
      <c r="H809" s="6">
        <v>63854.9</v>
      </c>
      <c r="I809" s="5">
        <v>45373</v>
      </c>
      <c r="J809" s="7">
        <f t="shared" si="74"/>
        <v>6.7824637581680007E-4</v>
      </c>
      <c r="K809" s="5">
        <v>45373</v>
      </c>
      <c r="L809" s="8">
        <f t="shared" si="72"/>
        <v>5.2716505827800244E-4</v>
      </c>
      <c r="M809" s="5">
        <v>45373</v>
      </c>
      <c r="N809" s="9">
        <f t="shared" si="73"/>
        <v>1.2054114340948026E-3</v>
      </c>
      <c r="O809" s="5">
        <v>45373</v>
      </c>
      <c r="P809">
        <f t="shared" si="75"/>
        <v>0.9998316779051023</v>
      </c>
      <c r="Q809" s="6">
        <f t="shared" si="76"/>
        <v>1</v>
      </c>
      <c r="R809">
        <f t="shared" si="77"/>
        <v>-1.6833626265136766E-4</v>
      </c>
      <c r="T809" s="5">
        <v>45373</v>
      </c>
      <c r="U809" s="1">
        <v>-1.6833626265136766E-4</v>
      </c>
    </row>
    <row r="810" spans="3:21" x14ac:dyDescent="0.2">
      <c r="C810" s="5">
        <v>45374</v>
      </c>
      <c r="D810" s="6">
        <v>0.99999000000000005</v>
      </c>
      <c r="E810" s="6">
        <v>64003.12</v>
      </c>
      <c r="F810" s="6">
        <v>64001.5</v>
      </c>
      <c r="G810" s="6">
        <v>64093.59</v>
      </c>
      <c r="H810" s="6">
        <v>64035</v>
      </c>
      <c r="I810" s="5">
        <v>45374</v>
      </c>
      <c r="J810" s="7">
        <f t="shared" si="74"/>
        <v>4.981007175899765E-4</v>
      </c>
      <c r="K810" s="5">
        <v>45374</v>
      </c>
      <c r="L810" s="8">
        <f t="shared" si="72"/>
        <v>1.4388725264251074E-3</v>
      </c>
      <c r="M810" s="5">
        <v>45374</v>
      </c>
      <c r="N810" s="9">
        <f t="shared" si="73"/>
        <v>1.936973244015084E-3</v>
      </c>
      <c r="O810" s="5">
        <v>45374</v>
      </c>
      <c r="P810">
        <f t="shared" si="75"/>
        <v>0.99908586802518007</v>
      </c>
      <c r="Q810" s="6">
        <f t="shared" si="76"/>
        <v>1.000010000100001</v>
      </c>
      <c r="R810">
        <f t="shared" si="77"/>
        <v>-9.2455009825624266E-4</v>
      </c>
      <c r="T810" s="5">
        <v>45374</v>
      </c>
      <c r="U810" s="1">
        <v>-9.2455009825624266E-4</v>
      </c>
    </row>
    <row r="811" spans="3:21" x14ac:dyDescent="0.2">
      <c r="C811" s="5">
        <v>45375</v>
      </c>
      <c r="D811" s="6">
        <v>1</v>
      </c>
      <c r="E811" s="6">
        <v>67202.960000000006</v>
      </c>
      <c r="F811" s="6">
        <v>67272</v>
      </c>
      <c r="G811" s="6">
        <v>67223.83</v>
      </c>
      <c r="H811" s="6">
        <v>67211.600000000006</v>
      </c>
      <c r="I811" s="5">
        <v>45375</v>
      </c>
      <c r="J811" s="7">
        <f t="shared" si="74"/>
        <v>1.2856576555555615E-4</v>
      </c>
      <c r="K811" s="5">
        <v>45375</v>
      </c>
      <c r="L811" s="8">
        <f t="shared" si="72"/>
        <v>-7.1604828160301841E-4</v>
      </c>
      <c r="M811" s="5">
        <v>45375</v>
      </c>
      <c r="N811" s="9">
        <f t="shared" si="73"/>
        <v>-5.8748251604746221E-4</v>
      </c>
      <c r="O811" s="5">
        <v>45375</v>
      </c>
      <c r="P811">
        <f t="shared" si="75"/>
        <v>0.99981807046697591</v>
      </c>
      <c r="Q811" s="6">
        <f t="shared" si="76"/>
        <v>1</v>
      </c>
      <c r="R811">
        <f t="shared" si="77"/>
        <v>-1.8194608420905094E-4</v>
      </c>
      <c r="T811" s="5">
        <v>45375</v>
      </c>
      <c r="U811" s="1">
        <v>-1.8194608420905094E-4</v>
      </c>
    </row>
    <row r="812" spans="3:21" x14ac:dyDescent="0.2">
      <c r="C812" s="5">
        <v>45376</v>
      </c>
      <c r="D812" s="6">
        <v>0.99999000000000005</v>
      </c>
      <c r="E812" s="6">
        <v>69880.990000000005</v>
      </c>
      <c r="F812" s="6">
        <v>69938</v>
      </c>
      <c r="G812" s="6">
        <v>69753.350000000006</v>
      </c>
      <c r="H812" s="6">
        <v>69945</v>
      </c>
      <c r="I812" s="5">
        <v>45376</v>
      </c>
      <c r="J812" s="7">
        <f t="shared" si="74"/>
        <v>9.1598587827669239E-4</v>
      </c>
      <c r="K812" s="5">
        <v>45376</v>
      </c>
      <c r="L812" s="8">
        <f t="shared" si="72"/>
        <v>-2.6401956018186705E-3</v>
      </c>
      <c r="M812" s="5">
        <v>45376</v>
      </c>
      <c r="N812" s="9">
        <f t="shared" si="73"/>
        <v>-1.7242097235419781E-3</v>
      </c>
      <c r="O812" s="5">
        <v>45376</v>
      </c>
      <c r="P812">
        <f t="shared" si="75"/>
        <v>1.0027475382902755</v>
      </c>
      <c r="Q812" s="6">
        <f t="shared" si="76"/>
        <v>1.000010000100001</v>
      </c>
      <c r="R812">
        <f t="shared" si="77"/>
        <v>2.7337706564230665E-3</v>
      </c>
      <c r="T812" s="5">
        <v>45376</v>
      </c>
      <c r="U812" s="1">
        <v>2.7337706564230665E-3</v>
      </c>
    </row>
    <row r="813" spans="3:21" x14ac:dyDescent="0.2">
      <c r="C813" s="5">
        <v>45377</v>
      </c>
      <c r="D813" s="6">
        <v>0.99999000000000005</v>
      </c>
      <c r="E813" s="6">
        <v>69991.740000000005</v>
      </c>
      <c r="F813" s="6">
        <v>70061.5</v>
      </c>
      <c r="G813" s="6">
        <v>70068.36</v>
      </c>
      <c r="H813" s="6">
        <v>70049.7</v>
      </c>
      <c r="I813" s="5">
        <v>45377</v>
      </c>
      <c r="J813" s="7">
        <f t="shared" si="74"/>
        <v>8.2809771553031607E-4</v>
      </c>
      <c r="K813" s="5">
        <v>45377</v>
      </c>
      <c r="L813" s="8">
        <f t="shared" si="72"/>
        <v>9.7913975578607112E-5</v>
      </c>
      <c r="M813" s="5">
        <v>45377</v>
      </c>
      <c r="N813" s="9">
        <f t="shared" si="73"/>
        <v>9.2601169110892315E-4</v>
      </c>
      <c r="O813" s="5">
        <v>45377</v>
      </c>
      <c r="P813">
        <f t="shared" si="75"/>
        <v>0.99973368864349044</v>
      </c>
      <c r="Q813" s="6">
        <f t="shared" si="76"/>
        <v>1.000010000100001</v>
      </c>
      <c r="R813">
        <f t="shared" si="77"/>
        <v>-2.763468736762241E-4</v>
      </c>
      <c r="T813" s="5">
        <v>45377</v>
      </c>
      <c r="U813" s="1">
        <v>-2.763468736762241E-4</v>
      </c>
    </row>
    <row r="814" spans="3:21" x14ac:dyDescent="0.2">
      <c r="C814" s="5">
        <v>45378</v>
      </c>
      <c r="D814" s="6">
        <v>1.0000100000000001</v>
      </c>
      <c r="E814" s="6">
        <v>69431.45</v>
      </c>
      <c r="F814" s="6">
        <v>69521.5</v>
      </c>
      <c r="G814" s="6">
        <v>69531.94</v>
      </c>
      <c r="H814" s="6">
        <v>69478.399999999994</v>
      </c>
      <c r="I814" s="5">
        <v>45378</v>
      </c>
      <c r="J814" s="7">
        <f t="shared" si="74"/>
        <v>6.7620653176618225E-4</v>
      </c>
      <c r="K814" s="5">
        <v>45378</v>
      </c>
      <c r="L814" s="8">
        <f t="shared" si="72"/>
        <v>1.5016937206479043E-4</v>
      </c>
      <c r="M814" s="5">
        <v>45378</v>
      </c>
      <c r="N814" s="9">
        <f t="shared" si="73"/>
        <v>8.263759038309727E-4</v>
      </c>
      <c r="O814" s="5">
        <v>45378</v>
      </c>
      <c r="P814">
        <f t="shared" si="75"/>
        <v>0.99922999415808034</v>
      </c>
      <c r="Q814" s="6">
        <f t="shared" si="76"/>
        <v>0.99999000009999894</v>
      </c>
      <c r="R814">
        <f t="shared" si="77"/>
        <v>-7.6030249868668984E-4</v>
      </c>
      <c r="T814" s="5">
        <v>45378</v>
      </c>
      <c r="U814" s="1">
        <v>-7.6030249868668984E-4</v>
      </c>
    </row>
    <row r="815" spans="3:21" x14ac:dyDescent="0.2">
      <c r="C815" s="5">
        <v>45379</v>
      </c>
      <c r="D815" s="6">
        <v>0.99997000000000003</v>
      </c>
      <c r="E815" s="6">
        <v>70799.27</v>
      </c>
      <c r="F815" s="6">
        <v>70866.5</v>
      </c>
      <c r="G815" s="6">
        <v>70785.72</v>
      </c>
      <c r="H815" s="6">
        <v>70851.8</v>
      </c>
      <c r="I815" s="5">
        <v>45379</v>
      </c>
      <c r="J815" s="7">
        <f t="shared" si="74"/>
        <v>7.4195680266193182E-4</v>
      </c>
      <c r="K815" s="5">
        <v>45379</v>
      </c>
      <c r="L815" s="8">
        <f t="shared" si="72"/>
        <v>-1.1398897927793646E-3</v>
      </c>
      <c r="M815" s="5">
        <v>45379</v>
      </c>
      <c r="N815" s="9">
        <f t="shared" si="73"/>
        <v>-3.9793299011743274E-4</v>
      </c>
      <c r="O815" s="5">
        <v>45379</v>
      </c>
      <c r="P815">
        <f t="shared" si="75"/>
        <v>1.0009335216198973</v>
      </c>
      <c r="Q815" s="6">
        <f t="shared" si="76"/>
        <v>1.0000300009000269</v>
      </c>
      <c r="R815">
        <f t="shared" si="77"/>
        <v>9.0308570956777279E-4</v>
      </c>
      <c r="T815" s="5">
        <v>45379</v>
      </c>
      <c r="U815" s="1">
        <v>9.0308570956777279E-4</v>
      </c>
    </row>
    <row r="816" spans="3:21" x14ac:dyDescent="0.2">
      <c r="C816" s="5">
        <v>45380</v>
      </c>
      <c r="D816" s="6">
        <v>1.00003</v>
      </c>
      <c r="E816" s="6">
        <v>69891.039999999994</v>
      </c>
      <c r="F816" s="6">
        <v>69933.5</v>
      </c>
      <c r="G816" s="6">
        <v>70033.5</v>
      </c>
      <c r="H816" s="6">
        <v>69950.100000000006</v>
      </c>
      <c r="I816" s="5">
        <v>45380</v>
      </c>
      <c r="J816" s="7">
        <f t="shared" si="74"/>
        <v>8.4502963470013074E-4</v>
      </c>
      <c r="K816" s="5">
        <v>45380</v>
      </c>
      <c r="L816" s="8">
        <f t="shared" si="72"/>
        <v>1.4299298619402719E-3</v>
      </c>
      <c r="M816" s="5">
        <v>45380</v>
      </c>
      <c r="N816" s="9">
        <f t="shared" si="73"/>
        <v>2.2749594966404024E-3</v>
      </c>
      <c r="O816" s="5">
        <v>45380</v>
      </c>
      <c r="P816">
        <f t="shared" si="75"/>
        <v>0.99880914133950194</v>
      </c>
      <c r="Q816" s="6">
        <f t="shared" si="76"/>
        <v>0.99997000089997301</v>
      </c>
      <c r="R816">
        <f t="shared" si="77"/>
        <v>-1.1615687461034654E-3</v>
      </c>
      <c r="T816" s="5">
        <v>45380</v>
      </c>
      <c r="U816" s="1">
        <v>-1.1615687461034654E-3</v>
      </c>
    </row>
    <row r="817" spans="3:21" x14ac:dyDescent="0.2">
      <c r="C817" s="5">
        <v>45381</v>
      </c>
      <c r="D817" s="6">
        <v>1.00004</v>
      </c>
      <c r="E817" s="6">
        <v>69613.83</v>
      </c>
      <c r="F817" s="6">
        <v>69678</v>
      </c>
      <c r="G817" s="6">
        <v>69721.95</v>
      </c>
      <c r="H817" s="6">
        <v>69669.399999999994</v>
      </c>
      <c r="I817" s="5">
        <v>45381</v>
      </c>
      <c r="J817" s="7">
        <f t="shared" si="74"/>
        <v>7.9826092027966906E-4</v>
      </c>
      <c r="K817" s="5">
        <v>45381</v>
      </c>
      <c r="L817" s="8">
        <f t="shared" si="72"/>
        <v>6.3075863256690904E-4</v>
      </c>
      <c r="M817" s="5">
        <v>45381</v>
      </c>
      <c r="N817" s="9">
        <f t="shared" si="73"/>
        <v>1.4290195528465781E-3</v>
      </c>
      <c r="O817" s="5">
        <v>45381</v>
      </c>
      <c r="P817">
        <f t="shared" si="75"/>
        <v>0.99924629187795233</v>
      </c>
      <c r="Q817" s="6">
        <f t="shared" si="76"/>
        <v>0.99996000159993592</v>
      </c>
      <c r="R817">
        <f t="shared" si="77"/>
        <v>-7.1399310279474614E-4</v>
      </c>
      <c r="T817" s="5">
        <v>45381</v>
      </c>
      <c r="U817" s="1">
        <v>-7.1399310279474614E-4</v>
      </c>
    </row>
    <row r="818" spans="3:21" x14ac:dyDescent="0.2">
      <c r="C818" s="5">
        <v>45382</v>
      </c>
      <c r="D818" s="6">
        <v>0.99997000000000003</v>
      </c>
      <c r="E818" s="6">
        <v>71284.83</v>
      </c>
      <c r="F818" s="6">
        <v>71401.5</v>
      </c>
      <c r="G818" s="6">
        <v>71389.649999999994</v>
      </c>
      <c r="H818" s="6">
        <v>71402.2</v>
      </c>
      <c r="I818" s="5">
        <v>45382</v>
      </c>
      <c r="J818" s="7">
        <f t="shared" si="74"/>
        <v>1.6464933703285165E-3</v>
      </c>
      <c r="K818" s="5">
        <v>45382</v>
      </c>
      <c r="L818" s="8">
        <f t="shared" si="72"/>
        <v>-1.6596289993915843E-4</v>
      </c>
      <c r="M818" s="5">
        <v>45382</v>
      </c>
      <c r="N818" s="9">
        <f t="shared" si="73"/>
        <v>1.480530470389358E-3</v>
      </c>
      <c r="O818" s="5">
        <v>45382</v>
      </c>
      <c r="P818">
        <f t="shared" si="75"/>
        <v>1.0001757957911266</v>
      </c>
      <c r="Q818" s="6">
        <f t="shared" si="76"/>
        <v>1.0000300009000269</v>
      </c>
      <c r="R818">
        <f t="shared" si="77"/>
        <v>1.4577989084817703E-4</v>
      </c>
      <c r="T818" s="5">
        <v>45382</v>
      </c>
      <c r="U818" s="1">
        <v>1.4577989084817703E-4</v>
      </c>
    </row>
    <row r="819" spans="3:21" x14ac:dyDescent="0.2">
      <c r="C819" s="5">
        <v>45383</v>
      </c>
      <c r="D819" s="6">
        <v>0.99997999999999998</v>
      </c>
      <c r="E819" s="6">
        <v>69673.81</v>
      </c>
      <c r="F819" s="6">
        <v>69739.5</v>
      </c>
      <c r="G819" s="6">
        <v>69742.52</v>
      </c>
      <c r="H819" s="6">
        <v>69749.8</v>
      </c>
      <c r="I819" s="5">
        <v>45383</v>
      </c>
      <c r="J819" s="7">
        <f t="shared" si="74"/>
        <v>1.0906537190948111E-3</v>
      </c>
      <c r="K819" s="5">
        <v>45383</v>
      </c>
      <c r="L819" s="8">
        <f t="shared" si="72"/>
        <v>4.3304009922699107E-5</v>
      </c>
      <c r="M819" s="5">
        <v>45383</v>
      </c>
      <c r="N819" s="9">
        <f t="shared" si="73"/>
        <v>1.1339577290175101E-3</v>
      </c>
      <c r="O819" s="5">
        <v>45383</v>
      </c>
      <c r="P819">
        <f t="shared" si="75"/>
        <v>1.0001043839540067</v>
      </c>
      <c r="Q819" s="6">
        <f t="shared" si="76"/>
        <v>1.0000200004000079</v>
      </c>
      <c r="R819">
        <f t="shared" si="77"/>
        <v>8.4378306378222567E-5</v>
      </c>
      <c r="T819" s="5">
        <v>45383</v>
      </c>
      <c r="U819" s="1">
        <v>8.4378306378222567E-5</v>
      </c>
    </row>
    <row r="820" spans="3:21" x14ac:dyDescent="0.2">
      <c r="C820" s="5">
        <v>45384</v>
      </c>
      <c r="D820" s="6">
        <v>0.99999000000000005</v>
      </c>
      <c r="E820" s="6">
        <v>65473.87</v>
      </c>
      <c r="F820" s="6">
        <v>65455.5</v>
      </c>
      <c r="G820" s="6">
        <v>65591.710000000006</v>
      </c>
      <c r="H820" s="6">
        <v>65476.6</v>
      </c>
      <c r="I820" s="5">
        <v>45384</v>
      </c>
      <c r="J820" s="7">
        <f t="shared" si="74"/>
        <v>4.1696023161544069E-5</v>
      </c>
      <c r="K820" s="5">
        <v>45384</v>
      </c>
      <c r="L820" s="8">
        <f t="shared" si="72"/>
        <v>2.0809557638396528E-3</v>
      </c>
      <c r="M820" s="5">
        <v>45384</v>
      </c>
      <c r="N820" s="9">
        <f t="shared" si="73"/>
        <v>2.122651787001197E-3</v>
      </c>
      <c r="O820" s="5">
        <v>45384</v>
      </c>
      <c r="P820">
        <f t="shared" si="75"/>
        <v>0.99824505261411833</v>
      </c>
      <c r="Q820" s="6">
        <f t="shared" si="76"/>
        <v>1.000010000100001</v>
      </c>
      <c r="R820">
        <f t="shared" si="77"/>
        <v>-1.7664891600728109E-3</v>
      </c>
      <c r="T820" s="5">
        <v>45384</v>
      </c>
      <c r="U820" s="1">
        <v>-1.7664891600728109E-3</v>
      </c>
    </row>
    <row r="821" spans="3:21" x14ac:dyDescent="0.2">
      <c r="C821" s="5">
        <v>45385</v>
      </c>
      <c r="D821" s="6">
        <v>1.00007</v>
      </c>
      <c r="E821" s="6">
        <v>65989.38</v>
      </c>
      <c r="F821" s="6">
        <v>65943.5</v>
      </c>
      <c r="G821" s="6">
        <v>66056.649999999994</v>
      </c>
      <c r="H821" s="6">
        <v>65995.8</v>
      </c>
      <c r="I821" s="5">
        <v>45385</v>
      </c>
      <c r="J821" s="7">
        <f t="shared" si="74"/>
        <v>9.7288381857781555E-5</v>
      </c>
      <c r="K821" s="5">
        <v>45385</v>
      </c>
      <c r="L821" s="8">
        <f t="shared" si="72"/>
        <v>1.7158628219611362E-3</v>
      </c>
      <c r="M821" s="5">
        <v>45385</v>
      </c>
      <c r="N821" s="9">
        <f t="shared" si="73"/>
        <v>1.8131512038189177E-3</v>
      </c>
      <c r="O821" s="5">
        <v>45385</v>
      </c>
      <c r="P821">
        <f t="shared" si="75"/>
        <v>0.99907882098168788</v>
      </c>
      <c r="Q821" s="6">
        <f t="shared" si="76"/>
        <v>0.999930004899657</v>
      </c>
      <c r="R821">
        <f t="shared" si="77"/>
        <v>-8.5160601433172198E-4</v>
      </c>
      <c r="T821" s="5">
        <v>45385</v>
      </c>
      <c r="U821" s="1">
        <v>-8.5160601433172198E-4</v>
      </c>
    </row>
    <row r="822" spans="3:21" x14ac:dyDescent="0.2">
      <c r="C822" s="5">
        <v>45386</v>
      </c>
      <c r="D822" s="6">
        <v>1</v>
      </c>
      <c r="E822" s="6">
        <v>68511.240000000005</v>
      </c>
      <c r="F822" s="6">
        <v>68481</v>
      </c>
      <c r="G822" s="6">
        <v>68573.06</v>
      </c>
      <c r="H822" s="6">
        <v>68494.3</v>
      </c>
      <c r="I822" s="5">
        <v>45386</v>
      </c>
      <c r="J822" s="7">
        <f t="shared" si="74"/>
        <v>-2.4725869798886032E-4</v>
      </c>
      <c r="K822" s="5">
        <v>45386</v>
      </c>
      <c r="L822" s="8">
        <f t="shared" si="72"/>
        <v>1.3443144813889644E-3</v>
      </c>
      <c r="M822" s="5">
        <v>45386</v>
      </c>
      <c r="N822" s="9">
        <f t="shared" si="73"/>
        <v>1.0970557834001041E-3</v>
      </c>
      <c r="O822" s="5">
        <v>45386</v>
      </c>
      <c r="P822">
        <f t="shared" si="75"/>
        <v>0.9988514439927284</v>
      </c>
      <c r="Q822" s="6">
        <f t="shared" si="76"/>
        <v>1</v>
      </c>
      <c r="R822">
        <f t="shared" si="77"/>
        <v>-1.1492161032090244E-3</v>
      </c>
      <c r="T822" s="5">
        <v>45386</v>
      </c>
      <c r="U822" s="1">
        <v>-1.1492161032090244E-3</v>
      </c>
    </row>
    <row r="823" spans="3:21" x14ac:dyDescent="0.2">
      <c r="C823" s="5">
        <v>45387</v>
      </c>
      <c r="D823" s="6">
        <v>1</v>
      </c>
      <c r="E823" s="6">
        <v>67850.19</v>
      </c>
      <c r="F823" s="6">
        <v>67825.5</v>
      </c>
      <c r="G823" s="6">
        <v>67921.17</v>
      </c>
      <c r="H823" s="6">
        <v>67766.899999999994</v>
      </c>
      <c r="I823" s="5">
        <v>45387</v>
      </c>
      <c r="J823" s="7">
        <f t="shared" si="74"/>
        <v>-1.2275573583509221E-3</v>
      </c>
      <c r="K823" s="5">
        <v>45387</v>
      </c>
      <c r="L823" s="8">
        <f t="shared" si="72"/>
        <v>1.4105314372912586E-3</v>
      </c>
      <c r="M823" s="5">
        <v>45387</v>
      </c>
      <c r="N823" s="9">
        <f t="shared" si="73"/>
        <v>1.829740789403365E-4</v>
      </c>
      <c r="O823" s="5">
        <v>45387</v>
      </c>
      <c r="P823">
        <f t="shared" si="75"/>
        <v>0.99772869048044965</v>
      </c>
      <c r="Q823" s="6">
        <f t="shared" si="76"/>
        <v>1</v>
      </c>
      <c r="R823">
        <f t="shared" si="77"/>
        <v>-2.2738928554620675E-3</v>
      </c>
      <c r="T823" s="5">
        <v>45387</v>
      </c>
      <c r="U823" s="1">
        <v>-2.2738928554620675E-3</v>
      </c>
    </row>
    <row r="824" spans="3:21" x14ac:dyDescent="0.2">
      <c r="C824" s="5">
        <v>45388</v>
      </c>
      <c r="D824" s="6">
        <v>0.99999000000000005</v>
      </c>
      <c r="E824" s="6">
        <v>68906.25</v>
      </c>
      <c r="F824" s="6">
        <v>68895.5</v>
      </c>
      <c r="G824" s="6">
        <v>68978.86</v>
      </c>
      <c r="H824" s="6">
        <v>68899</v>
      </c>
      <c r="I824" s="5">
        <v>45388</v>
      </c>
      <c r="J824" s="7">
        <f t="shared" si="74"/>
        <v>-1.0521541950113378E-4</v>
      </c>
      <c r="K824" s="5">
        <v>45388</v>
      </c>
      <c r="L824" s="8">
        <f t="shared" si="72"/>
        <v>1.2099484001132233E-3</v>
      </c>
      <c r="M824" s="5">
        <v>45388</v>
      </c>
      <c r="N824" s="9">
        <f t="shared" si="73"/>
        <v>1.1047329806120896E-3</v>
      </c>
      <c r="O824" s="5">
        <v>45388</v>
      </c>
      <c r="P824">
        <f t="shared" si="75"/>
        <v>0.99884225398912074</v>
      </c>
      <c r="Q824" s="6">
        <f t="shared" si="76"/>
        <v>1.000010000100001</v>
      </c>
      <c r="R824">
        <f t="shared" si="77"/>
        <v>-1.1684167665135619E-3</v>
      </c>
      <c r="T824" s="5">
        <v>45388</v>
      </c>
      <c r="U824" s="1">
        <v>-1.1684167665135619E-3</v>
      </c>
    </row>
    <row r="825" spans="3:21" x14ac:dyDescent="0.2">
      <c r="C825" s="5">
        <v>45389</v>
      </c>
      <c r="D825" s="6">
        <v>1</v>
      </c>
      <c r="E825" s="6">
        <v>69344.34</v>
      </c>
      <c r="F825" s="6">
        <v>69365</v>
      </c>
      <c r="G825" s="6">
        <v>69420.17</v>
      </c>
      <c r="H825" s="6">
        <v>69367.3</v>
      </c>
      <c r="I825" s="5">
        <v>45389</v>
      </c>
      <c r="J825" s="7">
        <f t="shared" si="74"/>
        <v>3.311012838251313E-4</v>
      </c>
      <c r="K825" s="5">
        <v>45389</v>
      </c>
      <c r="L825" s="8">
        <f t="shared" si="72"/>
        <v>7.9535788942547761E-4</v>
      </c>
      <c r="M825" s="5">
        <v>45389</v>
      </c>
      <c r="N825" s="9">
        <f t="shared" si="73"/>
        <v>1.126459173250609E-3</v>
      </c>
      <c r="O825" s="5">
        <v>45389</v>
      </c>
      <c r="P825">
        <f t="shared" si="75"/>
        <v>0.99923840578321843</v>
      </c>
      <c r="Q825" s="6">
        <f t="shared" si="76"/>
        <v>1</v>
      </c>
      <c r="R825">
        <f t="shared" si="77"/>
        <v>-7.6188437698933146E-4</v>
      </c>
      <c r="T825" s="5">
        <v>45389</v>
      </c>
      <c r="U825" s="1">
        <v>-7.6188437698933146E-4</v>
      </c>
    </row>
    <row r="826" spans="3:21" x14ac:dyDescent="0.2">
      <c r="C826" s="5">
        <v>45390</v>
      </c>
      <c r="D826" s="6">
        <v>0.99997000000000003</v>
      </c>
      <c r="E826" s="6">
        <v>71620.850000000006</v>
      </c>
      <c r="F826" s="6">
        <v>71678</v>
      </c>
      <c r="G826" s="6">
        <v>71316.56</v>
      </c>
      <c r="H826" s="6">
        <v>71677.5</v>
      </c>
      <c r="I826" s="5">
        <v>45390</v>
      </c>
      <c r="J826" s="7">
        <f t="shared" si="74"/>
        <v>7.9097078574178012E-4</v>
      </c>
      <c r="K826" s="5">
        <v>45390</v>
      </c>
      <c r="L826" s="8">
        <f t="shared" si="72"/>
        <v>-5.0425514104746553E-3</v>
      </c>
      <c r="M826" s="5">
        <v>45390</v>
      </c>
      <c r="N826" s="9">
        <f t="shared" si="73"/>
        <v>-4.2515806247328753E-3</v>
      </c>
      <c r="O826" s="5">
        <v>45390</v>
      </c>
      <c r="P826">
        <f t="shared" si="75"/>
        <v>1.0050610966092588</v>
      </c>
      <c r="Q826" s="6">
        <f t="shared" si="76"/>
        <v>1.0000300009000269</v>
      </c>
      <c r="R826">
        <f t="shared" si="77"/>
        <v>5.0183318592607589E-3</v>
      </c>
      <c r="T826" s="5">
        <v>45390</v>
      </c>
      <c r="U826" s="1">
        <v>5.0183318592607589E-3</v>
      </c>
    </row>
    <row r="827" spans="3:21" x14ac:dyDescent="0.2">
      <c r="C827" s="5">
        <v>45391</v>
      </c>
      <c r="D827" s="6">
        <v>0.99999000000000005</v>
      </c>
      <c r="E827" s="6">
        <v>69122.59</v>
      </c>
      <c r="F827" s="6">
        <v>69116.5</v>
      </c>
      <c r="G827" s="6">
        <v>69216.479999999996</v>
      </c>
      <c r="H827" s="6">
        <v>69179.399999999994</v>
      </c>
      <c r="I827" s="5">
        <v>45391</v>
      </c>
      <c r="J827" s="7">
        <f t="shared" si="74"/>
        <v>8.2187313872350088E-4</v>
      </c>
      <c r="K827" s="5">
        <v>45391</v>
      </c>
      <c r="L827" s="8">
        <f t="shared" si="72"/>
        <v>1.446543155396988E-3</v>
      </c>
      <c r="M827" s="5">
        <v>45391</v>
      </c>
      <c r="N827" s="9">
        <f t="shared" si="73"/>
        <v>2.2684162941204889E-3</v>
      </c>
      <c r="O827" s="5">
        <v>45391</v>
      </c>
      <c r="P827">
        <f t="shared" si="75"/>
        <v>0.99946428942933818</v>
      </c>
      <c r="Q827" s="6">
        <f t="shared" si="76"/>
        <v>1.000010000100001</v>
      </c>
      <c r="R827">
        <f t="shared" si="77"/>
        <v>-5.4585416483763478E-4</v>
      </c>
      <c r="T827" s="5">
        <v>45391</v>
      </c>
      <c r="U827" s="1">
        <v>-5.4585416483763478E-4</v>
      </c>
    </row>
    <row r="828" spans="3:21" x14ac:dyDescent="0.2">
      <c r="C828" s="5">
        <v>45392</v>
      </c>
      <c r="D828" s="6">
        <v>1</v>
      </c>
      <c r="E828" s="6">
        <v>70630.97</v>
      </c>
      <c r="F828" s="6">
        <v>70629.5</v>
      </c>
      <c r="G828" s="6">
        <v>70306.149999999994</v>
      </c>
      <c r="H828" s="6">
        <v>70641.7</v>
      </c>
      <c r="I828" s="5">
        <v>45392</v>
      </c>
      <c r="J828" s="7">
        <f t="shared" si="74"/>
        <v>1.5191636190181056E-4</v>
      </c>
      <c r="K828" s="5">
        <v>45392</v>
      </c>
      <c r="L828" s="8">
        <f t="shared" si="72"/>
        <v>-4.5781153767194419E-3</v>
      </c>
      <c r="M828" s="5">
        <v>45392</v>
      </c>
      <c r="N828" s="9">
        <f t="shared" si="73"/>
        <v>-4.4261990148176311E-3</v>
      </c>
      <c r="O828" s="5">
        <v>45392</v>
      </c>
      <c r="P828">
        <f t="shared" si="75"/>
        <v>1.0047726976942986</v>
      </c>
      <c r="Q828" s="6">
        <f t="shared" si="76"/>
        <v>1</v>
      </c>
      <c r="R828">
        <f t="shared" si="77"/>
        <v>4.7613444819607324E-3</v>
      </c>
      <c r="T828" s="5">
        <v>45392</v>
      </c>
      <c r="U828" s="1">
        <v>4.7613444819607324E-3</v>
      </c>
    </row>
    <row r="829" spans="3:21" x14ac:dyDescent="0.2">
      <c r="C829" s="5">
        <v>45393</v>
      </c>
      <c r="D829" s="6">
        <v>0.99999000000000005</v>
      </c>
      <c r="E829" s="6">
        <v>70011.89</v>
      </c>
      <c r="F829" s="6">
        <v>69983.5</v>
      </c>
      <c r="G829" s="6">
        <v>70010.17</v>
      </c>
      <c r="H829" s="6">
        <v>70036.100000000006</v>
      </c>
      <c r="I829" s="5">
        <v>45393</v>
      </c>
      <c r="J829" s="7">
        <f t="shared" si="74"/>
        <v>3.4579840652789693E-4</v>
      </c>
      <c r="K829" s="5">
        <v>45393</v>
      </c>
      <c r="L829" s="8">
        <f t="shared" si="72"/>
        <v>3.8108982831664968E-4</v>
      </c>
      <c r="M829" s="5">
        <v>45393</v>
      </c>
      <c r="N829" s="9">
        <f t="shared" si="73"/>
        <v>7.2688823484454656E-4</v>
      </c>
      <c r="O829" s="5">
        <v>45393</v>
      </c>
      <c r="P829">
        <f t="shared" si="75"/>
        <v>1.0003703747612669</v>
      </c>
      <c r="Q829" s="6">
        <f t="shared" si="76"/>
        <v>1.000010000100001</v>
      </c>
      <c r="R829">
        <f t="shared" si="77"/>
        <v>3.6030613946566782E-4</v>
      </c>
      <c r="T829" s="5">
        <v>45393</v>
      </c>
      <c r="U829" s="1">
        <v>3.6030613946566782E-4</v>
      </c>
    </row>
    <row r="830" spans="3:21" x14ac:dyDescent="0.2">
      <c r="C830" s="5">
        <v>45394</v>
      </c>
      <c r="D830" s="6">
        <v>1.0000100000000001</v>
      </c>
      <c r="E830" s="6">
        <v>67136.84</v>
      </c>
      <c r="F830" s="6">
        <v>67124</v>
      </c>
      <c r="G830" s="6">
        <v>67427.86</v>
      </c>
      <c r="H830" s="6">
        <v>67157.600000000006</v>
      </c>
      <c r="I830" s="5">
        <v>45394</v>
      </c>
      <c r="J830" s="7">
        <f t="shared" si="74"/>
        <v>3.0921920066552603E-4</v>
      </c>
      <c r="K830" s="5">
        <v>45394</v>
      </c>
      <c r="L830" s="8">
        <f t="shared" si="72"/>
        <v>4.5268458375543859E-3</v>
      </c>
      <c r="M830" s="5">
        <v>45394</v>
      </c>
      <c r="N830" s="9">
        <f t="shared" si="73"/>
        <v>4.8360650382199121E-3</v>
      </c>
      <c r="O830" s="5">
        <v>45394</v>
      </c>
      <c r="P830">
        <f t="shared" si="75"/>
        <v>0.99599186449043475</v>
      </c>
      <c r="Q830" s="6">
        <f t="shared" si="76"/>
        <v>0.99999000009999894</v>
      </c>
      <c r="R830">
        <f t="shared" si="77"/>
        <v>-4.0061896631926547E-3</v>
      </c>
      <c r="T830" s="5">
        <v>45394</v>
      </c>
      <c r="U830" s="1">
        <v>-4.0061896631926547E-3</v>
      </c>
    </row>
    <row r="831" spans="3:21" x14ac:dyDescent="0.2">
      <c r="C831" s="5">
        <v>45395</v>
      </c>
      <c r="D831" s="6">
        <v>1.0001100000000001</v>
      </c>
      <c r="E831" s="6">
        <v>63988.09</v>
      </c>
      <c r="F831" s="6">
        <v>63968.5</v>
      </c>
      <c r="G831" s="6">
        <v>64881.43</v>
      </c>
      <c r="H831" s="6">
        <v>63942.400000000001</v>
      </c>
      <c r="I831" s="5">
        <v>45395</v>
      </c>
      <c r="J831" s="7">
        <f t="shared" si="74"/>
        <v>-7.1403912821893978E-4</v>
      </c>
      <c r="K831" s="5">
        <v>45395</v>
      </c>
      <c r="L831" s="8">
        <f t="shared" si="72"/>
        <v>1.4271555531238036E-2</v>
      </c>
      <c r="M831" s="5">
        <v>45395</v>
      </c>
      <c r="N831" s="9">
        <f t="shared" si="73"/>
        <v>1.3557516403019096E-2</v>
      </c>
      <c r="O831" s="5">
        <v>45395</v>
      </c>
      <c r="P831">
        <f t="shared" si="75"/>
        <v>0.98552698360686575</v>
      </c>
      <c r="Q831" s="6">
        <f t="shared" si="76"/>
        <v>0.99989001209866912</v>
      </c>
      <c r="R831">
        <f t="shared" si="77"/>
        <v>-1.4468778187819097E-2</v>
      </c>
      <c r="T831" s="5">
        <v>45395</v>
      </c>
      <c r="U831" s="1">
        <v>-1.4468778187819097E-2</v>
      </c>
    </row>
    <row r="832" spans="3:21" x14ac:dyDescent="0.2">
      <c r="C832" s="5">
        <v>45396</v>
      </c>
      <c r="D832" s="6">
        <v>0.99997000000000003</v>
      </c>
      <c r="E832" s="6">
        <v>65724.789999999994</v>
      </c>
      <c r="F832" s="6">
        <v>65704.5</v>
      </c>
      <c r="G832" s="6">
        <v>66011.22</v>
      </c>
      <c r="H832" s="6">
        <v>65665.100000000006</v>
      </c>
      <c r="I832" s="5">
        <v>45396</v>
      </c>
      <c r="J832" s="7">
        <f t="shared" si="74"/>
        <v>-9.0818091621118577E-4</v>
      </c>
      <c r="K832" s="5">
        <v>45396</v>
      </c>
      <c r="L832" s="8">
        <f t="shared" si="72"/>
        <v>4.6681734127799641E-3</v>
      </c>
      <c r="M832" s="5">
        <v>45396</v>
      </c>
      <c r="N832" s="9">
        <f t="shared" si="73"/>
        <v>3.7599924965687785E-3</v>
      </c>
      <c r="O832" s="5">
        <v>45396</v>
      </c>
      <c r="P832">
        <f t="shared" si="75"/>
        <v>0.99475664894543692</v>
      </c>
      <c r="Q832" s="6">
        <f t="shared" si="76"/>
        <v>1.0000300009000269</v>
      </c>
      <c r="R832">
        <f t="shared" si="77"/>
        <v>-5.2871461108167867E-3</v>
      </c>
      <c r="T832" s="5">
        <v>45396</v>
      </c>
      <c r="U832" s="1">
        <v>-5.2871461108167867E-3</v>
      </c>
    </row>
    <row r="833" spans="3:21" x14ac:dyDescent="0.2">
      <c r="C833" s="5">
        <v>45397</v>
      </c>
      <c r="D833" s="6">
        <v>1.0000100000000001</v>
      </c>
      <c r="E833" s="6">
        <v>63447.01</v>
      </c>
      <c r="F833" s="6">
        <v>63435.5</v>
      </c>
      <c r="G833" s="6">
        <v>63452.72</v>
      </c>
      <c r="H833" s="6">
        <v>63408.1</v>
      </c>
      <c r="I833" s="5">
        <v>45397</v>
      </c>
      <c r="J833" s="7">
        <f t="shared" si="74"/>
        <v>-6.1326767013927829E-4</v>
      </c>
      <c r="K833" s="5">
        <v>45397</v>
      </c>
      <c r="L833" s="8">
        <f t="shared" si="72"/>
        <v>2.7145683410710348E-4</v>
      </c>
      <c r="M833" s="5">
        <v>45397</v>
      </c>
      <c r="N833" s="9">
        <f t="shared" si="73"/>
        <v>-3.4181083603217481E-4</v>
      </c>
      <c r="O833" s="5">
        <v>45397</v>
      </c>
      <c r="P833">
        <f t="shared" si="75"/>
        <v>0.999296799254626</v>
      </c>
      <c r="Q833" s="6">
        <f t="shared" si="76"/>
        <v>0.99999000009999894</v>
      </c>
      <c r="R833">
        <f t="shared" si="77"/>
        <v>-6.9344815698776073E-4</v>
      </c>
      <c r="T833" s="5">
        <v>45397</v>
      </c>
      <c r="U833" s="1">
        <v>-6.9344815698776073E-4</v>
      </c>
    </row>
    <row r="834" spans="3:21" x14ac:dyDescent="0.2">
      <c r="C834" s="5">
        <v>45398</v>
      </c>
      <c r="D834" s="6">
        <v>1.00003</v>
      </c>
      <c r="E834" s="6">
        <v>63816.9</v>
      </c>
      <c r="F834" s="6">
        <v>63795</v>
      </c>
      <c r="G834" s="6">
        <v>63884.89</v>
      </c>
      <c r="H834" s="6">
        <v>63803</v>
      </c>
      <c r="I834" s="5">
        <v>45398</v>
      </c>
      <c r="J834" s="7">
        <f t="shared" si="74"/>
        <v>-2.1781064263543754E-4</v>
      </c>
      <c r="K834" s="5">
        <v>45398</v>
      </c>
      <c r="L834" s="8">
        <f t="shared" si="72"/>
        <v>1.409044595971462E-3</v>
      </c>
      <c r="M834" s="5">
        <v>45398</v>
      </c>
      <c r="N834" s="9">
        <f t="shared" si="73"/>
        <v>1.1912339533360244E-3</v>
      </c>
      <c r="O834" s="5">
        <v>45398</v>
      </c>
      <c r="P834">
        <f t="shared" si="75"/>
        <v>0.99871816324642637</v>
      </c>
      <c r="Q834" s="6">
        <f t="shared" si="76"/>
        <v>0.99997000089997301</v>
      </c>
      <c r="R834">
        <f t="shared" si="77"/>
        <v>-1.2526594590359656E-3</v>
      </c>
      <c r="T834" s="5">
        <v>45398</v>
      </c>
      <c r="U834" s="1">
        <v>-1.2526594590359656E-3</v>
      </c>
    </row>
    <row r="835" spans="3:21" x14ac:dyDescent="0.2">
      <c r="C835" s="5">
        <v>45399</v>
      </c>
      <c r="D835" s="6">
        <v>1.00004</v>
      </c>
      <c r="E835" s="6">
        <v>61274.98</v>
      </c>
      <c r="F835" s="6">
        <v>61255</v>
      </c>
      <c r="G835" s="6">
        <v>61352.21</v>
      </c>
      <c r="H835" s="6">
        <v>61242.6</v>
      </c>
      <c r="I835" s="5">
        <v>45399</v>
      </c>
      <c r="J835" s="7">
        <f t="shared" si="74"/>
        <v>-5.2843754498173084E-4</v>
      </c>
      <c r="K835" s="5">
        <v>45399</v>
      </c>
      <c r="L835" s="8">
        <f t="shared" si="72"/>
        <v>1.5869724920414517E-3</v>
      </c>
      <c r="M835" s="5">
        <v>45399</v>
      </c>
      <c r="N835" s="9">
        <f t="shared" si="73"/>
        <v>1.0585349470597209E-3</v>
      </c>
      <c r="O835" s="5">
        <v>45399</v>
      </c>
      <c r="P835">
        <f t="shared" si="75"/>
        <v>0.99821343029044918</v>
      </c>
      <c r="Q835" s="6">
        <f t="shared" si="76"/>
        <v>0.99996000159993592</v>
      </c>
      <c r="R835">
        <f t="shared" si="77"/>
        <v>-1.7481683285532784E-3</v>
      </c>
      <c r="T835" s="5">
        <v>45399</v>
      </c>
      <c r="U835" s="1">
        <v>-1.7481683285532784E-3</v>
      </c>
    </row>
    <row r="836" spans="3:21" x14ac:dyDescent="0.2">
      <c r="C836" s="5">
        <v>45400</v>
      </c>
      <c r="D836" s="6">
        <v>1.00003</v>
      </c>
      <c r="E836" s="6">
        <v>63507.91</v>
      </c>
      <c r="F836" s="6">
        <v>63474</v>
      </c>
      <c r="G836" s="6">
        <v>63574.18</v>
      </c>
      <c r="H836" s="6">
        <v>63455</v>
      </c>
      <c r="I836" s="5">
        <v>45400</v>
      </c>
      <c r="J836" s="7">
        <f t="shared" si="74"/>
        <v>-8.3312456668788962E-4</v>
      </c>
      <c r="K836" s="5">
        <v>45400</v>
      </c>
      <c r="L836" s="8">
        <f t="shared" si="72"/>
        <v>1.5782840218042079E-3</v>
      </c>
      <c r="M836" s="5">
        <v>45400</v>
      </c>
      <c r="N836" s="9">
        <f t="shared" si="73"/>
        <v>7.4515945511631823E-4</v>
      </c>
      <c r="O836" s="5">
        <v>45400</v>
      </c>
      <c r="P836">
        <f t="shared" si="75"/>
        <v>0.99812533956395511</v>
      </c>
      <c r="Q836" s="6">
        <f t="shared" si="76"/>
        <v>0.99997000089997301</v>
      </c>
      <c r="R836">
        <f t="shared" si="77"/>
        <v>-1.8464202610754706E-3</v>
      </c>
      <c r="T836" s="5">
        <v>45400</v>
      </c>
      <c r="U836" s="1">
        <v>-1.8464202610754706E-3</v>
      </c>
    </row>
    <row r="837" spans="3:21" x14ac:dyDescent="0.2">
      <c r="C837" s="5">
        <v>45401</v>
      </c>
      <c r="D837" s="6">
        <v>1</v>
      </c>
      <c r="E837" s="6">
        <v>63844.43</v>
      </c>
      <c r="F837" s="6">
        <v>63805</v>
      </c>
      <c r="G837" s="6">
        <v>63920.08</v>
      </c>
      <c r="H837" s="6">
        <v>63781.8</v>
      </c>
      <c r="I837" s="5">
        <v>45401</v>
      </c>
      <c r="J837" s="7">
        <f t="shared" si="74"/>
        <v>-9.8097829364280297E-4</v>
      </c>
      <c r="K837" s="5">
        <v>45401</v>
      </c>
      <c r="L837" s="8">
        <f t="shared" si="72"/>
        <v>1.8036204059243279E-3</v>
      </c>
      <c r="M837" s="5">
        <v>45401</v>
      </c>
      <c r="N837" s="9">
        <f t="shared" si="73"/>
        <v>8.2264211228152495E-4</v>
      </c>
      <c r="O837" s="5">
        <v>45401</v>
      </c>
      <c r="P837">
        <f t="shared" si="75"/>
        <v>0.99783667354609062</v>
      </c>
      <c r="Q837" s="6">
        <f t="shared" si="76"/>
        <v>1</v>
      </c>
      <c r="R837">
        <f t="shared" si="77"/>
        <v>-2.1656698248433341E-3</v>
      </c>
      <c r="T837" s="5">
        <v>45401</v>
      </c>
      <c r="U837" s="1">
        <v>-2.1656698248433341E-3</v>
      </c>
    </row>
    <row r="838" spans="3:21" x14ac:dyDescent="0.2">
      <c r="C838" s="5">
        <v>45402</v>
      </c>
      <c r="D838" s="6">
        <v>1.00004</v>
      </c>
      <c r="E838" s="6">
        <v>64962.82</v>
      </c>
      <c r="F838" s="6">
        <v>64938.5</v>
      </c>
      <c r="G838" s="6">
        <v>65161.79</v>
      </c>
      <c r="H838" s="6">
        <v>64925.599999999999</v>
      </c>
      <c r="I838" s="5">
        <v>45402</v>
      </c>
      <c r="J838" s="7">
        <f t="shared" si="74"/>
        <v>-5.7294310807322042E-4</v>
      </c>
      <c r="K838" s="5">
        <v>45402</v>
      </c>
      <c r="L838" s="8">
        <f t="shared" si="72"/>
        <v>3.4384841041909019E-3</v>
      </c>
      <c r="M838" s="5">
        <v>45402</v>
      </c>
      <c r="N838" s="9">
        <f t="shared" si="73"/>
        <v>2.8655409961176816E-3</v>
      </c>
      <c r="O838" s="5">
        <v>45402</v>
      </c>
      <c r="P838">
        <f t="shared" si="75"/>
        <v>0.99637532977531773</v>
      </c>
      <c r="Q838" s="6">
        <f t="shared" si="76"/>
        <v>0.99996000159993592</v>
      </c>
      <c r="R838">
        <f t="shared" si="77"/>
        <v>-3.5912560589806109E-3</v>
      </c>
      <c r="T838" s="5">
        <v>45402</v>
      </c>
      <c r="U838" s="1">
        <v>-3.5912560589806109E-3</v>
      </c>
    </row>
    <row r="839" spans="3:21" x14ac:dyDescent="0.2">
      <c r="C839" s="5">
        <v>45403</v>
      </c>
      <c r="D839" s="6">
        <v>0.99999000000000005</v>
      </c>
      <c r="E839" s="6">
        <v>64951.4</v>
      </c>
      <c r="F839" s="6">
        <v>64936</v>
      </c>
      <c r="G839" s="6">
        <v>65066.62</v>
      </c>
      <c r="H839" s="6">
        <v>64893.599999999999</v>
      </c>
      <c r="I839" s="5">
        <v>45403</v>
      </c>
      <c r="J839" s="7">
        <f t="shared" si="74"/>
        <v>-8.8989613772763804E-4</v>
      </c>
      <c r="K839" s="5">
        <v>45403</v>
      </c>
      <c r="L839" s="8">
        <f t="shared" si="72"/>
        <v>2.0115190341259488E-3</v>
      </c>
      <c r="M839" s="5">
        <v>45403</v>
      </c>
      <c r="N839" s="9">
        <f t="shared" si="73"/>
        <v>1.1216228963983107E-3</v>
      </c>
      <c r="O839" s="5">
        <v>45403</v>
      </c>
      <c r="P839">
        <f t="shared" si="75"/>
        <v>0.99734087924038461</v>
      </c>
      <c r="Q839" s="6">
        <f t="shared" si="76"/>
        <v>1.000010000100001</v>
      </c>
      <c r="R839">
        <f t="shared" si="77"/>
        <v>-2.6726625512285165E-3</v>
      </c>
      <c r="T839" s="5">
        <v>45403</v>
      </c>
      <c r="U839" s="1">
        <v>-2.6726625512285165E-3</v>
      </c>
    </row>
    <row r="840" spans="3:21" x14ac:dyDescent="0.2">
      <c r="C840" s="5">
        <v>45404</v>
      </c>
      <c r="D840" s="6">
        <v>0.99999000000000005</v>
      </c>
      <c r="E840" s="6">
        <v>66836.39</v>
      </c>
      <c r="F840" s="6">
        <v>66821.5</v>
      </c>
      <c r="G840" s="6">
        <v>66879.429999999993</v>
      </c>
      <c r="H840" s="6">
        <v>66789.3</v>
      </c>
      <c r="I840" s="5">
        <v>45404</v>
      </c>
      <c r="J840" s="7">
        <f t="shared" si="74"/>
        <v>-7.0455630533002315E-4</v>
      </c>
      <c r="K840" s="5">
        <v>45404</v>
      </c>
      <c r="L840" s="8">
        <f t="shared" si="72"/>
        <v>8.6693653988600993E-4</v>
      </c>
      <c r="M840" s="5">
        <v>45404</v>
      </c>
      <c r="N840" s="9">
        <f t="shared" si="73"/>
        <v>1.6238023455598678E-4</v>
      </c>
      <c r="O840" s="5">
        <v>45404</v>
      </c>
      <c r="P840">
        <f t="shared" si="75"/>
        <v>0.99865235095454619</v>
      </c>
      <c r="Q840" s="6">
        <f t="shared" si="76"/>
        <v>1.000010000100001</v>
      </c>
      <c r="R840">
        <f t="shared" si="77"/>
        <v>-1.358557991102273E-3</v>
      </c>
      <c r="T840" s="5">
        <v>45404</v>
      </c>
      <c r="U840" s="1">
        <v>-1.358557991102273E-3</v>
      </c>
    </row>
    <row r="841" spans="3:21" x14ac:dyDescent="0.2">
      <c r="C841" s="5">
        <v>45405</v>
      </c>
      <c r="D841" s="6">
        <v>1.00004</v>
      </c>
      <c r="E841" s="6">
        <v>66414.92</v>
      </c>
      <c r="F841" s="6">
        <v>66407</v>
      </c>
      <c r="G841" s="6">
        <v>66498.09</v>
      </c>
      <c r="H841" s="6">
        <v>66393</v>
      </c>
      <c r="I841" s="5">
        <v>45405</v>
      </c>
      <c r="J841" s="7">
        <f t="shared" si="74"/>
        <v>-3.3004632091702068E-4</v>
      </c>
      <c r="K841" s="5">
        <v>45405</v>
      </c>
      <c r="L841" s="8">
        <f t="shared" si="72"/>
        <v>1.3716927432348472E-3</v>
      </c>
      <c r="M841" s="5">
        <v>45405</v>
      </c>
      <c r="N841" s="9">
        <f t="shared" si="73"/>
        <v>1.0416464223178266E-3</v>
      </c>
      <c r="O841" s="5">
        <v>45405</v>
      </c>
      <c r="P841">
        <f t="shared" si="75"/>
        <v>0.99841965385772735</v>
      </c>
      <c r="Q841" s="6">
        <f t="shared" si="76"/>
        <v>0.99996000159993592</v>
      </c>
      <c r="R841">
        <f t="shared" si="77"/>
        <v>-1.5415970064121937E-3</v>
      </c>
      <c r="T841" s="5">
        <v>45405</v>
      </c>
      <c r="U841" s="1">
        <v>-1.5415970064121937E-3</v>
      </c>
    </row>
    <row r="842" spans="3:21" x14ac:dyDescent="0.2">
      <c r="C842" s="5">
        <v>45406</v>
      </c>
      <c r="D842" s="6">
        <v>1</v>
      </c>
      <c r="E842" s="6">
        <v>64250.19</v>
      </c>
      <c r="F842" s="6">
        <v>64236</v>
      </c>
      <c r="G842" s="6">
        <v>64332.51</v>
      </c>
      <c r="H842" s="6">
        <v>64285.1</v>
      </c>
      <c r="I842" s="5">
        <v>45406</v>
      </c>
      <c r="J842" s="7">
        <f t="shared" si="74"/>
        <v>5.4334469672379516E-4</v>
      </c>
      <c r="K842" s="5">
        <v>45406</v>
      </c>
      <c r="L842" s="8">
        <f t="shared" si="72"/>
        <v>1.5024285447412984E-3</v>
      </c>
      <c r="M842" s="5">
        <v>45406</v>
      </c>
      <c r="N842" s="9">
        <f t="shared" si="73"/>
        <v>2.0457732414650934E-3</v>
      </c>
      <c r="O842" s="5">
        <v>45406</v>
      </c>
      <c r="P842">
        <f t="shared" si="75"/>
        <v>0.99926304756335471</v>
      </c>
      <c r="Q842" s="6">
        <f t="shared" si="76"/>
        <v>1</v>
      </c>
      <c r="R842">
        <f t="shared" si="77"/>
        <v>-7.3722411957869414E-4</v>
      </c>
      <c r="T842" s="5">
        <v>45406</v>
      </c>
      <c r="U842" s="1">
        <v>-7.3722411957869414E-4</v>
      </c>
    </row>
    <row r="843" spans="3:21" x14ac:dyDescent="0.2">
      <c r="C843" s="5">
        <v>45407</v>
      </c>
      <c r="D843" s="6">
        <v>0.99999000000000005</v>
      </c>
      <c r="E843" s="6">
        <v>64482.19</v>
      </c>
      <c r="F843" s="6">
        <v>64449.5</v>
      </c>
      <c r="G843" s="6">
        <v>64561.98</v>
      </c>
      <c r="H843" s="6">
        <v>64460.1</v>
      </c>
      <c r="I843" s="5">
        <v>45407</v>
      </c>
      <c r="J843" s="7">
        <f t="shared" si="74"/>
        <v>-3.4257521340394585E-4</v>
      </c>
      <c r="K843" s="5">
        <v>45407</v>
      </c>
      <c r="L843" s="8">
        <f t="shared" ref="L843:L906" si="78">(G843-F843)/F843</f>
        <v>1.7452423990877075E-3</v>
      </c>
      <c r="M843" s="5">
        <v>45407</v>
      </c>
      <c r="N843" s="9">
        <f t="shared" ref="N843:N906" si="79">J843+L843</f>
        <v>1.4026671856837616E-3</v>
      </c>
      <c r="O843" s="5">
        <v>45407</v>
      </c>
      <c r="P843">
        <f t="shared" si="75"/>
        <v>0.99842198148198036</v>
      </c>
      <c r="Q843" s="6">
        <f t="shared" si="76"/>
        <v>1.000010000100001</v>
      </c>
      <c r="R843">
        <f t="shared" si="77"/>
        <v>-1.5892649506240152E-3</v>
      </c>
      <c r="T843" s="5">
        <v>45407</v>
      </c>
      <c r="U843" s="1">
        <v>-1.5892649506240152E-3</v>
      </c>
    </row>
    <row r="844" spans="3:21" x14ac:dyDescent="0.2">
      <c r="C844" s="5">
        <v>45408</v>
      </c>
      <c r="D844" s="6">
        <v>0.99997000000000003</v>
      </c>
      <c r="E844" s="6">
        <v>63744.43</v>
      </c>
      <c r="F844" s="6">
        <v>63713.5</v>
      </c>
      <c r="G844" s="6">
        <v>63778.86</v>
      </c>
      <c r="H844" s="6">
        <v>63721</v>
      </c>
      <c r="I844" s="5">
        <v>45408</v>
      </c>
      <c r="J844" s="7">
        <f t="shared" ref="J844:J907" si="80">(H844-E844)/E844</f>
        <v>-3.6756152655220687E-4</v>
      </c>
      <c r="K844" s="5">
        <v>45408</v>
      </c>
      <c r="L844" s="8">
        <f t="shared" si="78"/>
        <v>1.0258422469335475E-3</v>
      </c>
      <c r="M844" s="5">
        <v>45408</v>
      </c>
      <c r="N844" s="9">
        <f t="shared" si="79"/>
        <v>6.5828072038134065E-4</v>
      </c>
      <c r="O844" s="5">
        <v>45408</v>
      </c>
      <c r="P844">
        <f t="shared" ref="P844:P907" si="81">(1/G844)*H844</f>
        <v>0.99909280285034885</v>
      </c>
      <c r="Q844" s="6">
        <f t="shared" ref="Q844:Q907" si="82">1/D844</f>
        <v>1.0000300009000269</v>
      </c>
      <c r="R844">
        <f t="shared" ref="R844:R907" si="83">LN(P844/Q844)</f>
        <v>-9.3760935204015327E-4</v>
      </c>
      <c r="T844" s="5">
        <v>45408</v>
      </c>
      <c r="U844" s="1">
        <v>-9.3760935204015327E-4</v>
      </c>
    </row>
    <row r="845" spans="3:21" x14ac:dyDescent="0.2">
      <c r="C845" s="5">
        <v>45409</v>
      </c>
      <c r="D845" s="6">
        <v>1</v>
      </c>
      <c r="E845" s="6">
        <v>63412.62</v>
      </c>
      <c r="F845" s="6">
        <v>63389.5</v>
      </c>
      <c r="G845" s="6">
        <v>63545.36</v>
      </c>
      <c r="H845" s="6">
        <v>63407.7</v>
      </c>
      <c r="I845" s="5">
        <v>45409</v>
      </c>
      <c r="J845" s="7">
        <f t="shared" si="80"/>
        <v>-7.7587079669717629E-5</v>
      </c>
      <c r="K845" s="5">
        <v>45409</v>
      </c>
      <c r="L845" s="8">
        <f t="shared" si="78"/>
        <v>2.4587668304687778E-3</v>
      </c>
      <c r="M845" s="5">
        <v>45409</v>
      </c>
      <c r="N845" s="9">
        <f t="shared" si="79"/>
        <v>2.3811797507990603E-3</v>
      </c>
      <c r="O845" s="5">
        <v>45409</v>
      </c>
      <c r="P845">
        <f t="shared" si="81"/>
        <v>0.99783367345782592</v>
      </c>
      <c r="Q845" s="6">
        <f t="shared" si="82"/>
        <v>1</v>
      </c>
      <c r="R845">
        <f t="shared" si="83"/>
        <v>-2.1686764218689504E-3</v>
      </c>
      <c r="T845" s="5">
        <v>45409</v>
      </c>
      <c r="U845" s="1">
        <v>-2.1686764218689504E-3</v>
      </c>
    </row>
    <row r="846" spans="3:21" x14ac:dyDescent="0.2">
      <c r="C846" s="5">
        <v>45410</v>
      </c>
      <c r="D846" s="6">
        <v>0.99999000000000005</v>
      </c>
      <c r="E846" s="6">
        <v>63108.97</v>
      </c>
      <c r="F846" s="6">
        <v>63061.5</v>
      </c>
      <c r="G846" s="6">
        <v>63165.59</v>
      </c>
      <c r="H846" s="6">
        <v>63063</v>
      </c>
      <c r="I846" s="5">
        <v>45410</v>
      </c>
      <c r="J846" s="7">
        <f t="shared" si="80"/>
        <v>-7.2842259983012182E-4</v>
      </c>
      <c r="K846" s="5">
        <v>45410</v>
      </c>
      <c r="L846" s="8">
        <f t="shared" si="78"/>
        <v>1.6506109115703956E-3</v>
      </c>
      <c r="M846" s="5">
        <v>45410</v>
      </c>
      <c r="N846" s="9">
        <f t="shared" si="79"/>
        <v>9.2218831174027379E-4</v>
      </c>
      <c r="O846" s="5">
        <v>45410</v>
      </c>
      <c r="P846">
        <f t="shared" si="81"/>
        <v>0.99837585622171821</v>
      </c>
      <c r="Q846" s="6">
        <f t="shared" si="82"/>
        <v>1.000010000100001</v>
      </c>
      <c r="R846">
        <f t="shared" si="83"/>
        <v>-1.6354641796089704E-3</v>
      </c>
      <c r="T846" s="5">
        <v>45410</v>
      </c>
      <c r="U846" s="1">
        <v>-1.6354641796089704E-3</v>
      </c>
    </row>
    <row r="847" spans="3:21" x14ac:dyDescent="0.2">
      <c r="C847" s="5">
        <v>45411</v>
      </c>
      <c r="D847" s="6">
        <v>1</v>
      </c>
      <c r="E847" s="6">
        <v>63847.64</v>
      </c>
      <c r="F847" s="6">
        <v>63802</v>
      </c>
      <c r="G847" s="6">
        <v>63876.1</v>
      </c>
      <c r="H847" s="6">
        <v>63806.400000000001</v>
      </c>
      <c r="I847" s="5">
        <v>45411</v>
      </c>
      <c r="J847" s="7">
        <f t="shared" si="80"/>
        <v>-6.4591267586394674E-4</v>
      </c>
      <c r="K847" s="5">
        <v>45411</v>
      </c>
      <c r="L847" s="8">
        <f t="shared" si="78"/>
        <v>1.161405598570555E-3</v>
      </c>
      <c r="M847" s="5">
        <v>45411</v>
      </c>
      <c r="N847" s="9">
        <f t="shared" si="79"/>
        <v>5.1549292270660827E-4</v>
      </c>
      <c r="O847" s="5">
        <v>45411</v>
      </c>
      <c r="P847">
        <f t="shared" si="81"/>
        <v>0.99890882505350209</v>
      </c>
      <c r="Q847" s="6">
        <f t="shared" si="82"/>
        <v>1</v>
      </c>
      <c r="R847">
        <f t="shared" si="83"/>
        <v>-1.0917707113083622E-3</v>
      </c>
      <c r="T847" s="5">
        <v>45411</v>
      </c>
      <c r="U847" s="1">
        <v>-1.0917707113083622E-3</v>
      </c>
    </row>
    <row r="848" spans="3:21" x14ac:dyDescent="0.2">
      <c r="C848" s="5">
        <v>45412</v>
      </c>
      <c r="D848" s="6">
        <v>0.99999000000000005</v>
      </c>
      <c r="E848" s="6">
        <v>60622.36</v>
      </c>
      <c r="F848" s="6">
        <v>60637.5</v>
      </c>
      <c r="G848" s="6">
        <v>60674.53</v>
      </c>
      <c r="H848" s="6">
        <v>60621.2</v>
      </c>
      <c r="I848" s="5">
        <v>45412</v>
      </c>
      <c r="J848" s="7">
        <f t="shared" si="80"/>
        <v>-1.9134853872457166E-5</v>
      </c>
      <c r="K848" s="5">
        <v>45412</v>
      </c>
      <c r="L848" s="8">
        <f t="shared" si="78"/>
        <v>6.106782106781915E-4</v>
      </c>
      <c r="M848" s="5">
        <v>45412</v>
      </c>
      <c r="N848" s="9">
        <f t="shared" si="79"/>
        <v>5.915433568057343E-4</v>
      </c>
      <c r="O848" s="5">
        <v>45412</v>
      </c>
      <c r="P848">
        <f t="shared" si="81"/>
        <v>0.9991210479916367</v>
      </c>
      <c r="Q848" s="6">
        <f t="shared" si="82"/>
        <v>1.000010000100001</v>
      </c>
      <c r="R848">
        <f t="shared" si="83"/>
        <v>-8.8933856317611169E-4</v>
      </c>
      <c r="T848" s="5">
        <v>45412</v>
      </c>
      <c r="U848" s="1">
        <v>-8.8933856317611169E-4</v>
      </c>
    </row>
    <row r="849" spans="3:21" x14ac:dyDescent="0.2">
      <c r="C849" s="5">
        <v>45413</v>
      </c>
      <c r="D849" s="6">
        <v>1</v>
      </c>
      <c r="E849" s="6">
        <v>58271.03</v>
      </c>
      <c r="F849" s="6">
        <v>58232</v>
      </c>
      <c r="G849" s="6">
        <v>58462.07</v>
      </c>
      <c r="H849" s="6">
        <v>58246.9</v>
      </c>
      <c r="I849" s="5">
        <v>45413</v>
      </c>
      <c r="J849" s="7">
        <f t="shared" si="80"/>
        <v>-4.1409942470550771E-4</v>
      </c>
      <c r="K849" s="5">
        <v>45413</v>
      </c>
      <c r="L849" s="8">
        <f t="shared" si="78"/>
        <v>3.9509204561066031E-3</v>
      </c>
      <c r="M849" s="5">
        <v>45413</v>
      </c>
      <c r="N849" s="9">
        <f t="shared" si="79"/>
        <v>3.5368210314010956E-3</v>
      </c>
      <c r="O849" s="5">
        <v>45413</v>
      </c>
      <c r="P849">
        <f t="shared" si="81"/>
        <v>0.99631949398986386</v>
      </c>
      <c r="Q849" s="6">
        <f t="shared" si="82"/>
        <v>1</v>
      </c>
      <c r="R849">
        <f t="shared" si="83"/>
        <v>-3.6872957372555272E-3</v>
      </c>
      <c r="T849" s="5">
        <v>45413</v>
      </c>
      <c r="U849" s="1">
        <v>-3.6872957372555272E-3</v>
      </c>
    </row>
    <row r="850" spans="3:21" x14ac:dyDescent="0.2">
      <c r="C850" s="5">
        <v>45414</v>
      </c>
      <c r="D850" s="6">
        <v>1.0000100000000001</v>
      </c>
      <c r="E850" s="6">
        <v>59061.54</v>
      </c>
      <c r="F850" s="6">
        <v>59030</v>
      </c>
      <c r="G850" s="6">
        <v>59142.12</v>
      </c>
      <c r="H850" s="6">
        <v>59016.3</v>
      </c>
      <c r="I850" s="5">
        <v>45414</v>
      </c>
      <c r="J850" s="7">
        <f t="shared" si="80"/>
        <v>-7.6598070419426863E-4</v>
      </c>
      <c r="K850" s="5">
        <v>45414</v>
      </c>
      <c r="L850" s="8">
        <f t="shared" si="78"/>
        <v>1.8993732000678065E-3</v>
      </c>
      <c r="M850" s="5">
        <v>45414</v>
      </c>
      <c r="N850" s="9">
        <f t="shared" si="79"/>
        <v>1.133392495873538E-3</v>
      </c>
      <c r="O850" s="5">
        <v>45414</v>
      </c>
      <c r="P850">
        <f t="shared" si="81"/>
        <v>0.99787258218000974</v>
      </c>
      <c r="Q850" s="6">
        <f t="shared" si="82"/>
        <v>0.99999000009999894</v>
      </c>
      <c r="R850">
        <f t="shared" si="83"/>
        <v>-2.1196840379080592E-3</v>
      </c>
      <c r="T850" s="5">
        <v>45414</v>
      </c>
      <c r="U850" s="1">
        <v>-2.1196840379080592E-3</v>
      </c>
    </row>
    <row r="851" spans="3:21" x14ac:dyDescent="0.2">
      <c r="C851" s="5">
        <v>45415</v>
      </c>
      <c r="D851" s="6">
        <v>0.99997999999999998</v>
      </c>
      <c r="E851" s="6">
        <v>62894</v>
      </c>
      <c r="F851" s="6">
        <v>62883.5</v>
      </c>
      <c r="G851" s="6">
        <v>62937.94</v>
      </c>
      <c r="H851" s="6">
        <v>62842.2</v>
      </c>
      <c r="I851" s="5">
        <v>45415</v>
      </c>
      <c r="J851" s="7">
        <f t="shared" si="80"/>
        <v>-8.2360797532360656E-4</v>
      </c>
      <c r="K851" s="5">
        <v>45415</v>
      </c>
      <c r="L851" s="8">
        <f t="shared" si="78"/>
        <v>8.6572789364463382E-4</v>
      </c>
      <c r="M851" s="5">
        <v>45415</v>
      </c>
      <c r="N851" s="9">
        <f t="shared" si="79"/>
        <v>4.2119918321027261E-5</v>
      </c>
      <c r="O851" s="5">
        <v>45415</v>
      </c>
      <c r="P851">
        <f t="shared" si="81"/>
        <v>0.99847881897628032</v>
      </c>
      <c r="Q851" s="6">
        <f t="shared" si="82"/>
        <v>1.0000200004000079</v>
      </c>
      <c r="R851">
        <f t="shared" si="83"/>
        <v>-1.5423393942494822E-3</v>
      </c>
      <c r="T851" s="5">
        <v>45415</v>
      </c>
      <c r="U851" s="1">
        <v>-1.5423393942494822E-3</v>
      </c>
    </row>
    <row r="852" spans="3:21" x14ac:dyDescent="0.2">
      <c r="C852" s="5">
        <v>45416</v>
      </c>
      <c r="D852" s="6">
        <v>1</v>
      </c>
      <c r="E852" s="6">
        <v>63901.61</v>
      </c>
      <c r="F852" s="6">
        <v>63877</v>
      </c>
      <c r="G852" s="6">
        <v>63927.7</v>
      </c>
      <c r="H852" s="6">
        <v>63857.7</v>
      </c>
      <c r="I852" s="5">
        <v>45416</v>
      </c>
      <c r="J852" s="7">
        <f t="shared" si="80"/>
        <v>-6.8715013596689495E-4</v>
      </c>
      <c r="K852" s="5">
        <v>45416</v>
      </c>
      <c r="L852" s="8">
        <f t="shared" si="78"/>
        <v>7.9371291701233761E-4</v>
      </c>
      <c r="M852" s="5">
        <v>45416</v>
      </c>
      <c r="N852" s="9">
        <f t="shared" si="79"/>
        <v>1.0656278104544266E-4</v>
      </c>
      <c r="O852" s="5">
        <v>45416</v>
      </c>
      <c r="P852">
        <f t="shared" si="81"/>
        <v>0.99890501300688128</v>
      </c>
      <c r="Q852" s="6">
        <f t="shared" si="82"/>
        <v>1</v>
      </c>
      <c r="R852">
        <f t="shared" si="83"/>
        <v>-1.0955869293645109E-3</v>
      </c>
      <c r="T852" s="5">
        <v>45416</v>
      </c>
      <c r="U852" s="1">
        <v>-1.0955869293645109E-3</v>
      </c>
    </row>
    <row r="853" spans="3:21" x14ac:dyDescent="0.2">
      <c r="C853" s="5">
        <v>45417</v>
      </c>
      <c r="D853" s="6">
        <v>0.99999000000000005</v>
      </c>
      <c r="E853" s="6">
        <v>64026.99</v>
      </c>
      <c r="F853" s="6">
        <v>64003</v>
      </c>
      <c r="G853" s="6">
        <v>63999.519999999997</v>
      </c>
      <c r="H853" s="6">
        <v>63977.2</v>
      </c>
      <c r="I853" s="5">
        <v>45417</v>
      </c>
      <c r="J853" s="7">
        <f t="shared" si="80"/>
        <v>-7.7764080429207859E-4</v>
      </c>
      <c r="K853" s="5">
        <v>45417</v>
      </c>
      <c r="L853" s="8">
        <f t="shared" si="78"/>
        <v>-5.437245129139574E-5</v>
      </c>
      <c r="M853" s="5">
        <v>45417</v>
      </c>
      <c r="N853" s="9">
        <f t="shared" si="79"/>
        <v>-8.3201325558347435E-4</v>
      </c>
      <c r="O853" s="5">
        <v>45417</v>
      </c>
      <c r="P853">
        <f t="shared" si="81"/>
        <v>0.99965124738435551</v>
      </c>
      <c r="Q853" s="6">
        <f t="shared" si="82"/>
        <v>1.000010000100001</v>
      </c>
      <c r="R853">
        <f t="shared" si="83"/>
        <v>-3.5881349398133992E-4</v>
      </c>
      <c r="T853" s="5">
        <v>45417</v>
      </c>
      <c r="U853" s="1">
        <v>-3.5881349398133992E-4</v>
      </c>
    </row>
    <row r="854" spans="3:21" x14ac:dyDescent="0.2">
      <c r="C854" s="5">
        <v>45418</v>
      </c>
      <c r="D854" s="6">
        <v>1</v>
      </c>
      <c r="E854" s="6">
        <v>63169.120000000003</v>
      </c>
      <c r="F854" s="6">
        <v>63128.5</v>
      </c>
      <c r="G854" s="6">
        <v>63197.26</v>
      </c>
      <c r="H854" s="6">
        <v>63145.9</v>
      </c>
      <c r="I854" s="5">
        <v>45418</v>
      </c>
      <c r="J854" s="7">
        <f t="shared" si="80"/>
        <v>-3.6758466795170112E-4</v>
      </c>
      <c r="K854" s="5">
        <v>45418</v>
      </c>
      <c r="L854" s="8">
        <f t="shared" si="78"/>
        <v>1.0892069350610586E-3</v>
      </c>
      <c r="M854" s="5">
        <v>45418</v>
      </c>
      <c r="N854" s="9">
        <f t="shared" si="79"/>
        <v>7.2162226710935752E-4</v>
      </c>
      <c r="O854" s="5">
        <v>45418</v>
      </c>
      <c r="P854">
        <f t="shared" si="81"/>
        <v>0.9991873065382898</v>
      </c>
      <c r="Q854" s="6">
        <f t="shared" si="82"/>
        <v>1</v>
      </c>
      <c r="R854">
        <f t="shared" si="83"/>
        <v>-8.1302387607074368E-4</v>
      </c>
      <c r="T854" s="5">
        <v>45418</v>
      </c>
      <c r="U854" s="1">
        <v>-8.1302387607074368E-4</v>
      </c>
    </row>
    <row r="855" spans="3:21" x14ac:dyDescent="0.2">
      <c r="C855" s="5">
        <v>45419</v>
      </c>
      <c r="D855" s="6">
        <v>0.99999000000000005</v>
      </c>
      <c r="E855" s="6">
        <v>62321.91</v>
      </c>
      <c r="F855" s="6">
        <v>62300.5</v>
      </c>
      <c r="G855" s="6">
        <v>62357.66</v>
      </c>
      <c r="H855" s="6">
        <v>62311.1</v>
      </c>
      <c r="I855" s="5">
        <v>45419</v>
      </c>
      <c r="J855" s="7">
        <f t="shared" si="80"/>
        <v>-1.7345424747099289E-4</v>
      </c>
      <c r="K855" s="5">
        <v>45419</v>
      </c>
      <c r="L855" s="8">
        <f t="shared" si="78"/>
        <v>9.1748862368686436E-4</v>
      </c>
      <c r="M855" s="5">
        <v>45419</v>
      </c>
      <c r="N855" s="9">
        <f t="shared" si="79"/>
        <v>7.4403437621587147E-4</v>
      </c>
      <c r="O855" s="5">
        <v>45419</v>
      </c>
      <c r="P855">
        <f t="shared" si="81"/>
        <v>0.99925333952556894</v>
      </c>
      <c r="Q855" s="6">
        <f t="shared" si="82"/>
        <v>1.000010000100001</v>
      </c>
      <c r="R855">
        <f t="shared" si="83"/>
        <v>-7.5693941419596939E-4</v>
      </c>
      <c r="T855" s="5">
        <v>45419</v>
      </c>
      <c r="U855" s="1">
        <v>-7.5693941419596939E-4</v>
      </c>
    </row>
    <row r="856" spans="3:21" x14ac:dyDescent="0.2">
      <c r="C856" s="5">
        <v>45420</v>
      </c>
      <c r="D856" s="6">
        <v>0.99999000000000005</v>
      </c>
      <c r="E856" s="6">
        <v>61173.25</v>
      </c>
      <c r="F856" s="6">
        <v>61132.5</v>
      </c>
      <c r="G856" s="6">
        <v>61145.41</v>
      </c>
      <c r="H856" s="6">
        <v>61156.5</v>
      </c>
      <c r="I856" s="5">
        <v>45420</v>
      </c>
      <c r="J856" s="7">
        <f t="shared" si="80"/>
        <v>-2.738124915710707E-4</v>
      </c>
      <c r="K856" s="5">
        <v>45420</v>
      </c>
      <c r="L856" s="8">
        <f t="shared" si="78"/>
        <v>2.1118063223332095E-4</v>
      </c>
      <c r="M856" s="5">
        <v>45420</v>
      </c>
      <c r="N856" s="9">
        <f t="shared" si="79"/>
        <v>-6.2631859337749753E-5</v>
      </c>
      <c r="O856" s="5">
        <v>45420</v>
      </c>
      <c r="P856">
        <f t="shared" si="81"/>
        <v>1.0001813709320126</v>
      </c>
      <c r="Q856" s="6">
        <f t="shared" si="82"/>
        <v>1.000010000100001</v>
      </c>
      <c r="R856">
        <f t="shared" si="83"/>
        <v>1.7135443629338347E-4</v>
      </c>
      <c r="T856" s="5">
        <v>45420</v>
      </c>
      <c r="U856" s="1">
        <v>1.7135443629338347E-4</v>
      </c>
    </row>
    <row r="857" spans="3:21" x14ac:dyDescent="0.2">
      <c r="C857" s="5">
        <v>45421</v>
      </c>
      <c r="D857" s="6">
        <v>0.99999000000000005</v>
      </c>
      <c r="E857" s="6">
        <v>63064.68</v>
      </c>
      <c r="F857" s="6">
        <v>63044</v>
      </c>
      <c r="G857" s="6">
        <v>63098.89</v>
      </c>
      <c r="H857" s="6">
        <v>63033</v>
      </c>
      <c r="I857" s="5">
        <v>45421</v>
      </c>
      <c r="J857" s="7">
        <f t="shared" si="80"/>
        <v>-5.0234140568064869E-4</v>
      </c>
      <c r="K857" s="5">
        <v>45421</v>
      </c>
      <c r="L857" s="8">
        <f t="shared" si="78"/>
        <v>8.706617600405973E-4</v>
      </c>
      <c r="M857" s="5">
        <v>45421</v>
      </c>
      <c r="N857" s="9">
        <f t="shared" si="79"/>
        <v>3.6832035435994861E-4</v>
      </c>
      <c r="O857" s="5">
        <v>45421</v>
      </c>
      <c r="P857">
        <f t="shared" si="81"/>
        <v>0.99895576609984749</v>
      </c>
      <c r="Q857" s="6">
        <f t="shared" si="82"/>
        <v>1.000010000100001</v>
      </c>
      <c r="R857">
        <f t="shared" si="83"/>
        <v>-1.0547795422221496E-3</v>
      </c>
      <c r="T857" s="5">
        <v>45421</v>
      </c>
      <c r="U857" s="1">
        <v>-1.0547795422221496E-3</v>
      </c>
    </row>
    <row r="858" spans="3:21" x14ac:dyDescent="0.2">
      <c r="C858" s="5">
        <v>45422</v>
      </c>
      <c r="D858" s="6">
        <v>0.99999000000000005</v>
      </c>
      <c r="E858" s="6">
        <v>60793</v>
      </c>
      <c r="F858" s="6">
        <v>60761.5</v>
      </c>
      <c r="G858" s="6">
        <v>60875.74</v>
      </c>
      <c r="H858" s="6">
        <v>60753.3</v>
      </c>
      <c r="I858" s="5">
        <v>45422</v>
      </c>
      <c r="J858" s="7">
        <f t="shared" si="80"/>
        <v>-6.5303571134829813E-4</v>
      </c>
      <c r="K858" s="5">
        <v>45422</v>
      </c>
      <c r="L858" s="8">
        <f t="shared" si="78"/>
        <v>1.8801379162791893E-3</v>
      </c>
      <c r="M858" s="5">
        <v>45422</v>
      </c>
      <c r="N858" s="9">
        <f t="shared" si="79"/>
        <v>1.2271022049308911E-3</v>
      </c>
      <c r="O858" s="5">
        <v>45422</v>
      </c>
      <c r="P858">
        <f t="shared" si="81"/>
        <v>0.99798868974734456</v>
      </c>
      <c r="Q858" s="6">
        <f t="shared" si="82"/>
        <v>1.000010000100001</v>
      </c>
      <c r="R858">
        <f t="shared" si="83"/>
        <v>-2.0233357033838063E-3</v>
      </c>
      <c r="T858" s="5">
        <v>45422</v>
      </c>
      <c r="U858" s="1">
        <v>-2.0233357033838063E-3</v>
      </c>
    </row>
    <row r="859" spans="3:21" x14ac:dyDescent="0.2">
      <c r="C859" s="5">
        <v>45423</v>
      </c>
      <c r="D859" s="6">
        <v>0.99997000000000003</v>
      </c>
      <c r="E859" s="6">
        <v>60817.56</v>
      </c>
      <c r="F859" s="6">
        <v>60787.5</v>
      </c>
      <c r="G859" s="6">
        <v>60878.13</v>
      </c>
      <c r="H859" s="6">
        <v>60770.1</v>
      </c>
      <c r="I859" s="5">
        <v>45423</v>
      </c>
      <c r="J859" s="7">
        <f t="shared" si="80"/>
        <v>-7.8036672303195213E-4</v>
      </c>
      <c r="K859" s="5">
        <v>45423</v>
      </c>
      <c r="L859" s="8">
        <f t="shared" si="78"/>
        <v>1.4909315237507281E-3</v>
      </c>
      <c r="M859" s="5">
        <v>45423</v>
      </c>
      <c r="N859" s="9">
        <f t="shared" si="79"/>
        <v>7.1056480071877602E-4</v>
      </c>
      <c r="O859" s="5">
        <v>45423</v>
      </c>
      <c r="P859">
        <f t="shared" si="81"/>
        <v>0.99822547111746041</v>
      </c>
      <c r="Q859" s="6">
        <f t="shared" si="82"/>
        <v>1.0000300009000269</v>
      </c>
      <c r="R859">
        <f t="shared" si="83"/>
        <v>-1.8061056740444074E-3</v>
      </c>
      <c r="T859" s="5">
        <v>45423</v>
      </c>
      <c r="U859" s="1">
        <v>-1.8061056740444074E-3</v>
      </c>
    </row>
    <row r="860" spans="3:21" x14ac:dyDescent="0.2">
      <c r="C860" s="5">
        <v>45424</v>
      </c>
      <c r="D860" s="6">
        <v>0.99997999999999998</v>
      </c>
      <c r="E860" s="6">
        <v>61452.72</v>
      </c>
      <c r="F860" s="6">
        <v>61428</v>
      </c>
      <c r="G860" s="6">
        <v>61485.36</v>
      </c>
      <c r="H860" s="6">
        <v>61422.9</v>
      </c>
      <c r="I860" s="5">
        <v>45424</v>
      </c>
      <c r="J860" s="7">
        <f t="shared" si="80"/>
        <v>-4.8525110035812423E-4</v>
      </c>
      <c r="K860" s="5">
        <v>45424</v>
      </c>
      <c r="L860" s="8">
        <f t="shared" si="78"/>
        <v>9.3377612815003874E-4</v>
      </c>
      <c r="M860" s="5">
        <v>45424</v>
      </c>
      <c r="N860" s="9">
        <f t="shared" si="79"/>
        <v>4.4852502779191451E-4</v>
      </c>
      <c r="O860" s="5">
        <v>45424</v>
      </c>
      <c r="P860">
        <f t="shared" si="81"/>
        <v>0.99898414842167316</v>
      </c>
      <c r="Q860" s="6">
        <f t="shared" si="82"/>
        <v>1.0000200004000079</v>
      </c>
      <c r="R860">
        <f t="shared" si="83"/>
        <v>-1.036368105248039E-3</v>
      </c>
      <c r="T860" s="5">
        <v>45424</v>
      </c>
      <c r="U860" s="1">
        <v>-1.036368105248039E-3</v>
      </c>
    </row>
    <row r="861" spans="3:21" x14ac:dyDescent="0.2">
      <c r="C861" s="5">
        <v>45425</v>
      </c>
      <c r="D861" s="6">
        <v>1</v>
      </c>
      <c r="E861" s="6">
        <v>62921.120000000003</v>
      </c>
      <c r="F861" s="6">
        <v>62906.5</v>
      </c>
      <c r="G861" s="6">
        <v>62916.71</v>
      </c>
      <c r="H861" s="6">
        <v>62880</v>
      </c>
      <c r="I861" s="5">
        <v>45425</v>
      </c>
      <c r="J861" s="7">
        <f t="shared" si="80"/>
        <v>-6.5351665704619722E-4</v>
      </c>
      <c r="K861" s="5">
        <v>45425</v>
      </c>
      <c r="L861" s="8">
        <f t="shared" si="78"/>
        <v>1.6230437236214266E-4</v>
      </c>
      <c r="M861" s="5">
        <v>45425</v>
      </c>
      <c r="N861" s="9">
        <f t="shared" si="79"/>
        <v>-4.9121228468405453E-4</v>
      </c>
      <c r="O861" s="5">
        <v>45425</v>
      </c>
      <c r="P861">
        <f t="shared" si="81"/>
        <v>0.99941653020318444</v>
      </c>
      <c r="Q861" s="6">
        <f t="shared" si="82"/>
        <v>1</v>
      </c>
      <c r="R861">
        <f t="shared" si="83"/>
        <v>-5.8364008155801681E-4</v>
      </c>
      <c r="T861" s="5">
        <v>45425</v>
      </c>
      <c r="U861" s="1">
        <v>-5.8364008155801681E-4</v>
      </c>
    </row>
    <row r="862" spans="3:21" x14ac:dyDescent="0.2">
      <c r="C862" s="5">
        <v>45426</v>
      </c>
      <c r="D862" s="6">
        <v>0.99997000000000003</v>
      </c>
      <c r="E862" s="6">
        <v>61546.93</v>
      </c>
      <c r="F862" s="6">
        <v>61525.5</v>
      </c>
      <c r="G862" s="6">
        <v>61582.75</v>
      </c>
      <c r="H862" s="6">
        <v>61511.6</v>
      </c>
      <c r="I862" s="5">
        <v>45426</v>
      </c>
      <c r="J862" s="7">
        <f t="shared" si="80"/>
        <v>-5.7403350581420947E-4</v>
      </c>
      <c r="K862" s="5">
        <v>45426</v>
      </c>
      <c r="L862" s="8">
        <f t="shared" si="78"/>
        <v>9.3050848835035877E-4</v>
      </c>
      <c r="M862" s="5">
        <v>45426</v>
      </c>
      <c r="N862" s="9">
        <f t="shared" si="79"/>
        <v>3.564749825361493E-4</v>
      </c>
      <c r="O862" s="5">
        <v>45426</v>
      </c>
      <c r="P862">
        <f t="shared" si="81"/>
        <v>0.99884464399527473</v>
      </c>
      <c r="Q862" s="6">
        <f t="shared" si="82"/>
        <v>1.0000300009000269</v>
      </c>
      <c r="R862">
        <f t="shared" si="83"/>
        <v>-1.186024393003558E-3</v>
      </c>
      <c r="T862" s="5">
        <v>45426</v>
      </c>
      <c r="U862" s="1">
        <v>-1.186024393003558E-3</v>
      </c>
    </row>
    <row r="863" spans="3:21" x14ac:dyDescent="0.2">
      <c r="C863" s="5">
        <v>45427</v>
      </c>
      <c r="D863" s="6">
        <v>1</v>
      </c>
      <c r="E863" s="6">
        <v>66237.48</v>
      </c>
      <c r="F863" s="6">
        <v>66215</v>
      </c>
      <c r="G863" s="6">
        <v>66163.11</v>
      </c>
      <c r="H863" s="6">
        <v>66218.100000000006</v>
      </c>
      <c r="I863" s="5">
        <v>45427</v>
      </c>
      <c r="J863" s="7">
        <f t="shared" si="80"/>
        <v>-2.9258359466558973E-4</v>
      </c>
      <c r="K863" s="5">
        <v>45427</v>
      </c>
      <c r="L863" s="8">
        <f t="shared" si="78"/>
        <v>-7.8365929170126733E-4</v>
      </c>
      <c r="M863" s="5">
        <v>45427</v>
      </c>
      <c r="N863" s="9">
        <f t="shared" si="79"/>
        <v>-1.0762428863668571E-3</v>
      </c>
      <c r="O863" s="5">
        <v>45427</v>
      </c>
      <c r="P863">
        <f t="shared" si="81"/>
        <v>1.0008311277991619</v>
      </c>
      <c r="Q863" s="6">
        <f t="shared" si="82"/>
        <v>1</v>
      </c>
      <c r="R863">
        <f t="shared" si="83"/>
        <v>8.30782603707127E-4</v>
      </c>
      <c r="T863" s="5">
        <v>45427</v>
      </c>
      <c r="U863" s="1">
        <v>8.30782603707127E-4</v>
      </c>
    </row>
    <row r="864" spans="3:21" x14ac:dyDescent="0.2">
      <c r="C864" s="5">
        <v>45428</v>
      </c>
      <c r="D864" s="6">
        <v>0.99999000000000005</v>
      </c>
      <c r="E864" s="6">
        <v>65241.17</v>
      </c>
      <c r="F864" s="6">
        <v>65221</v>
      </c>
      <c r="G864" s="6">
        <v>65199.99</v>
      </c>
      <c r="H864" s="6">
        <v>65180.800000000003</v>
      </c>
      <c r="I864" s="5">
        <v>45428</v>
      </c>
      <c r="J864" s="7">
        <f t="shared" si="80"/>
        <v>-9.2533594967710334E-4</v>
      </c>
      <c r="K864" s="5">
        <v>45428</v>
      </c>
      <c r="L864" s="8">
        <f t="shared" si="78"/>
        <v>-3.2213550850189411E-4</v>
      </c>
      <c r="M864" s="5">
        <v>45428</v>
      </c>
      <c r="N864" s="9">
        <f t="shared" si="79"/>
        <v>-1.2474714581789973E-3</v>
      </c>
      <c r="O864" s="5">
        <v>45428</v>
      </c>
      <c r="P864">
        <f t="shared" si="81"/>
        <v>0.99970567480148387</v>
      </c>
      <c r="Q864" s="6">
        <f t="shared" si="82"/>
        <v>1.000010000100001</v>
      </c>
      <c r="R864">
        <f t="shared" si="83"/>
        <v>-3.0436857067841491E-4</v>
      </c>
      <c r="T864" s="5">
        <v>45428</v>
      </c>
      <c r="U864" s="1">
        <v>-3.0436857067841491E-4</v>
      </c>
    </row>
    <row r="865" spans="3:21" x14ac:dyDescent="0.2">
      <c r="C865" s="5">
        <v>45429</v>
      </c>
      <c r="D865" s="6">
        <v>1.00007</v>
      </c>
      <c r="E865" s="6">
        <v>67039.75</v>
      </c>
      <c r="F865" s="6">
        <v>67017.5</v>
      </c>
      <c r="G865" s="6">
        <v>67029.81</v>
      </c>
      <c r="H865" s="6">
        <v>67027.600000000006</v>
      </c>
      <c r="I865" s="5">
        <v>45429</v>
      </c>
      <c r="J865" s="7">
        <f t="shared" si="80"/>
        <v>-1.8123575938147412E-4</v>
      </c>
      <c r="K865" s="5">
        <v>45429</v>
      </c>
      <c r="L865" s="8">
        <f t="shared" si="78"/>
        <v>1.8368336628489084E-4</v>
      </c>
      <c r="M865" s="5">
        <v>45429</v>
      </c>
      <c r="N865" s="9">
        <f t="shared" si="79"/>
        <v>2.4476069034167218E-6</v>
      </c>
      <c r="O865" s="5">
        <v>45429</v>
      </c>
      <c r="P865">
        <f t="shared" si="81"/>
        <v>0.99996702959474315</v>
      </c>
      <c r="Q865" s="6">
        <f t="shared" si="82"/>
        <v>0.999930004899657</v>
      </c>
      <c r="R865">
        <f t="shared" si="83"/>
        <v>3.7026601321809248E-5</v>
      </c>
      <c r="T865" s="5">
        <v>45429</v>
      </c>
      <c r="U865" s="1">
        <v>3.7026601321809248E-5</v>
      </c>
    </row>
    <row r="866" spans="3:21" x14ac:dyDescent="0.2">
      <c r="C866" s="5">
        <v>45430</v>
      </c>
      <c r="D866" s="6">
        <v>0.99997000000000003</v>
      </c>
      <c r="E866" s="6">
        <v>66923.399999999994</v>
      </c>
      <c r="F866" s="6">
        <v>66895</v>
      </c>
      <c r="G866" s="6">
        <v>66890.820000000007</v>
      </c>
      <c r="H866" s="6">
        <v>66896.3</v>
      </c>
      <c r="I866" s="5">
        <v>45430</v>
      </c>
      <c r="J866" s="7">
        <f t="shared" si="80"/>
        <v>-4.0494057384997281E-4</v>
      </c>
      <c r="K866" s="5">
        <v>45430</v>
      </c>
      <c r="L866" s="8">
        <f t="shared" si="78"/>
        <v>-6.2485985499559233E-5</v>
      </c>
      <c r="M866" s="5">
        <v>45430</v>
      </c>
      <c r="N866" s="9">
        <f t="shared" si="79"/>
        <v>-4.6742655934953203E-4</v>
      </c>
      <c r="O866" s="5">
        <v>45430</v>
      </c>
      <c r="P866">
        <f t="shared" si="81"/>
        <v>1.000081924545102</v>
      </c>
      <c r="Q866" s="6">
        <f t="shared" si="82"/>
        <v>1.0000300009000269</v>
      </c>
      <c r="R866">
        <f t="shared" si="83"/>
        <v>5.1920739460897771E-5</v>
      </c>
      <c r="T866" s="5">
        <v>45430</v>
      </c>
      <c r="U866" s="1">
        <v>5.1920739460897771E-5</v>
      </c>
    </row>
    <row r="867" spans="3:21" x14ac:dyDescent="0.2">
      <c r="C867" s="5">
        <v>45431</v>
      </c>
      <c r="D867" s="6">
        <v>1</v>
      </c>
      <c r="E867" s="6">
        <v>66257.460000000006</v>
      </c>
      <c r="F867" s="6">
        <v>66248.5</v>
      </c>
      <c r="G867" s="6">
        <v>66243.149999999994</v>
      </c>
      <c r="H867" s="6">
        <v>66225.600000000006</v>
      </c>
      <c r="I867" s="5">
        <v>45431</v>
      </c>
      <c r="J867" s="7">
        <f t="shared" si="80"/>
        <v>-4.8085151468228E-4</v>
      </c>
      <c r="K867" s="5">
        <v>45431</v>
      </c>
      <c r="L867" s="8">
        <f t="shared" si="78"/>
        <v>-8.0756545431305167E-5</v>
      </c>
      <c r="M867" s="5">
        <v>45431</v>
      </c>
      <c r="N867" s="9">
        <f t="shared" si="79"/>
        <v>-5.6160806011358512E-4</v>
      </c>
      <c r="O867" s="5">
        <v>45431</v>
      </c>
      <c r="P867">
        <f t="shared" si="81"/>
        <v>0.99973506694654479</v>
      </c>
      <c r="Q867" s="6">
        <f t="shared" si="82"/>
        <v>1</v>
      </c>
      <c r="R867">
        <f t="shared" si="83"/>
        <v>-2.6496815441635414E-4</v>
      </c>
      <c r="T867" s="5">
        <v>45431</v>
      </c>
      <c r="U867" s="1">
        <v>-2.6496815441635414E-4</v>
      </c>
    </row>
    <row r="868" spans="3:21" x14ac:dyDescent="0.2">
      <c r="C868" s="5">
        <v>45432</v>
      </c>
      <c r="D868" s="6">
        <v>1.0000100000000001</v>
      </c>
      <c r="E868" s="6">
        <v>71440.42</v>
      </c>
      <c r="F868" s="6">
        <v>71468</v>
      </c>
      <c r="G868" s="6">
        <v>70203.509999999995</v>
      </c>
      <c r="H868" s="6">
        <v>71430.8</v>
      </c>
      <c r="I868" s="5">
        <v>45432</v>
      </c>
      <c r="J868" s="7">
        <f t="shared" si="80"/>
        <v>-1.3465766298679857E-4</v>
      </c>
      <c r="K868" s="5">
        <v>45432</v>
      </c>
      <c r="L868" s="8">
        <f t="shared" si="78"/>
        <v>-1.7693093412436408E-2</v>
      </c>
      <c r="M868" s="5">
        <v>45432</v>
      </c>
      <c r="N868" s="9">
        <f t="shared" si="79"/>
        <v>-1.7827751075423205E-2</v>
      </c>
      <c r="O868" s="5">
        <v>45432</v>
      </c>
      <c r="P868">
        <f t="shared" si="81"/>
        <v>1.0174818894382918</v>
      </c>
      <c r="Q868" s="6">
        <f t="shared" si="82"/>
        <v>0.99999000009999894</v>
      </c>
      <c r="R868">
        <f t="shared" si="83"/>
        <v>1.7340839048362089E-2</v>
      </c>
      <c r="T868" s="5">
        <v>45432</v>
      </c>
      <c r="U868" s="1">
        <v>1.7340839048362089E-2</v>
      </c>
    </row>
    <row r="869" spans="3:21" x14ac:dyDescent="0.2">
      <c r="C869" s="5">
        <v>45433</v>
      </c>
      <c r="D869" s="6">
        <v>1.00004</v>
      </c>
      <c r="E869" s="6">
        <v>70141.850000000006</v>
      </c>
      <c r="F869" s="6">
        <v>70183.5</v>
      </c>
      <c r="G869" s="6">
        <v>69630.92</v>
      </c>
      <c r="H869" s="6">
        <v>70159.199999999997</v>
      </c>
      <c r="I869" s="5">
        <v>45433</v>
      </c>
      <c r="J869" s="7">
        <f t="shared" si="80"/>
        <v>2.4735589380649739E-4</v>
      </c>
      <c r="K869" s="5">
        <v>45433</v>
      </c>
      <c r="L869" s="8">
        <f t="shared" si="78"/>
        <v>-7.8733605477071065E-3</v>
      </c>
      <c r="M869" s="5">
        <v>45433</v>
      </c>
      <c r="N869" s="9">
        <f t="shared" si="79"/>
        <v>-7.6260046539006095E-3</v>
      </c>
      <c r="O869" s="5">
        <v>45433</v>
      </c>
      <c r="P869">
        <f t="shared" si="81"/>
        <v>1.0075868594009671</v>
      </c>
      <c r="Q869" s="6">
        <f t="shared" si="82"/>
        <v>0.99996000159993592</v>
      </c>
      <c r="R869">
        <f t="shared" si="83"/>
        <v>7.5982231275422913E-3</v>
      </c>
      <c r="T869" s="5">
        <v>45433</v>
      </c>
      <c r="U869" s="1">
        <v>7.5982231275422913E-3</v>
      </c>
    </row>
    <row r="870" spans="3:21" x14ac:dyDescent="0.2">
      <c r="C870" s="5">
        <v>45434</v>
      </c>
      <c r="D870" s="6">
        <v>1.00003</v>
      </c>
      <c r="E870" s="6">
        <v>69131.92</v>
      </c>
      <c r="F870" s="6">
        <v>69188</v>
      </c>
      <c r="G870" s="6">
        <v>69059.69</v>
      </c>
      <c r="H870" s="6">
        <v>69200.2</v>
      </c>
      <c r="I870" s="5">
        <v>45434</v>
      </c>
      <c r="J870" s="7">
        <f t="shared" si="80"/>
        <v>9.8767689368382708E-4</v>
      </c>
      <c r="K870" s="5">
        <v>45434</v>
      </c>
      <c r="L870" s="8">
        <f t="shared" si="78"/>
        <v>-1.8545123431808648E-3</v>
      </c>
      <c r="M870" s="5">
        <v>45434</v>
      </c>
      <c r="N870" s="9">
        <f t="shared" si="79"/>
        <v>-8.6683544949703773E-4</v>
      </c>
      <c r="O870" s="5">
        <v>45434</v>
      </c>
      <c r="P870">
        <f t="shared" si="81"/>
        <v>1.0020346167206946</v>
      </c>
      <c r="Q870" s="6">
        <f t="shared" si="82"/>
        <v>0.99997000089997301</v>
      </c>
      <c r="R870">
        <f t="shared" si="83"/>
        <v>2.0625492413702453E-3</v>
      </c>
      <c r="T870" s="5">
        <v>45434</v>
      </c>
      <c r="U870" s="1">
        <v>2.0625492413702453E-3</v>
      </c>
    </row>
    <row r="871" spans="3:21" x14ac:dyDescent="0.2">
      <c r="C871" s="5">
        <v>45435</v>
      </c>
      <c r="D871" s="6">
        <v>0.99999000000000005</v>
      </c>
      <c r="E871" s="6">
        <v>67934.41</v>
      </c>
      <c r="F871" s="6">
        <v>67991.5</v>
      </c>
      <c r="G871" s="6">
        <v>67950.86</v>
      </c>
      <c r="H871" s="6">
        <v>67977.399999999994</v>
      </c>
      <c r="I871" s="5">
        <v>45435</v>
      </c>
      <c r="J871" s="7">
        <f t="shared" si="80"/>
        <v>6.3281627087054531E-4</v>
      </c>
      <c r="K871" s="5">
        <v>45435</v>
      </c>
      <c r="L871" s="8">
        <f t="shared" si="78"/>
        <v>-5.977217740452765E-4</v>
      </c>
      <c r="M871" s="5">
        <v>45435</v>
      </c>
      <c r="N871" s="9">
        <f t="shared" si="79"/>
        <v>3.5094496825268805E-5</v>
      </c>
      <c r="O871" s="5">
        <v>45435</v>
      </c>
      <c r="P871">
        <f t="shared" si="81"/>
        <v>1.0003905763665095</v>
      </c>
      <c r="Q871" s="6">
        <f t="shared" si="82"/>
        <v>1.000010000100001</v>
      </c>
      <c r="R871">
        <f t="shared" si="83"/>
        <v>3.8050006141523757E-4</v>
      </c>
      <c r="T871" s="5">
        <v>45435</v>
      </c>
      <c r="U871" s="1">
        <v>3.8050006141523757E-4</v>
      </c>
    </row>
    <row r="872" spans="3:21" x14ac:dyDescent="0.2">
      <c r="C872" s="5">
        <v>45436</v>
      </c>
      <c r="D872" s="6">
        <v>1.00003</v>
      </c>
      <c r="E872" s="6">
        <v>68542.320000000007</v>
      </c>
      <c r="F872" s="6">
        <v>68581</v>
      </c>
      <c r="G872" s="6">
        <v>68563.83</v>
      </c>
      <c r="H872" s="6">
        <v>68522.2</v>
      </c>
      <c r="I872" s="5">
        <v>45436</v>
      </c>
      <c r="J872" s="7">
        <f t="shared" si="80"/>
        <v>-2.9354127493802214E-4</v>
      </c>
      <c r="K872" s="5">
        <v>45436</v>
      </c>
      <c r="L872" s="8">
        <f t="shared" si="78"/>
        <v>-2.503608871261465E-4</v>
      </c>
      <c r="M872" s="5">
        <v>45436</v>
      </c>
      <c r="N872" s="9">
        <f t="shared" si="79"/>
        <v>-5.439021620641687E-4</v>
      </c>
      <c r="O872" s="5">
        <v>45436</v>
      </c>
      <c r="P872">
        <f t="shared" si="81"/>
        <v>0.99939282855114708</v>
      </c>
      <c r="Q872" s="6">
        <f t="shared" si="82"/>
        <v>0.99997000089997301</v>
      </c>
      <c r="R872">
        <f t="shared" si="83"/>
        <v>-5.7735630207482848E-4</v>
      </c>
      <c r="T872" s="5">
        <v>45436</v>
      </c>
      <c r="U872" s="1">
        <v>-5.7735630207482848E-4</v>
      </c>
    </row>
    <row r="873" spans="3:21" x14ac:dyDescent="0.2">
      <c r="C873" s="5">
        <v>45437</v>
      </c>
      <c r="D873" s="6">
        <v>1.0000100000000001</v>
      </c>
      <c r="E873" s="6">
        <v>69284.539999999994</v>
      </c>
      <c r="F873" s="6">
        <v>69325</v>
      </c>
      <c r="G873" s="6">
        <v>69290.84</v>
      </c>
      <c r="H873" s="6">
        <v>69244.5</v>
      </c>
      <c r="I873" s="5">
        <v>45437</v>
      </c>
      <c r="J873" s="7">
        <f t="shared" si="80"/>
        <v>-5.7790670184132854E-4</v>
      </c>
      <c r="K873" s="5">
        <v>45437</v>
      </c>
      <c r="L873" s="8">
        <f t="shared" si="78"/>
        <v>-4.9275153263618455E-4</v>
      </c>
      <c r="M873" s="5">
        <v>45437</v>
      </c>
      <c r="N873" s="9">
        <f t="shared" si="79"/>
        <v>-1.0706582344775131E-3</v>
      </c>
      <c r="O873" s="5">
        <v>45437</v>
      </c>
      <c r="P873">
        <f t="shared" si="81"/>
        <v>0.99933122473331248</v>
      </c>
      <c r="Q873" s="6">
        <f t="shared" si="82"/>
        <v>0.99999000009999894</v>
      </c>
      <c r="R873">
        <f t="shared" si="83"/>
        <v>-6.5899904662139355E-4</v>
      </c>
      <c r="T873" s="5">
        <v>45437</v>
      </c>
      <c r="U873" s="1">
        <v>-6.5899904662139355E-4</v>
      </c>
    </row>
    <row r="874" spans="3:21" x14ac:dyDescent="0.2">
      <c r="C874" s="5">
        <v>45438</v>
      </c>
      <c r="D874" s="6">
        <v>0.99999000000000005</v>
      </c>
      <c r="E874" s="6">
        <v>68473.78</v>
      </c>
      <c r="F874" s="6">
        <v>68503</v>
      </c>
      <c r="G874" s="6">
        <v>68443.990000000005</v>
      </c>
      <c r="H874" s="6">
        <v>68501.7</v>
      </c>
      <c r="I874" s="5">
        <v>45438</v>
      </c>
      <c r="J874" s="7">
        <f t="shared" si="80"/>
        <v>4.0774731583386012E-4</v>
      </c>
      <c r="K874" s="5">
        <v>45438</v>
      </c>
      <c r="L874" s="8">
        <f t="shared" si="78"/>
        <v>-8.6142212749798931E-4</v>
      </c>
      <c r="M874" s="5">
        <v>45438</v>
      </c>
      <c r="N874" s="9">
        <f t="shared" si="79"/>
        <v>-4.5367481166412918E-4</v>
      </c>
      <c r="O874" s="5">
        <v>45438</v>
      </c>
      <c r="P874">
        <f t="shared" si="81"/>
        <v>1.0008431711827437</v>
      </c>
      <c r="Q874" s="6">
        <f t="shared" si="82"/>
        <v>1.000010000100001</v>
      </c>
      <c r="R874">
        <f t="shared" si="83"/>
        <v>8.3281586360940728E-4</v>
      </c>
      <c r="T874" s="5">
        <v>45438</v>
      </c>
      <c r="U874" s="1">
        <v>8.3281586360940728E-4</v>
      </c>
    </row>
    <row r="875" spans="3:21" x14ac:dyDescent="0.2">
      <c r="C875" s="5">
        <v>45439</v>
      </c>
      <c r="D875" s="6">
        <v>1</v>
      </c>
      <c r="E875" s="6">
        <v>69374.33</v>
      </c>
      <c r="F875" s="6">
        <v>69438</v>
      </c>
      <c r="G875" s="6">
        <v>69364.289999999994</v>
      </c>
      <c r="H875" s="6">
        <v>69432.899999999994</v>
      </c>
      <c r="I875" s="5">
        <v>45439</v>
      </c>
      <c r="J875" s="7">
        <f t="shared" si="80"/>
        <v>8.4426040583011658E-4</v>
      </c>
      <c r="K875" s="5">
        <v>45439</v>
      </c>
      <c r="L875" s="8">
        <f t="shared" si="78"/>
        <v>-1.0615225092889542E-3</v>
      </c>
      <c r="M875" s="5">
        <v>45439</v>
      </c>
      <c r="N875" s="9">
        <f t="shared" si="79"/>
        <v>-2.172621034588376E-4</v>
      </c>
      <c r="O875" s="5">
        <v>45439</v>
      </c>
      <c r="P875">
        <f t="shared" si="81"/>
        <v>1.0009891256725902</v>
      </c>
      <c r="Q875" s="6">
        <f t="shared" si="82"/>
        <v>1</v>
      </c>
      <c r="R875">
        <f t="shared" si="83"/>
        <v>9.8863681012986812E-4</v>
      </c>
      <c r="T875" s="5">
        <v>45439</v>
      </c>
      <c r="U875" s="1">
        <v>9.8863681012986812E-4</v>
      </c>
    </row>
    <row r="876" spans="3:21" x14ac:dyDescent="0.2">
      <c r="C876" s="5">
        <v>45440</v>
      </c>
      <c r="D876" s="6">
        <v>1.00003</v>
      </c>
      <c r="E876" s="6">
        <v>68330.64</v>
      </c>
      <c r="F876" s="6">
        <v>68385.5</v>
      </c>
      <c r="G876" s="6">
        <v>68325.149999999994</v>
      </c>
      <c r="H876" s="6">
        <v>68319.3</v>
      </c>
      <c r="I876" s="5">
        <v>45440</v>
      </c>
      <c r="J876" s="7">
        <f t="shared" si="80"/>
        <v>-1.6595776067656484E-4</v>
      </c>
      <c r="K876" s="5">
        <v>45440</v>
      </c>
      <c r="L876" s="8">
        <f t="shared" si="78"/>
        <v>-8.8249702056731065E-4</v>
      </c>
      <c r="M876" s="5">
        <v>45440</v>
      </c>
      <c r="N876" s="9">
        <f t="shared" si="79"/>
        <v>-1.0484547812438755E-3</v>
      </c>
      <c r="O876" s="5">
        <v>45440</v>
      </c>
      <c r="P876">
        <f t="shared" si="81"/>
        <v>0.99991437999038435</v>
      </c>
      <c r="Q876" s="6">
        <f t="shared" si="82"/>
        <v>0.99997000089997301</v>
      </c>
      <c r="R876">
        <f t="shared" si="83"/>
        <v>-5.5624125208866117E-5</v>
      </c>
      <c r="T876" s="5">
        <v>45440</v>
      </c>
      <c r="U876" s="1">
        <v>-5.5624125208866117E-5</v>
      </c>
    </row>
    <row r="877" spans="3:21" x14ac:dyDescent="0.2">
      <c r="C877" s="5">
        <v>45441</v>
      </c>
      <c r="D877" s="6">
        <v>0.99997999999999998</v>
      </c>
      <c r="E877" s="6">
        <v>67560.62</v>
      </c>
      <c r="F877" s="6">
        <v>67604</v>
      </c>
      <c r="G877" s="6">
        <v>67645.899999999994</v>
      </c>
      <c r="H877" s="6">
        <v>67614.600000000006</v>
      </c>
      <c r="I877" s="5">
        <v>45441</v>
      </c>
      <c r="J877" s="7">
        <f t="shared" si="80"/>
        <v>7.9898615495255199E-4</v>
      </c>
      <c r="K877" s="5">
        <v>45441</v>
      </c>
      <c r="L877" s="8">
        <f t="shared" si="78"/>
        <v>6.1978581149035828E-4</v>
      </c>
      <c r="M877" s="5">
        <v>45441</v>
      </c>
      <c r="N877" s="9">
        <f t="shared" si="79"/>
        <v>1.4187719664429102E-3</v>
      </c>
      <c r="O877" s="5">
        <v>45441</v>
      </c>
      <c r="P877">
        <f t="shared" si="81"/>
        <v>0.99953729642151279</v>
      </c>
      <c r="Q877" s="6">
        <f t="shared" si="82"/>
        <v>1.0000200004000079</v>
      </c>
      <c r="R877">
        <f t="shared" si="83"/>
        <v>-4.8281085882286289E-4</v>
      </c>
      <c r="T877" s="5">
        <v>45441</v>
      </c>
      <c r="U877" s="1">
        <v>-4.8281085882286289E-4</v>
      </c>
    </row>
    <row r="878" spans="3:21" x14ac:dyDescent="0.2">
      <c r="C878" s="5">
        <v>45442</v>
      </c>
      <c r="D878" s="6">
        <v>0.99997000000000003</v>
      </c>
      <c r="E878" s="6">
        <v>68338.92</v>
      </c>
      <c r="F878" s="6">
        <v>68375</v>
      </c>
      <c r="G878" s="6">
        <v>68385.279999999999</v>
      </c>
      <c r="H878" s="6">
        <v>68370.8</v>
      </c>
      <c r="I878" s="5">
        <v>45442</v>
      </c>
      <c r="J878" s="7">
        <f t="shared" si="80"/>
        <v>4.6649844627343626E-4</v>
      </c>
      <c r="K878" s="5">
        <v>45442</v>
      </c>
      <c r="L878" s="8">
        <f t="shared" si="78"/>
        <v>1.5034734917731388E-4</v>
      </c>
      <c r="M878" s="5">
        <v>45442</v>
      </c>
      <c r="N878" s="9">
        <f t="shared" si="79"/>
        <v>6.1684579545075017E-4</v>
      </c>
      <c r="O878" s="5">
        <v>45442</v>
      </c>
      <c r="P878">
        <f t="shared" si="81"/>
        <v>0.99978825852581144</v>
      </c>
      <c r="Q878" s="6">
        <f t="shared" si="82"/>
        <v>1.0000300009000269</v>
      </c>
      <c r="R878">
        <f t="shared" si="83"/>
        <v>-2.4176434458836506E-4</v>
      </c>
      <c r="T878" s="5">
        <v>45442</v>
      </c>
      <c r="U878" s="1">
        <v>-2.4176434458836506E-4</v>
      </c>
    </row>
    <row r="879" spans="3:21" x14ac:dyDescent="0.2">
      <c r="C879" s="5">
        <v>45443</v>
      </c>
      <c r="D879" s="6">
        <v>1.00003</v>
      </c>
      <c r="E879" s="6">
        <v>67475.899999999994</v>
      </c>
      <c r="F879" s="6">
        <v>67500</v>
      </c>
      <c r="G879" s="6">
        <v>67517.75</v>
      </c>
      <c r="H879" s="6">
        <v>67504.3</v>
      </c>
      <c r="I879" s="5">
        <v>45443</v>
      </c>
      <c r="J879" s="7">
        <f t="shared" si="80"/>
        <v>4.2089101442157473E-4</v>
      </c>
      <c r="K879" s="5">
        <v>45443</v>
      </c>
      <c r="L879" s="8">
        <f t="shared" si="78"/>
        <v>2.6296296296296294E-4</v>
      </c>
      <c r="M879" s="5">
        <v>45443</v>
      </c>
      <c r="N879" s="9">
        <f t="shared" si="79"/>
        <v>6.8385397738453767E-4</v>
      </c>
      <c r="O879" s="5">
        <v>45443</v>
      </c>
      <c r="P879">
        <f t="shared" si="81"/>
        <v>0.99980079312477088</v>
      </c>
      <c r="Q879" s="6">
        <f t="shared" si="82"/>
        <v>0.99997000089997301</v>
      </c>
      <c r="R879">
        <f t="shared" si="83"/>
        <v>-1.6922716954511448E-4</v>
      </c>
      <c r="T879" s="5">
        <v>45443</v>
      </c>
      <c r="U879" s="1">
        <v>-1.6922716954511448E-4</v>
      </c>
    </row>
    <row r="880" spans="3:21" x14ac:dyDescent="0.2">
      <c r="C880" s="5">
        <v>45444</v>
      </c>
      <c r="D880" s="6">
        <v>0.99997999999999998</v>
      </c>
      <c r="E880" s="6">
        <v>67715.649999999994</v>
      </c>
      <c r="F880" s="6">
        <v>67753.5</v>
      </c>
      <c r="G880" s="6">
        <v>67717.149999999994</v>
      </c>
      <c r="H880" s="6">
        <v>67731.199999999997</v>
      </c>
      <c r="I880" s="5">
        <v>45444</v>
      </c>
      <c r="J880" s="7">
        <f t="shared" si="80"/>
        <v>2.2963672356394587E-4</v>
      </c>
      <c r="K880" s="5">
        <v>45444</v>
      </c>
      <c r="L880" s="8">
        <f t="shared" si="78"/>
        <v>-5.3650364925805782E-4</v>
      </c>
      <c r="M880" s="5">
        <v>45444</v>
      </c>
      <c r="N880" s="9">
        <f t="shared" si="79"/>
        <v>-3.0686692569411195E-4</v>
      </c>
      <c r="O880" s="5">
        <v>45444</v>
      </c>
      <c r="P880">
        <f t="shared" si="81"/>
        <v>1.0002074806751318</v>
      </c>
      <c r="Q880" s="6">
        <f t="shared" si="82"/>
        <v>1.0000200004000079</v>
      </c>
      <c r="R880">
        <f t="shared" si="83"/>
        <v>1.8745895399063675E-4</v>
      </c>
      <c r="T880" s="5">
        <v>45444</v>
      </c>
      <c r="U880" s="1">
        <v>1.8745895399063675E-4</v>
      </c>
    </row>
    <row r="881" spans="3:21" x14ac:dyDescent="0.2">
      <c r="C881" s="5">
        <v>45445</v>
      </c>
      <c r="D881" s="6">
        <v>0.99999000000000005</v>
      </c>
      <c r="E881" s="6">
        <v>67731.28</v>
      </c>
      <c r="F881" s="6">
        <v>67758.5</v>
      </c>
      <c r="G881" s="6">
        <v>67791.69</v>
      </c>
      <c r="H881" s="6">
        <v>67756.2</v>
      </c>
      <c r="I881" s="5">
        <v>45445</v>
      </c>
      <c r="J881" s="7">
        <f t="shared" si="80"/>
        <v>3.6792453944467393E-4</v>
      </c>
      <c r="K881" s="5">
        <v>45445</v>
      </c>
      <c r="L881" s="8">
        <f t="shared" si="78"/>
        <v>4.8982784447711104E-4</v>
      </c>
      <c r="M881" s="5">
        <v>45445</v>
      </c>
      <c r="N881" s="9">
        <f t="shared" si="79"/>
        <v>8.5775238392178503E-4</v>
      </c>
      <c r="O881" s="5">
        <v>45445</v>
      </c>
      <c r="P881">
        <f t="shared" si="81"/>
        <v>0.99947648450717175</v>
      </c>
      <c r="Q881" s="6">
        <f t="shared" si="82"/>
        <v>1.000010000100001</v>
      </c>
      <c r="R881">
        <f t="shared" si="83"/>
        <v>-5.3365262490925793E-4</v>
      </c>
      <c r="T881" s="5">
        <v>45445</v>
      </c>
      <c r="U881" s="1">
        <v>-5.3365262490925793E-4</v>
      </c>
    </row>
    <row r="882" spans="3:21" x14ac:dyDescent="0.2">
      <c r="C882" s="5">
        <v>45446</v>
      </c>
      <c r="D882" s="6">
        <v>1</v>
      </c>
      <c r="E882" s="6">
        <v>68796.77</v>
      </c>
      <c r="F882" s="6">
        <v>68840.5</v>
      </c>
      <c r="G882" s="6">
        <v>68845.259999999995</v>
      </c>
      <c r="H882" s="6">
        <v>68824.899999999994</v>
      </c>
      <c r="I882" s="5">
        <v>45446</v>
      </c>
      <c r="J882" s="7">
        <f t="shared" si="80"/>
        <v>4.0888547529179209E-4</v>
      </c>
      <c r="K882" s="5">
        <v>45446</v>
      </c>
      <c r="L882" s="8">
        <f t="shared" si="78"/>
        <v>6.9145343220847633E-5</v>
      </c>
      <c r="M882" s="5">
        <v>45446</v>
      </c>
      <c r="N882" s="9">
        <f t="shared" si="79"/>
        <v>4.7803081851263972E-4</v>
      </c>
      <c r="O882" s="5">
        <v>45446</v>
      </c>
      <c r="P882">
        <f t="shared" si="81"/>
        <v>0.99970426431681714</v>
      </c>
      <c r="Q882" s="6">
        <f t="shared" si="82"/>
        <v>1</v>
      </c>
      <c r="R882">
        <f t="shared" si="83"/>
        <v>-2.9577942160357034E-4</v>
      </c>
      <c r="T882" s="5">
        <v>45446</v>
      </c>
      <c r="U882" s="1">
        <v>-2.9577942160357034E-4</v>
      </c>
    </row>
    <row r="883" spans="3:21" x14ac:dyDescent="0.2">
      <c r="C883" s="5">
        <v>45447</v>
      </c>
      <c r="D883" s="6">
        <v>0.99995000000000001</v>
      </c>
      <c r="E883" s="6">
        <v>70532.13</v>
      </c>
      <c r="F883" s="6">
        <v>70587.5</v>
      </c>
      <c r="G883" s="6">
        <v>70453.5</v>
      </c>
      <c r="H883" s="6">
        <v>70559.8</v>
      </c>
      <c r="I883" s="5">
        <v>45447</v>
      </c>
      <c r="J883" s="7">
        <f t="shared" si="80"/>
        <v>3.9230347927956025E-4</v>
      </c>
      <c r="K883" s="5">
        <v>45447</v>
      </c>
      <c r="L883" s="8">
        <f t="shared" si="78"/>
        <v>-1.8983531078448734E-3</v>
      </c>
      <c r="M883" s="5">
        <v>45447</v>
      </c>
      <c r="N883" s="9">
        <f t="shared" si="79"/>
        <v>-1.5060496285653133E-3</v>
      </c>
      <c r="O883" s="5">
        <v>45447</v>
      </c>
      <c r="P883">
        <f t="shared" si="81"/>
        <v>1.0015087965821428</v>
      </c>
      <c r="Q883" s="6">
        <f t="shared" si="82"/>
        <v>1.0000500025001251</v>
      </c>
      <c r="R883">
        <f t="shared" si="83"/>
        <v>1.4576582421524902E-3</v>
      </c>
      <c r="T883" s="5">
        <v>45447</v>
      </c>
      <c r="U883" s="1">
        <v>1.4576582421524902E-3</v>
      </c>
    </row>
    <row r="884" spans="3:21" x14ac:dyDescent="0.2">
      <c r="C884" s="5">
        <v>45448</v>
      </c>
      <c r="D884" s="6">
        <v>0.99999000000000005</v>
      </c>
      <c r="E884" s="6">
        <v>71112.38</v>
      </c>
      <c r="F884" s="6">
        <v>71142</v>
      </c>
      <c r="G884" s="6">
        <v>70978.3</v>
      </c>
      <c r="H884" s="6">
        <v>71106.5</v>
      </c>
      <c r="I884" s="5">
        <v>45448</v>
      </c>
      <c r="J884" s="7">
        <f t="shared" si="80"/>
        <v>-8.2686024571314534E-5</v>
      </c>
      <c r="K884" s="5">
        <v>45448</v>
      </c>
      <c r="L884" s="8">
        <f t="shared" si="78"/>
        <v>-2.3010317393381842E-3</v>
      </c>
      <c r="M884" s="5">
        <v>45448</v>
      </c>
      <c r="N884" s="9">
        <f t="shared" si="79"/>
        <v>-2.3837177639094986E-3</v>
      </c>
      <c r="O884" s="5">
        <v>45448</v>
      </c>
      <c r="P884">
        <f t="shared" si="81"/>
        <v>1.001806185834262</v>
      </c>
      <c r="Q884" s="6">
        <f t="shared" si="82"/>
        <v>1.000010000100001</v>
      </c>
      <c r="R884">
        <f t="shared" si="83"/>
        <v>1.7945565920819558E-3</v>
      </c>
      <c r="T884" s="5">
        <v>45448</v>
      </c>
      <c r="U884" s="1">
        <v>1.7945565920819558E-3</v>
      </c>
    </row>
    <row r="885" spans="3:21" x14ac:dyDescent="0.2">
      <c r="C885" s="5">
        <v>45449</v>
      </c>
      <c r="D885" s="6">
        <v>0.99999000000000005</v>
      </c>
      <c r="E885" s="6">
        <v>70764.14</v>
      </c>
      <c r="F885" s="6">
        <v>70818</v>
      </c>
      <c r="G885" s="6">
        <v>70822.52</v>
      </c>
      <c r="H885" s="6">
        <v>70765.2</v>
      </c>
      <c r="I885" s="5">
        <v>45449</v>
      </c>
      <c r="J885" s="7">
        <f t="shared" si="80"/>
        <v>1.4979338404984102E-5</v>
      </c>
      <c r="K885" s="5">
        <v>45449</v>
      </c>
      <c r="L885" s="8">
        <f t="shared" si="78"/>
        <v>6.3825581067017913E-5</v>
      </c>
      <c r="M885" s="5">
        <v>45449</v>
      </c>
      <c r="N885" s="9">
        <f t="shared" si="79"/>
        <v>7.8804919472002009E-5</v>
      </c>
      <c r="O885" s="5">
        <v>45449</v>
      </c>
      <c r="P885">
        <f t="shared" si="81"/>
        <v>0.99919065291661457</v>
      </c>
      <c r="Q885" s="6">
        <f t="shared" si="82"/>
        <v>1.000010000100001</v>
      </c>
      <c r="R885">
        <f t="shared" si="83"/>
        <v>-8.1967483156276336E-4</v>
      </c>
      <c r="T885" s="5">
        <v>45449</v>
      </c>
      <c r="U885" s="1">
        <v>-8.1967483156276336E-4</v>
      </c>
    </row>
    <row r="886" spans="3:21" x14ac:dyDescent="0.2">
      <c r="C886" s="5">
        <v>45450</v>
      </c>
      <c r="D886" s="6">
        <v>1.0000100000000001</v>
      </c>
      <c r="E886" s="6">
        <v>69320.67</v>
      </c>
      <c r="F886" s="6">
        <v>69346</v>
      </c>
      <c r="G886" s="6">
        <v>69429.97</v>
      </c>
      <c r="H886" s="6">
        <v>69350.600000000006</v>
      </c>
      <c r="I886" s="5">
        <v>45450</v>
      </c>
      <c r="J886" s="7">
        <f t="shared" si="80"/>
        <v>4.3176155106417131E-4</v>
      </c>
      <c r="K886" s="5">
        <v>45450</v>
      </c>
      <c r="L886" s="8">
        <f t="shared" si="78"/>
        <v>1.2108845499380089E-3</v>
      </c>
      <c r="M886" s="5">
        <v>45450</v>
      </c>
      <c r="N886" s="9">
        <f t="shared" si="79"/>
        <v>1.6426461010021804E-3</v>
      </c>
      <c r="O886" s="5">
        <v>45450</v>
      </c>
      <c r="P886">
        <f t="shared" si="81"/>
        <v>0.99885683372756762</v>
      </c>
      <c r="Q886" s="6">
        <f t="shared" si="82"/>
        <v>0.99999000009999894</v>
      </c>
      <c r="R886">
        <f t="shared" si="83"/>
        <v>-1.1338202353968695E-3</v>
      </c>
      <c r="T886" s="5">
        <v>45450</v>
      </c>
      <c r="U886" s="1">
        <v>-1.1338202353968695E-3</v>
      </c>
    </row>
    <row r="887" spans="3:21" x14ac:dyDescent="0.2">
      <c r="C887" s="5">
        <v>45451</v>
      </c>
      <c r="D887" s="6">
        <v>0.99995000000000001</v>
      </c>
      <c r="E887" s="6">
        <v>69294.899999999994</v>
      </c>
      <c r="F887" s="6">
        <v>69340</v>
      </c>
      <c r="G887" s="6">
        <v>69388.73</v>
      </c>
      <c r="H887" s="6">
        <v>69309.5</v>
      </c>
      <c r="I887" s="5">
        <v>45451</v>
      </c>
      <c r="J887" s="7">
        <f t="shared" si="80"/>
        <v>2.1069371627646221E-4</v>
      </c>
      <c r="K887" s="5">
        <v>45451</v>
      </c>
      <c r="L887" s="8">
        <f t="shared" si="78"/>
        <v>7.0276896452258332E-4</v>
      </c>
      <c r="M887" s="5">
        <v>45451</v>
      </c>
      <c r="N887" s="9">
        <f t="shared" si="79"/>
        <v>9.1346268079904548E-4</v>
      </c>
      <c r="O887" s="5">
        <v>45451</v>
      </c>
      <c r="P887">
        <f t="shared" si="81"/>
        <v>0.99885817192503745</v>
      </c>
      <c r="Q887" s="6">
        <f t="shared" si="82"/>
        <v>1.0000500025001251</v>
      </c>
      <c r="R887">
        <f t="shared" si="83"/>
        <v>-1.1924817073336617E-3</v>
      </c>
      <c r="T887" s="5">
        <v>45451</v>
      </c>
      <c r="U887" s="1">
        <v>-1.1924817073336617E-3</v>
      </c>
    </row>
    <row r="888" spans="3:21" x14ac:dyDescent="0.2">
      <c r="C888" s="5">
        <v>45452</v>
      </c>
      <c r="D888" s="6">
        <v>0.99999000000000005</v>
      </c>
      <c r="E888" s="6">
        <v>69643.960000000006</v>
      </c>
      <c r="F888" s="6">
        <v>69681.5</v>
      </c>
      <c r="G888" s="6">
        <v>69680.649999999994</v>
      </c>
      <c r="H888" s="6">
        <v>69637.5</v>
      </c>
      <c r="I888" s="5">
        <v>45452</v>
      </c>
      <c r="J888" s="7">
        <f t="shared" si="80"/>
        <v>-9.27575054607234E-5</v>
      </c>
      <c r="K888" s="5">
        <v>45452</v>
      </c>
      <c r="L888" s="8">
        <f t="shared" si="78"/>
        <v>-1.2198359679481939E-5</v>
      </c>
      <c r="M888" s="5">
        <v>45452</v>
      </c>
      <c r="N888" s="9">
        <f t="shared" si="79"/>
        <v>-1.0495586514020534E-4</v>
      </c>
      <c r="O888" s="5">
        <v>45452</v>
      </c>
      <c r="P888">
        <f t="shared" si="81"/>
        <v>0.99938074630474905</v>
      </c>
      <c r="Q888" s="6">
        <f t="shared" si="82"/>
        <v>1.000010000100001</v>
      </c>
      <c r="R888">
        <f t="shared" si="83"/>
        <v>-6.2944556201372166E-4</v>
      </c>
      <c r="T888" s="5">
        <v>45452</v>
      </c>
      <c r="U888" s="1">
        <v>-6.2944556201372166E-4</v>
      </c>
    </row>
    <row r="889" spans="3:21" x14ac:dyDescent="0.2">
      <c r="C889" s="5">
        <v>45453</v>
      </c>
      <c r="D889" s="6">
        <v>1</v>
      </c>
      <c r="E889" s="6">
        <v>69492.679999999993</v>
      </c>
      <c r="F889" s="6">
        <v>69528.5</v>
      </c>
      <c r="G889" s="6">
        <v>69570.039999999994</v>
      </c>
      <c r="H889" s="6">
        <v>69494.399999999994</v>
      </c>
      <c r="I889" s="5">
        <v>45453</v>
      </c>
      <c r="J889" s="7">
        <f t="shared" si="80"/>
        <v>2.4750808286587369E-5</v>
      </c>
      <c r="K889" s="5">
        <v>45453</v>
      </c>
      <c r="L889" s="8">
        <f t="shared" si="78"/>
        <v>5.9745284307864536E-4</v>
      </c>
      <c r="M889" s="5">
        <v>45453</v>
      </c>
      <c r="N889" s="9">
        <f t="shared" si="79"/>
        <v>6.2220365136523269E-4</v>
      </c>
      <c r="O889" s="5">
        <v>45453</v>
      </c>
      <c r="P889">
        <f t="shared" si="81"/>
        <v>0.99891275037358029</v>
      </c>
      <c r="Q889" s="6">
        <f t="shared" si="82"/>
        <v>1</v>
      </c>
      <c r="R889">
        <f t="shared" si="83"/>
        <v>-1.0878411110612852E-3</v>
      </c>
      <c r="T889" s="5">
        <v>45453</v>
      </c>
      <c r="U889" s="1">
        <v>-1.0878411110612852E-3</v>
      </c>
    </row>
    <row r="890" spans="3:21" x14ac:dyDescent="0.2">
      <c r="C890" s="5">
        <v>45454</v>
      </c>
      <c r="D890" s="6">
        <v>0.99995999999999996</v>
      </c>
      <c r="E890" s="6">
        <v>67313.48</v>
      </c>
      <c r="F890" s="6">
        <v>67343.5</v>
      </c>
      <c r="G890" s="6">
        <v>67376.38</v>
      </c>
      <c r="H890" s="6">
        <v>67279.899999999994</v>
      </c>
      <c r="I890" s="5">
        <v>45454</v>
      </c>
      <c r="J890" s="7">
        <f t="shared" si="80"/>
        <v>-4.9885996088750351E-4</v>
      </c>
      <c r="K890" s="5">
        <v>45454</v>
      </c>
      <c r="L890" s="8">
        <f t="shared" si="78"/>
        <v>4.8824311180744478E-4</v>
      </c>
      <c r="M890" s="5">
        <v>45454</v>
      </c>
      <c r="N890" s="9">
        <f t="shared" si="79"/>
        <v>-1.0616849080058726E-5</v>
      </c>
      <c r="O890" s="5">
        <v>45454</v>
      </c>
      <c r="P890">
        <f t="shared" si="81"/>
        <v>0.99856804417215628</v>
      </c>
      <c r="Q890" s="6">
        <f t="shared" si="82"/>
        <v>1.0000400016000641</v>
      </c>
      <c r="R890">
        <f t="shared" si="83"/>
        <v>-1.4729828564045652E-3</v>
      </c>
      <c r="T890" s="5">
        <v>45454</v>
      </c>
      <c r="U890" s="1">
        <v>-1.4729828564045652E-3</v>
      </c>
    </row>
    <row r="891" spans="3:21" x14ac:dyDescent="0.2">
      <c r="C891" s="5">
        <v>45455</v>
      </c>
      <c r="D891" s="6">
        <v>0.99994000000000005</v>
      </c>
      <c r="E891" s="6">
        <v>68241.75</v>
      </c>
      <c r="F891" s="6">
        <v>68252</v>
      </c>
      <c r="G891" s="6">
        <v>68295.27</v>
      </c>
      <c r="H891" s="6">
        <v>68197.899999999994</v>
      </c>
      <c r="I891" s="5">
        <v>45455</v>
      </c>
      <c r="J891" s="7">
        <f t="shared" si="80"/>
        <v>-6.4256851560819909E-4</v>
      </c>
      <c r="K891" s="5">
        <v>45455</v>
      </c>
      <c r="L891" s="8">
        <f t="shared" si="78"/>
        <v>6.3397409599724654E-4</v>
      </c>
      <c r="M891" s="5">
        <v>45455</v>
      </c>
      <c r="N891" s="9">
        <f t="shared" si="79"/>
        <v>-8.5944196109525445E-6</v>
      </c>
      <c r="O891" s="5">
        <v>45455</v>
      </c>
      <c r="P891">
        <f t="shared" si="81"/>
        <v>0.99857427900936613</v>
      </c>
      <c r="Q891" s="6">
        <f t="shared" si="82"/>
        <v>1.0000600036002159</v>
      </c>
      <c r="R891">
        <f t="shared" si="83"/>
        <v>-1.4867400979230463E-3</v>
      </c>
      <c r="T891" s="5">
        <v>45455</v>
      </c>
      <c r="U891" s="1">
        <v>-1.4867400979230463E-3</v>
      </c>
    </row>
    <row r="892" spans="3:21" x14ac:dyDescent="0.2">
      <c r="C892" s="5">
        <v>45456</v>
      </c>
      <c r="D892" s="6">
        <v>0.99995000000000001</v>
      </c>
      <c r="E892" s="6">
        <v>66743.759999999995</v>
      </c>
      <c r="F892" s="6">
        <v>66768</v>
      </c>
      <c r="G892" s="6">
        <v>66783.009999999995</v>
      </c>
      <c r="H892" s="6">
        <v>66717</v>
      </c>
      <c r="I892" s="5">
        <v>45456</v>
      </c>
      <c r="J892" s="7">
        <f t="shared" si="80"/>
        <v>-4.0093635719645949E-4</v>
      </c>
      <c r="K892" s="5">
        <v>45456</v>
      </c>
      <c r="L892" s="8">
        <f t="shared" si="78"/>
        <v>2.2480829139699798E-4</v>
      </c>
      <c r="M892" s="5">
        <v>45456</v>
      </c>
      <c r="N892" s="9">
        <f t="shared" si="79"/>
        <v>-1.7612806579946151E-4</v>
      </c>
      <c r="O892" s="5">
        <v>45456</v>
      </c>
      <c r="P892">
        <f t="shared" si="81"/>
        <v>0.99901157494997617</v>
      </c>
      <c r="Q892" s="6">
        <f t="shared" si="82"/>
        <v>1.0000500025001251</v>
      </c>
      <c r="R892">
        <f t="shared" si="83"/>
        <v>-1.0389151142359901E-3</v>
      </c>
      <c r="T892" s="5">
        <v>45456</v>
      </c>
      <c r="U892" s="1">
        <v>-1.0389151142359901E-3</v>
      </c>
    </row>
    <row r="893" spans="3:21" x14ac:dyDescent="0.2">
      <c r="C893" s="5">
        <v>45457</v>
      </c>
      <c r="D893" s="6">
        <v>0.99997000000000003</v>
      </c>
      <c r="E893" s="6">
        <v>66002.039999999994</v>
      </c>
      <c r="F893" s="6">
        <v>66000.5</v>
      </c>
      <c r="G893" s="6">
        <v>66109.19</v>
      </c>
      <c r="H893" s="6">
        <v>65967.5</v>
      </c>
      <c r="I893" s="5">
        <v>45457</v>
      </c>
      <c r="J893" s="7">
        <f t="shared" si="80"/>
        <v>-5.2331715807562315E-4</v>
      </c>
      <c r="K893" s="5">
        <v>45457</v>
      </c>
      <c r="L893" s="8">
        <f t="shared" si="78"/>
        <v>1.6468057060174139E-3</v>
      </c>
      <c r="M893" s="5">
        <v>45457</v>
      </c>
      <c r="N893" s="9">
        <f t="shared" si="79"/>
        <v>1.1234885479417906E-3</v>
      </c>
      <c r="O893" s="5">
        <v>45457</v>
      </c>
      <c r="P893">
        <f t="shared" si="81"/>
        <v>0.997856727634993</v>
      </c>
      <c r="Q893" s="6">
        <f t="shared" si="82"/>
        <v>1.0000300009000269</v>
      </c>
      <c r="R893">
        <f t="shared" si="83"/>
        <v>-2.1755729103059879E-3</v>
      </c>
      <c r="T893" s="5">
        <v>45457</v>
      </c>
      <c r="U893" s="1">
        <v>-2.1755729103059879E-3</v>
      </c>
    </row>
    <row r="894" spans="3:21" x14ac:dyDescent="0.2">
      <c r="C894" s="5">
        <v>45458</v>
      </c>
      <c r="D894" s="6">
        <v>1</v>
      </c>
      <c r="E894" s="6">
        <v>66180.990000000005</v>
      </c>
      <c r="F894" s="6">
        <v>66162</v>
      </c>
      <c r="G894" s="6">
        <v>66244.12</v>
      </c>
      <c r="H894" s="6">
        <v>66144.399999999994</v>
      </c>
      <c r="I894" s="5">
        <v>45458</v>
      </c>
      <c r="J894" s="7">
        <f t="shared" si="80"/>
        <v>-5.528777976879925E-4</v>
      </c>
      <c r="K894" s="5">
        <v>45458</v>
      </c>
      <c r="L894" s="8">
        <f t="shared" si="78"/>
        <v>1.2411958526041436E-3</v>
      </c>
      <c r="M894" s="5">
        <v>45458</v>
      </c>
      <c r="N894" s="9">
        <f t="shared" si="79"/>
        <v>6.883180549161511E-4</v>
      </c>
      <c r="O894" s="5">
        <v>45458</v>
      </c>
      <c r="P894">
        <f t="shared" si="81"/>
        <v>0.99849465884670208</v>
      </c>
      <c r="Q894" s="6">
        <f t="shared" si="82"/>
        <v>1</v>
      </c>
      <c r="R894">
        <f t="shared" si="83"/>
        <v>-1.5064753176375629E-3</v>
      </c>
      <c r="T894" s="5">
        <v>45458</v>
      </c>
      <c r="U894" s="1">
        <v>-1.5064753176375629E-3</v>
      </c>
    </row>
    <row r="895" spans="3:21" x14ac:dyDescent="0.2">
      <c r="C895" s="5">
        <v>45459</v>
      </c>
      <c r="D895" s="6">
        <v>1</v>
      </c>
      <c r="E895" s="6">
        <v>66626.83</v>
      </c>
      <c r="F895" s="6">
        <v>66611</v>
      </c>
      <c r="G895" s="6">
        <v>66614.34</v>
      </c>
      <c r="H895" s="6">
        <v>66600.399999999994</v>
      </c>
      <c r="I895" s="5">
        <v>45459</v>
      </c>
      <c r="J895" s="7">
        <f t="shared" si="80"/>
        <v>-3.966870403410693E-4</v>
      </c>
      <c r="K895" s="5">
        <v>45459</v>
      </c>
      <c r="L895" s="8">
        <f t="shared" si="78"/>
        <v>5.0141868460111808E-5</v>
      </c>
      <c r="M895" s="5">
        <v>45459</v>
      </c>
      <c r="N895" s="9">
        <f t="shared" si="79"/>
        <v>-3.4654517188095752E-4</v>
      </c>
      <c r="O895" s="5">
        <v>45459</v>
      </c>
      <c r="P895">
        <f t="shared" si="81"/>
        <v>0.99979073574848898</v>
      </c>
      <c r="Q895" s="6">
        <f t="shared" si="82"/>
        <v>1</v>
      </c>
      <c r="R895">
        <f t="shared" si="83"/>
        <v>-2.0928615032964778E-4</v>
      </c>
      <c r="T895" s="5">
        <v>45459</v>
      </c>
      <c r="U895" s="1">
        <v>-2.0928615032964778E-4</v>
      </c>
    </row>
    <row r="896" spans="3:21" x14ac:dyDescent="0.2">
      <c r="C896" s="5">
        <v>45460</v>
      </c>
      <c r="D896" s="6">
        <v>1.0000100000000001</v>
      </c>
      <c r="E896" s="6">
        <v>66470.960000000006</v>
      </c>
      <c r="F896" s="6">
        <v>66478</v>
      </c>
      <c r="G896" s="6">
        <v>66542.58</v>
      </c>
      <c r="H896" s="6">
        <v>66423.3</v>
      </c>
      <c r="I896" s="5">
        <v>45460</v>
      </c>
      <c r="J896" s="7">
        <f t="shared" si="80"/>
        <v>-7.1700483940661435E-4</v>
      </c>
      <c r="K896" s="5">
        <v>45460</v>
      </c>
      <c r="L896" s="8">
        <f t="shared" si="78"/>
        <v>9.7144920123953403E-4</v>
      </c>
      <c r="M896" s="5">
        <v>45460</v>
      </c>
      <c r="N896" s="9">
        <f t="shared" si="79"/>
        <v>2.5444436183291968E-4</v>
      </c>
      <c r="O896" s="5">
        <v>45460</v>
      </c>
      <c r="P896">
        <f t="shared" si="81"/>
        <v>0.99820746355190926</v>
      </c>
      <c r="Q896" s="6">
        <f t="shared" si="82"/>
        <v>0.99999000009999894</v>
      </c>
      <c r="R896">
        <f t="shared" si="83"/>
        <v>-1.7841450140523266E-3</v>
      </c>
      <c r="T896" s="5">
        <v>45460</v>
      </c>
      <c r="U896" s="1">
        <v>-1.7841450140523266E-3</v>
      </c>
    </row>
    <row r="897" spans="3:21" x14ac:dyDescent="0.2">
      <c r="C897" s="5">
        <v>45461</v>
      </c>
      <c r="D897" s="6">
        <v>0.99995999999999996</v>
      </c>
      <c r="E897" s="6">
        <v>65142.01</v>
      </c>
      <c r="F897" s="6">
        <v>65108</v>
      </c>
      <c r="G897" s="6">
        <v>65198.93</v>
      </c>
      <c r="H897" s="6">
        <v>65115.9</v>
      </c>
      <c r="I897" s="5">
        <v>45461</v>
      </c>
      <c r="J897" s="7">
        <f t="shared" si="80"/>
        <v>-4.0081661588275492E-4</v>
      </c>
      <c r="K897" s="5">
        <v>45461</v>
      </c>
      <c r="L897" s="8">
        <f t="shared" si="78"/>
        <v>1.3966025680407983E-3</v>
      </c>
      <c r="M897" s="5">
        <v>45461</v>
      </c>
      <c r="N897" s="9">
        <f t="shared" si="79"/>
        <v>9.9578595215804328E-4</v>
      </c>
      <c r="O897" s="5">
        <v>45461</v>
      </c>
      <c r="P897">
        <f t="shared" si="81"/>
        <v>0.9987265128430789</v>
      </c>
      <c r="Q897" s="6">
        <f t="shared" si="82"/>
        <v>1.0000400016000641</v>
      </c>
      <c r="R897">
        <f t="shared" si="83"/>
        <v>-1.3142995308044237E-3</v>
      </c>
      <c r="T897" s="5">
        <v>45461</v>
      </c>
      <c r="U897" s="1">
        <v>-1.3142995308044237E-3</v>
      </c>
    </row>
    <row r="898" spans="3:21" x14ac:dyDescent="0.2">
      <c r="C898" s="5">
        <v>45462</v>
      </c>
      <c r="D898" s="6">
        <v>0.99999000000000005</v>
      </c>
      <c r="E898" s="6">
        <v>64943.56</v>
      </c>
      <c r="F898" s="6">
        <v>64951.5</v>
      </c>
      <c r="G898" s="6">
        <v>65019.67</v>
      </c>
      <c r="H898" s="6">
        <v>64920.4</v>
      </c>
      <c r="I898" s="5">
        <v>45462</v>
      </c>
      <c r="J898" s="7">
        <f t="shared" si="80"/>
        <v>-3.5661734589228274E-4</v>
      </c>
      <c r="K898" s="5">
        <v>45462</v>
      </c>
      <c r="L898" s="8">
        <f t="shared" si="78"/>
        <v>1.0495523582980879E-3</v>
      </c>
      <c r="M898" s="5">
        <v>45462</v>
      </c>
      <c r="N898" s="9">
        <f t="shared" si="79"/>
        <v>6.9293501240580511E-4</v>
      </c>
      <c r="O898" s="5">
        <v>45462</v>
      </c>
      <c r="P898">
        <f t="shared" si="81"/>
        <v>0.9984732312544804</v>
      </c>
      <c r="Q898" s="6">
        <f t="shared" si="82"/>
        <v>1.000010000100001</v>
      </c>
      <c r="R898">
        <f t="shared" si="83"/>
        <v>-1.5379354945920434E-3</v>
      </c>
      <c r="T898" s="5">
        <v>45462</v>
      </c>
      <c r="U898" s="1">
        <v>-1.5379354945920434E-3</v>
      </c>
    </row>
    <row r="899" spans="3:21" x14ac:dyDescent="0.2">
      <c r="C899" s="5">
        <v>45463</v>
      </c>
      <c r="D899" s="6">
        <v>0.99994000000000005</v>
      </c>
      <c r="E899" s="6">
        <v>64831.95</v>
      </c>
      <c r="F899" s="6">
        <v>64858</v>
      </c>
      <c r="G899" s="6">
        <v>64861.46</v>
      </c>
      <c r="H899" s="6">
        <v>64808.6</v>
      </c>
      <c r="I899" s="5">
        <v>45463</v>
      </c>
      <c r="J899" s="7">
        <f t="shared" si="80"/>
        <v>-3.6016192633413842E-4</v>
      </c>
      <c r="K899" s="5">
        <v>45463</v>
      </c>
      <c r="L899" s="8">
        <f t="shared" si="78"/>
        <v>5.3347312590569039E-5</v>
      </c>
      <c r="M899" s="5">
        <v>45463</v>
      </c>
      <c r="N899" s="9">
        <f t="shared" si="79"/>
        <v>-3.068146137435694E-4</v>
      </c>
      <c r="O899" s="5">
        <v>45463</v>
      </c>
      <c r="P899">
        <f t="shared" si="81"/>
        <v>0.99918503222098298</v>
      </c>
      <c r="Q899" s="6">
        <f t="shared" si="82"/>
        <v>1.0000600036002159</v>
      </c>
      <c r="R899">
        <f t="shared" si="83"/>
        <v>-8.7530184586605438E-4</v>
      </c>
      <c r="T899" s="5">
        <v>45463</v>
      </c>
      <c r="U899" s="1">
        <v>-8.7530184586605438E-4</v>
      </c>
    </row>
    <row r="900" spans="3:21" x14ac:dyDescent="0.2">
      <c r="C900" s="5">
        <v>45464</v>
      </c>
      <c r="D900" s="6">
        <v>1</v>
      </c>
      <c r="E900" s="6">
        <v>64111.76</v>
      </c>
      <c r="F900" s="6">
        <v>64122</v>
      </c>
      <c r="G900" s="6">
        <v>64162.89</v>
      </c>
      <c r="H900" s="6">
        <v>64045.7</v>
      </c>
      <c r="I900" s="5">
        <v>45464</v>
      </c>
      <c r="J900" s="7">
        <f t="shared" si="80"/>
        <v>-1.0303881846326626E-3</v>
      </c>
      <c r="K900" s="5">
        <v>45464</v>
      </c>
      <c r="L900" s="8">
        <f t="shared" si="78"/>
        <v>6.3769065219424566E-4</v>
      </c>
      <c r="M900" s="5">
        <v>45464</v>
      </c>
      <c r="N900" s="9">
        <f t="shared" si="79"/>
        <v>-3.9269753243841693E-4</v>
      </c>
      <c r="O900" s="5">
        <v>45464</v>
      </c>
      <c r="P900">
        <f t="shared" si="81"/>
        <v>0.9981735548383186</v>
      </c>
      <c r="Q900" s="6">
        <f t="shared" si="82"/>
        <v>1</v>
      </c>
      <c r="R900">
        <f t="shared" si="83"/>
        <v>-1.8281151463791592E-3</v>
      </c>
      <c r="T900" s="5">
        <v>45464</v>
      </c>
      <c r="U900" s="1">
        <v>-1.8281151463791592E-3</v>
      </c>
    </row>
    <row r="901" spans="3:21" x14ac:dyDescent="0.2">
      <c r="C901" s="5">
        <v>45465</v>
      </c>
      <c r="D901" s="6">
        <v>0.99999000000000005</v>
      </c>
      <c r="E901" s="6">
        <v>64235.88</v>
      </c>
      <c r="F901" s="6">
        <v>64255.5</v>
      </c>
      <c r="G901" s="6">
        <v>64252.95</v>
      </c>
      <c r="H901" s="6">
        <v>64221.1</v>
      </c>
      <c r="I901" s="5">
        <v>45465</v>
      </c>
      <c r="J901" s="7">
        <f t="shared" si="80"/>
        <v>-2.3008947647325508E-4</v>
      </c>
      <c r="K901" s="5">
        <v>45465</v>
      </c>
      <c r="L901" s="8">
        <f t="shared" si="78"/>
        <v>-3.968531876653221E-5</v>
      </c>
      <c r="M901" s="5">
        <v>45465</v>
      </c>
      <c r="N901" s="9">
        <f t="shared" si="79"/>
        <v>-2.6977479523978729E-4</v>
      </c>
      <c r="O901" s="5">
        <v>45465</v>
      </c>
      <c r="P901">
        <f t="shared" si="81"/>
        <v>0.9995043029152747</v>
      </c>
      <c r="Q901" s="6">
        <f t="shared" si="82"/>
        <v>1.000010000100001</v>
      </c>
      <c r="R901">
        <f t="shared" si="83"/>
        <v>-5.0582003314077217E-4</v>
      </c>
      <c r="T901" s="5">
        <v>45465</v>
      </c>
      <c r="U901" s="1">
        <v>-5.0582003314077217E-4</v>
      </c>
    </row>
    <row r="902" spans="3:21" x14ac:dyDescent="0.2">
      <c r="C902" s="5">
        <v>45466</v>
      </c>
      <c r="D902" s="6">
        <v>0.99999000000000005</v>
      </c>
      <c r="E902" s="6">
        <v>63175.86</v>
      </c>
      <c r="F902" s="6">
        <v>63146</v>
      </c>
      <c r="G902" s="6">
        <v>63160.84</v>
      </c>
      <c r="H902" s="6">
        <v>63106.5</v>
      </c>
      <c r="I902" s="5">
        <v>45466</v>
      </c>
      <c r="J902" s="7">
        <f t="shared" si="80"/>
        <v>-1.0978877058420823E-3</v>
      </c>
      <c r="K902" s="5">
        <v>45466</v>
      </c>
      <c r="L902" s="8">
        <f t="shared" si="78"/>
        <v>2.3501092705787392E-4</v>
      </c>
      <c r="M902" s="5">
        <v>45466</v>
      </c>
      <c r="N902" s="9">
        <f t="shared" si="79"/>
        <v>-8.628767787842084E-4</v>
      </c>
      <c r="O902" s="5">
        <v>45466</v>
      </c>
      <c r="P902">
        <f t="shared" si="81"/>
        <v>0.99913965678733863</v>
      </c>
      <c r="Q902" s="6">
        <f t="shared" si="82"/>
        <v>1.000010000100001</v>
      </c>
      <c r="R902">
        <f t="shared" si="83"/>
        <v>-8.7071357029316985E-4</v>
      </c>
      <c r="T902" s="5">
        <v>45466</v>
      </c>
      <c r="U902" s="1">
        <v>-8.7071357029316985E-4</v>
      </c>
    </row>
    <row r="903" spans="3:21" x14ac:dyDescent="0.2">
      <c r="C903" s="5">
        <v>45467</v>
      </c>
      <c r="D903" s="6">
        <v>1</v>
      </c>
      <c r="E903" s="6">
        <v>60265.04</v>
      </c>
      <c r="F903" s="6">
        <v>60234</v>
      </c>
      <c r="G903" s="6">
        <v>60330.26</v>
      </c>
      <c r="H903" s="6">
        <v>60236.7</v>
      </c>
      <c r="I903" s="5">
        <v>45467</v>
      </c>
      <c r="J903" s="7">
        <f t="shared" si="80"/>
        <v>-4.7025605558386391E-4</v>
      </c>
      <c r="K903" s="5">
        <v>45467</v>
      </c>
      <c r="L903" s="8">
        <f t="shared" si="78"/>
        <v>1.5981007404456294E-3</v>
      </c>
      <c r="M903" s="5">
        <v>45467</v>
      </c>
      <c r="N903" s="9">
        <f t="shared" si="79"/>
        <v>1.1278446848617654E-3</v>
      </c>
      <c r="O903" s="5">
        <v>45467</v>
      </c>
      <c r="P903">
        <f t="shared" si="81"/>
        <v>0.99844920277154448</v>
      </c>
      <c r="Q903" s="6">
        <f t="shared" si="82"/>
        <v>1</v>
      </c>
      <c r="R903">
        <f t="shared" si="83"/>
        <v>-1.5520009591331798E-3</v>
      </c>
      <c r="T903" s="5">
        <v>45467</v>
      </c>
      <c r="U903" s="1">
        <v>-1.5520009591331798E-3</v>
      </c>
    </row>
    <row r="904" spans="3:21" x14ac:dyDescent="0.2">
      <c r="C904" s="5">
        <v>45468</v>
      </c>
      <c r="D904" s="6">
        <v>1</v>
      </c>
      <c r="E904" s="6">
        <v>61789.99</v>
      </c>
      <c r="F904" s="6">
        <v>61771.5</v>
      </c>
      <c r="G904" s="6">
        <v>61850.17</v>
      </c>
      <c r="H904" s="6">
        <v>61761.3</v>
      </c>
      <c r="I904" s="5">
        <v>45468</v>
      </c>
      <c r="J904" s="7">
        <f t="shared" si="80"/>
        <v>-4.6431468915911873E-4</v>
      </c>
      <c r="K904" s="5">
        <v>45468</v>
      </c>
      <c r="L904" s="8">
        <f t="shared" si="78"/>
        <v>1.2735646697910566E-3</v>
      </c>
      <c r="M904" s="5">
        <v>45468</v>
      </c>
      <c r="N904" s="9">
        <f t="shared" si="79"/>
        <v>8.0924998063193791E-4</v>
      </c>
      <c r="O904" s="5">
        <v>45468</v>
      </c>
      <c r="P904">
        <f t="shared" si="81"/>
        <v>0.99856314057018769</v>
      </c>
      <c r="Q904" s="6">
        <f t="shared" si="82"/>
        <v>1</v>
      </c>
      <c r="R904">
        <f t="shared" si="83"/>
        <v>-1.4378927022195695E-3</v>
      </c>
      <c r="T904" s="5">
        <v>45468</v>
      </c>
      <c r="U904" s="1">
        <v>-1.4378927022195695E-3</v>
      </c>
    </row>
    <row r="905" spans="3:21" x14ac:dyDescent="0.2">
      <c r="C905" s="5">
        <v>45469</v>
      </c>
      <c r="D905" s="6">
        <v>0.99990999999999997</v>
      </c>
      <c r="E905" s="6">
        <v>60826.53</v>
      </c>
      <c r="F905" s="6">
        <v>60815</v>
      </c>
      <c r="G905" s="6">
        <v>60856.36</v>
      </c>
      <c r="H905" s="6">
        <v>60794.8</v>
      </c>
      <c r="I905" s="5">
        <v>45469</v>
      </c>
      <c r="J905" s="7">
        <f t="shared" si="80"/>
        <v>-5.2164737985211263E-4</v>
      </c>
      <c r="K905" s="5">
        <v>45469</v>
      </c>
      <c r="L905" s="8">
        <f t="shared" si="78"/>
        <v>6.8009537120777082E-4</v>
      </c>
      <c r="M905" s="5">
        <v>45469</v>
      </c>
      <c r="N905" s="9">
        <f t="shared" si="79"/>
        <v>1.5844799135565819E-4</v>
      </c>
      <c r="O905" s="5">
        <v>45469</v>
      </c>
      <c r="P905">
        <f t="shared" si="81"/>
        <v>0.99898843769163981</v>
      </c>
      <c r="Q905" s="6">
        <f t="shared" si="82"/>
        <v>1.0000900081007291</v>
      </c>
      <c r="R905">
        <f t="shared" si="83"/>
        <v>-1.102078333046944E-3</v>
      </c>
      <c r="T905" s="5">
        <v>45469</v>
      </c>
      <c r="U905" s="1">
        <v>-1.102078333046944E-3</v>
      </c>
    </row>
    <row r="906" spans="3:21" x14ac:dyDescent="0.2">
      <c r="C906" s="5">
        <v>45470</v>
      </c>
      <c r="D906" s="6">
        <v>0.99977000000000005</v>
      </c>
      <c r="E906" s="6">
        <v>61623.77</v>
      </c>
      <c r="F906" s="6">
        <v>61640.5</v>
      </c>
      <c r="G906" s="6">
        <v>61692.82</v>
      </c>
      <c r="H906" s="6">
        <v>61607.6</v>
      </c>
      <c r="I906" s="5">
        <v>45470</v>
      </c>
      <c r="J906" s="7">
        <f t="shared" si="80"/>
        <v>-2.6239874645771032E-4</v>
      </c>
      <c r="K906" s="5">
        <v>45470</v>
      </c>
      <c r="L906" s="8">
        <f t="shared" si="78"/>
        <v>8.4879259577712231E-4</v>
      </c>
      <c r="M906" s="5">
        <v>45470</v>
      </c>
      <c r="N906" s="9">
        <f t="shared" si="79"/>
        <v>5.8639384931941205E-4</v>
      </c>
      <c r="O906" s="5">
        <v>45470</v>
      </c>
      <c r="P906">
        <f t="shared" si="81"/>
        <v>0.9986186399000726</v>
      </c>
      <c r="Q906" s="6">
        <f t="shared" si="82"/>
        <v>1.0002300529121697</v>
      </c>
      <c r="R906">
        <f t="shared" si="83"/>
        <v>-1.6123415113744848E-3</v>
      </c>
      <c r="T906" s="5">
        <v>45470</v>
      </c>
      <c r="U906" s="1">
        <v>-1.6123415113744848E-3</v>
      </c>
    </row>
    <row r="907" spans="3:21" x14ac:dyDescent="0.2">
      <c r="C907" s="5">
        <v>45471</v>
      </c>
      <c r="D907" s="6">
        <v>0.99990000000000001</v>
      </c>
      <c r="E907" s="6">
        <v>60322.5</v>
      </c>
      <c r="F907" s="6">
        <v>60319</v>
      </c>
      <c r="G907" s="6">
        <v>60412.52</v>
      </c>
      <c r="H907" s="6">
        <v>60337.8</v>
      </c>
      <c r="I907" s="5">
        <v>45471</v>
      </c>
      <c r="J907" s="7">
        <f t="shared" si="80"/>
        <v>2.5363670272291285E-4</v>
      </c>
      <c r="K907" s="5">
        <v>45471</v>
      </c>
      <c r="L907" s="8">
        <f t="shared" ref="L907:L970" si="84">(G907-F907)/F907</f>
        <v>1.5504235812927403E-3</v>
      </c>
      <c r="M907" s="5">
        <v>45471</v>
      </c>
      <c r="N907" s="9">
        <f t="shared" ref="N907:N970" si="85">J907+L907</f>
        <v>1.8040602840156531E-3</v>
      </c>
      <c r="O907" s="5">
        <v>45471</v>
      </c>
      <c r="P907">
        <f t="shared" si="81"/>
        <v>0.99876317028324602</v>
      </c>
      <c r="Q907" s="6">
        <f t="shared" si="82"/>
        <v>1.000100010001</v>
      </c>
      <c r="R907">
        <f t="shared" si="83"/>
        <v>-1.3376002222261461E-3</v>
      </c>
      <c r="T907" s="5">
        <v>45471</v>
      </c>
      <c r="U907" s="1">
        <v>-1.3376002222261461E-3</v>
      </c>
    </row>
    <row r="908" spans="3:21" x14ac:dyDescent="0.2">
      <c r="C908" s="5">
        <v>45472</v>
      </c>
      <c r="D908" s="6">
        <v>0.99987999999999999</v>
      </c>
      <c r="E908" s="6">
        <v>60890.94</v>
      </c>
      <c r="F908" s="6">
        <v>60903.5</v>
      </c>
      <c r="G908" s="6">
        <v>60987.42</v>
      </c>
      <c r="H908" s="6">
        <v>60857.9</v>
      </c>
      <c r="I908" s="5">
        <v>45472</v>
      </c>
      <c r="J908" s="7">
        <f t="shared" ref="J908:J971" si="86">(H908-E908)/E908</f>
        <v>-5.4260945881277032E-4</v>
      </c>
      <c r="K908" s="5">
        <v>45472</v>
      </c>
      <c r="L908" s="8">
        <f t="shared" si="84"/>
        <v>1.3779175252653501E-3</v>
      </c>
      <c r="M908" s="5">
        <v>45472</v>
      </c>
      <c r="N908" s="9">
        <f t="shared" si="85"/>
        <v>8.3530806645257976E-4</v>
      </c>
      <c r="O908" s="5">
        <v>45472</v>
      </c>
      <c r="P908">
        <f t="shared" ref="P908:P971" si="87">(1/G908)*H908</f>
        <v>0.99787628333843292</v>
      </c>
      <c r="Q908" s="6">
        <f t="shared" ref="Q908:Q971" si="88">1/D908</f>
        <v>1.0001200144017282</v>
      </c>
      <c r="R908">
        <f t="shared" ref="R908:R971" si="89">LN(P908/Q908)</f>
        <v>-2.2459821462426214E-3</v>
      </c>
      <c r="T908" s="5">
        <v>45472</v>
      </c>
      <c r="U908" s="1">
        <v>-2.2459821462426214E-3</v>
      </c>
    </row>
    <row r="909" spans="3:21" x14ac:dyDescent="0.2">
      <c r="C909" s="5">
        <v>45473</v>
      </c>
      <c r="D909" s="6">
        <v>0.99990000000000001</v>
      </c>
      <c r="E909" s="6">
        <v>62675.23</v>
      </c>
      <c r="F909" s="6">
        <v>62706.5</v>
      </c>
      <c r="G909" s="6">
        <v>62741.62</v>
      </c>
      <c r="H909" s="6">
        <v>62678.9</v>
      </c>
      <c r="I909" s="5">
        <v>45473</v>
      </c>
      <c r="J909" s="7">
        <f t="shared" si="86"/>
        <v>5.8555828195576685E-5</v>
      </c>
      <c r="K909" s="5">
        <v>45473</v>
      </c>
      <c r="L909" s="8">
        <f t="shared" si="84"/>
        <v>5.6006953027202318E-4</v>
      </c>
      <c r="M909" s="5">
        <v>45473</v>
      </c>
      <c r="N909" s="9">
        <f t="shared" si="85"/>
        <v>6.1862535846759982E-4</v>
      </c>
      <c r="O909" s="5">
        <v>45473</v>
      </c>
      <c r="P909">
        <f t="shared" si="87"/>
        <v>0.99900034458785092</v>
      </c>
      <c r="Q909" s="6">
        <f t="shared" si="88"/>
        <v>1.000100010001</v>
      </c>
      <c r="R909">
        <f t="shared" si="89"/>
        <v>-1.1001604011925928E-3</v>
      </c>
      <c r="T909" s="5">
        <v>45473</v>
      </c>
      <c r="U909" s="1">
        <v>-1.1001604011925928E-3</v>
      </c>
    </row>
    <row r="910" spans="3:21" x14ac:dyDescent="0.2">
      <c r="C910" s="5">
        <v>45474</v>
      </c>
      <c r="D910" s="6">
        <v>0.99990000000000001</v>
      </c>
      <c r="E910" s="6">
        <v>62837.09</v>
      </c>
      <c r="F910" s="6">
        <v>62849</v>
      </c>
      <c r="G910" s="6">
        <v>62892.98</v>
      </c>
      <c r="H910" s="6">
        <v>62823.7</v>
      </c>
      <c r="I910" s="5">
        <v>45474</v>
      </c>
      <c r="J910" s="7">
        <f t="shared" si="86"/>
        <v>-2.1309070805155712E-4</v>
      </c>
      <c r="K910" s="5">
        <v>45474</v>
      </c>
      <c r="L910" s="8">
        <f t="shared" si="84"/>
        <v>6.9977247052464158E-4</v>
      </c>
      <c r="M910" s="5">
        <v>45474</v>
      </c>
      <c r="N910" s="9">
        <f t="shared" si="85"/>
        <v>4.8668176247308444E-4</v>
      </c>
      <c r="O910" s="5">
        <v>45474</v>
      </c>
      <c r="P910">
        <f t="shared" si="87"/>
        <v>0.99889844621768575</v>
      </c>
      <c r="Q910" s="6">
        <f t="shared" si="88"/>
        <v>1.000100010001</v>
      </c>
      <c r="R910">
        <f t="shared" si="89"/>
        <v>-1.2021659389330492E-3</v>
      </c>
      <c r="T910" s="5">
        <v>45474</v>
      </c>
      <c r="U910" s="1">
        <v>-1.2021659389330492E-3</v>
      </c>
    </row>
    <row r="911" spans="3:21" x14ac:dyDescent="0.2">
      <c r="C911" s="5">
        <v>45475</v>
      </c>
      <c r="D911" s="6">
        <v>0.99997000000000003</v>
      </c>
      <c r="E911" s="6">
        <v>62044.84</v>
      </c>
      <c r="F911" s="6">
        <v>62049.5</v>
      </c>
      <c r="G911" s="6">
        <v>62106.92</v>
      </c>
      <c r="H911" s="6">
        <v>62018.6</v>
      </c>
      <c r="I911" s="5">
        <v>45475</v>
      </c>
      <c r="J911" s="7">
        <f t="shared" si="86"/>
        <v>-4.2291993983702695E-4</v>
      </c>
      <c r="K911" s="5">
        <v>45475</v>
      </c>
      <c r="L911" s="8">
        <f t="shared" si="84"/>
        <v>9.2539021265277321E-4</v>
      </c>
      <c r="M911" s="5">
        <v>45475</v>
      </c>
      <c r="N911" s="9">
        <f t="shared" si="85"/>
        <v>5.0247027281574621E-4</v>
      </c>
      <c r="O911" s="5">
        <v>45475</v>
      </c>
      <c r="P911">
        <f t="shared" si="87"/>
        <v>0.9985779362428534</v>
      </c>
      <c r="Q911" s="6">
        <f t="shared" si="88"/>
        <v>1.0000300009000269</v>
      </c>
      <c r="R911">
        <f t="shared" si="89"/>
        <v>-1.4530762994404982E-3</v>
      </c>
      <c r="T911" s="5">
        <v>45475</v>
      </c>
      <c r="U911" s="1">
        <v>-1.4530762994404982E-3</v>
      </c>
    </row>
    <row r="912" spans="3:21" x14ac:dyDescent="0.2">
      <c r="C912" s="5">
        <v>45476</v>
      </c>
      <c r="D912" s="6">
        <v>0.99992000000000003</v>
      </c>
      <c r="E912" s="6">
        <v>60148.480000000003</v>
      </c>
      <c r="F912" s="6">
        <v>60128</v>
      </c>
      <c r="G912" s="6">
        <v>60210.39</v>
      </c>
      <c r="H912" s="6">
        <v>60133.4</v>
      </c>
      <c r="I912" s="5">
        <v>45476</v>
      </c>
      <c r="J912" s="7">
        <f t="shared" si="86"/>
        <v>-2.5071290247071491E-4</v>
      </c>
      <c r="K912" s="5">
        <v>45476</v>
      </c>
      <c r="L912" s="8">
        <f t="shared" si="84"/>
        <v>1.3702434805747642E-3</v>
      </c>
      <c r="M912" s="5">
        <v>45476</v>
      </c>
      <c r="N912" s="9">
        <f t="shared" si="85"/>
        <v>1.1195305781040493E-3</v>
      </c>
      <c r="O912" s="5">
        <v>45476</v>
      </c>
      <c r="P912">
        <f t="shared" si="87"/>
        <v>0.99872131703514966</v>
      </c>
      <c r="Q912" s="6">
        <f t="shared" si="88"/>
        <v>1.000080006400512</v>
      </c>
      <c r="R912">
        <f t="shared" si="89"/>
        <v>-1.3595043776473406E-3</v>
      </c>
      <c r="T912" s="5">
        <v>45476</v>
      </c>
      <c r="U912" s="1">
        <v>-1.3595043776473406E-3</v>
      </c>
    </row>
    <row r="913" spans="3:21" x14ac:dyDescent="0.2">
      <c r="C913" s="5">
        <v>45477</v>
      </c>
      <c r="D913" s="6">
        <v>1</v>
      </c>
      <c r="E913" s="6">
        <v>57036.1</v>
      </c>
      <c r="F913" s="6">
        <v>57011.5</v>
      </c>
      <c r="G913" s="6">
        <v>57097</v>
      </c>
      <c r="H913" s="6">
        <v>56958.7</v>
      </c>
      <c r="I913" s="5">
        <v>45477</v>
      </c>
      <c r="J913" s="7">
        <f t="shared" si="86"/>
        <v>-1.3570352811640603E-3</v>
      </c>
      <c r="K913" s="5">
        <v>45477</v>
      </c>
      <c r="L913" s="8">
        <f t="shared" si="84"/>
        <v>1.4996974294659848E-3</v>
      </c>
      <c r="M913" s="5">
        <v>45477</v>
      </c>
      <c r="N913" s="9">
        <f t="shared" si="85"/>
        <v>1.4266214830192456E-4</v>
      </c>
      <c r="O913" s="5">
        <v>45477</v>
      </c>
      <c r="P913">
        <f t="shared" si="87"/>
        <v>0.9975778061894669</v>
      </c>
      <c r="Q913" s="6">
        <f t="shared" si="88"/>
        <v>1</v>
      </c>
      <c r="R913">
        <f t="shared" si="89"/>
        <v>-2.4251320676053419E-3</v>
      </c>
      <c r="T913" s="5">
        <v>45477</v>
      </c>
      <c r="U913" s="1">
        <v>-2.4251320676053419E-3</v>
      </c>
    </row>
    <row r="914" spans="3:21" x14ac:dyDescent="0.2">
      <c r="C914" s="5">
        <v>45478</v>
      </c>
      <c r="D914" s="6">
        <v>0.99999000000000005</v>
      </c>
      <c r="E914" s="6">
        <v>56631.01</v>
      </c>
      <c r="F914" s="6">
        <v>56609</v>
      </c>
      <c r="G914" s="6">
        <v>56742.69</v>
      </c>
      <c r="H914" s="6">
        <v>56608.3</v>
      </c>
      <c r="I914" s="5">
        <v>45478</v>
      </c>
      <c r="J914" s="7">
        <f t="shared" si="86"/>
        <v>-4.0101703995742131E-4</v>
      </c>
      <c r="K914" s="5">
        <v>45478</v>
      </c>
      <c r="L914" s="8">
        <f t="shared" si="84"/>
        <v>2.3616386087018377E-3</v>
      </c>
      <c r="M914" s="5">
        <v>45478</v>
      </c>
      <c r="N914" s="9">
        <f t="shared" si="85"/>
        <v>1.9606215687444162E-3</v>
      </c>
      <c r="O914" s="5">
        <v>45478</v>
      </c>
      <c r="P914">
        <f t="shared" si="87"/>
        <v>0.99763158919677575</v>
      </c>
      <c r="Q914" s="6">
        <f t="shared" si="88"/>
        <v>1.000010000100001</v>
      </c>
      <c r="R914">
        <f t="shared" si="89"/>
        <v>-2.381219974402795E-3</v>
      </c>
      <c r="T914" s="5">
        <v>45478</v>
      </c>
      <c r="U914" s="1">
        <v>-2.381219974402795E-3</v>
      </c>
    </row>
    <row r="915" spans="3:21" x14ac:dyDescent="0.2">
      <c r="C915" s="5">
        <v>45479</v>
      </c>
      <c r="D915" s="6">
        <v>1</v>
      </c>
      <c r="E915" s="6">
        <v>58247.73</v>
      </c>
      <c r="F915" s="6">
        <v>58207.5</v>
      </c>
      <c r="G915" s="6">
        <v>58309.37</v>
      </c>
      <c r="H915" s="6">
        <v>58204</v>
      </c>
      <c r="I915" s="5">
        <v>45479</v>
      </c>
      <c r="J915" s="7">
        <f t="shared" si="86"/>
        <v>-7.5075887077493319E-4</v>
      </c>
      <c r="K915" s="5">
        <v>45479</v>
      </c>
      <c r="L915" s="8">
        <f t="shared" si="84"/>
        <v>1.7501181119272023E-3</v>
      </c>
      <c r="M915" s="5">
        <v>45479</v>
      </c>
      <c r="N915" s="9">
        <f t="shared" si="85"/>
        <v>9.9935924115226917E-4</v>
      </c>
      <c r="O915" s="5">
        <v>45479</v>
      </c>
      <c r="P915">
        <f t="shared" si="87"/>
        <v>0.99819291479225369</v>
      </c>
      <c r="Q915" s="6">
        <f t="shared" si="88"/>
        <v>1</v>
      </c>
      <c r="R915">
        <f t="shared" si="89"/>
        <v>-1.8087199559367114E-3</v>
      </c>
      <c r="T915" s="5">
        <v>45479</v>
      </c>
      <c r="U915" s="1">
        <v>-1.8087199559367114E-3</v>
      </c>
    </row>
    <row r="916" spans="3:21" x14ac:dyDescent="0.2">
      <c r="C916" s="5">
        <v>45480</v>
      </c>
      <c r="D916" s="6">
        <v>0.99999000000000005</v>
      </c>
      <c r="E916" s="6">
        <v>55858.04</v>
      </c>
      <c r="F916" s="6">
        <v>55858</v>
      </c>
      <c r="G916" s="6">
        <v>55909.63</v>
      </c>
      <c r="H916" s="6">
        <v>55820.9</v>
      </c>
      <c r="I916" s="5">
        <v>45480</v>
      </c>
      <c r="J916" s="7">
        <f t="shared" si="86"/>
        <v>-6.6489980672432151E-4</v>
      </c>
      <c r="K916" s="5">
        <v>45480</v>
      </c>
      <c r="L916" s="8">
        <f t="shared" si="84"/>
        <v>9.2430806688383721E-4</v>
      </c>
      <c r="M916" s="5">
        <v>45480</v>
      </c>
      <c r="N916" s="9">
        <f t="shared" si="85"/>
        <v>2.5940826015951571E-4</v>
      </c>
      <c r="O916" s="5">
        <v>45480</v>
      </c>
      <c r="P916">
        <f t="shared" si="87"/>
        <v>0.99841297465213075</v>
      </c>
      <c r="Q916" s="6">
        <f t="shared" si="88"/>
        <v>1.000010000100001</v>
      </c>
      <c r="R916">
        <f t="shared" si="89"/>
        <v>-1.5982860565717219E-3</v>
      </c>
      <c r="T916" s="5">
        <v>45480</v>
      </c>
      <c r="U916" s="1">
        <v>-1.5982860565717219E-3</v>
      </c>
    </row>
    <row r="917" spans="3:21" x14ac:dyDescent="0.2">
      <c r="C917" s="5">
        <v>45481</v>
      </c>
      <c r="D917" s="6">
        <v>0.99999000000000005</v>
      </c>
      <c r="E917" s="6">
        <v>56697.55</v>
      </c>
      <c r="F917" s="6">
        <v>56709.5</v>
      </c>
      <c r="G917" s="6">
        <v>56762.41</v>
      </c>
      <c r="H917" s="6">
        <v>56698.5</v>
      </c>
      <c r="I917" s="5">
        <v>45481</v>
      </c>
      <c r="J917" s="7">
        <f t="shared" si="86"/>
        <v>1.6755574094420123E-5</v>
      </c>
      <c r="K917" s="5">
        <v>45481</v>
      </c>
      <c r="L917" s="8">
        <f t="shared" si="84"/>
        <v>9.3300064363119925E-4</v>
      </c>
      <c r="M917" s="5">
        <v>45481</v>
      </c>
      <c r="N917" s="9">
        <f t="shared" si="85"/>
        <v>9.4975621772561939E-4</v>
      </c>
      <c r="O917" s="5">
        <v>45481</v>
      </c>
      <c r="P917">
        <f t="shared" si="87"/>
        <v>0.99887407881377832</v>
      </c>
      <c r="Q917" s="6">
        <f t="shared" si="88"/>
        <v>1.000010000100001</v>
      </c>
      <c r="R917">
        <f t="shared" si="89"/>
        <v>-1.1365555616590574E-3</v>
      </c>
      <c r="T917" s="5">
        <v>45481</v>
      </c>
      <c r="U917" s="1">
        <v>-1.1365555616590574E-3</v>
      </c>
    </row>
    <row r="918" spans="3:21" x14ac:dyDescent="0.2">
      <c r="C918" s="5">
        <v>45482</v>
      </c>
      <c r="D918" s="6">
        <v>0.99999000000000005</v>
      </c>
      <c r="E918" s="6">
        <v>58047.78</v>
      </c>
      <c r="F918" s="6">
        <v>58016.5</v>
      </c>
      <c r="G918" s="6">
        <v>58081.73</v>
      </c>
      <c r="H918" s="6">
        <v>57992.1</v>
      </c>
      <c r="I918" s="5">
        <v>45482</v>
      </c>
      <c r="J918" s="7">
        <f t="shared" si="86"/>
        <v>-9.5920980957411796E-4</v>
      </c>
      <c r="K918" s="5">
        <v>45482</v>
      </c>
      <c r="L918" s="8">
        <f t="shared" si="84"/>
        <v>1.1243353184008549E-3</v>
      </c>
      <c r="M918" s="5">
        <v>45482</v>
      </c>
      <c r="N918" s="9">
        <f t="shared" si="85"/>
        <v>1.6512550882673695E-4</v>
      </c>
      <c r="O918" s="5">
        <v>45482</v>
      </c>
      <c r="P918">
        <f t="shared" si="87"/>
        <v>0.99845682971220029</v>
      </c>
      <c r="Q918" s="6">
        <f t="shared" si="88"/>
        <v>1.000010000100001</v>
      </c>
      <c r="R918">
        <f t="shared" si="89"/>
        <v>-1.5543622514435005E-3</v>
      </c>
      <c r="T918" s="5">
        <v>45482</v>
      </c>
      <c r="U918" s="1">
        <v>-1.5543622514435005E-3</v>
      </c>
    </row>
    <row r="919" spans="3:21" x14ac:dyDescent="0.2">
      <c r="C919" s="5">
        <v>45483</v>
      </c>
      <c r="D919" s="6">
        <v>0.99995999999999996</v>
      </c>
      <c r="E919" s="6">
        <v>57717.66</v>
      </c>
      <c r="F919" s="6">
        <v>57718.5</v>
      </c>
      <c r="G919" s="6">
        <v>57826.55</v>
      </c>
      <c r="H919" s="6">
        <v>57753.7</v>
      </c>
      <c r="I919" s="5">
        <v>45483</v>
      </c>
      <c r="J919" s="7">
        <f t="shared" si="86"/>
        <v>6.2441893867481101E-4</v>
      </c>
      <c r="K919" s="5">
        <v>45483</v>
      </c>
      <c r="L919" s="8">
        <f t="shared" si="84"/>
        <v>1.8720167710526592E-3</v>
      </c>
      <c r="M919" s="5">
        <v>45483</v>
      </c>
      <c r="N919" s="9">
        <f t="shared" si="85"/>
        <v>2.4964357097274703E-3</v>
      </c>
      <c r="O919" s="5">
        <v>45483</v>
      </c>
      <c r="P919">
        <f t="shared" si="87"/>
        <v>0.99874019805781244</v>
      </c>
      <c r="Q919" s="6">
        <f t="shared" si="88"/>
        <v>1.0000400016000641</v>
      </c>
      <c r="R919">
        <f t="shared" si="89"/>
        <v>-1.3005969597837351E-3</v>
      </c>
      <c r="T919" s="5">
        <v>45483</v>
      </c>
      <c r="U919" s="1">
        <v>-1.3005969597837351E-3</v>
      </c>
    </row>
    <row r="920" spans="3:21" x14ac:dyDescent="0.2">
      <c r="C920" s="5">
        <v>45484</v>
      </c>
      <c r="D920" s="6">
        <v>0.99992000000000003</v>
      </c>
      <c r="E920" s="6">
        <v>57349.06</v>
      </c>
      <c r="F920" s="6">
        <v>57315.5</v>
      </c>
      <c r="G920" s="6">
        <v>57386.080000000002</v>
      </c>
      <c r="H920" s="6">
        <v>57306.6</v>
      </c>
      <c r="I920" s="5">
        <v>45484</v>
      </c>
      <c r="J920" s="7">
        <f t="shared" si="86"/>
        <v>-7.4037830785716682E-4</v>
      </c>
      <c r="K920" s="5">
        <v>45484</v>
      </c>
      <c r="L920" s="8">
        <f t="shared" si="84"/>
        <v>1.2314295434917562E-3</v>
      </c>
      <c r="M920" s="5">
        <v>45484</v>
      </c>
      <c r="N920" s="9">
        <f t="shared" si="85"/>
        <v>4.9105123563458937E-4</v>
      </c>
      <c r="O920" s="5">
        <v>45484</v>
      </c>
      <c r="P920">
        <f t="shared" si="87"/>
        <v>0.99861499513470864</v>
      </c>
      <c r="Q920" s="6">
        <f t="shared" si="88"/>
        <v>1.000080006400512</v>
      </c>
      <c r="R920">
        <f t="shared" si="89"/>
        <v>-1.4659680712111676E-3</v>
      </c>
      <c r="T920" s="5">
        <v>45484</v>
      </c>
      <c r="U920" s="1">
        <v>-1.4659680712111676E-3</v>
      </c>
    </row>
    <row r="921" spans="3:21" x14ac:dyDescent="0.2">
      <c r="C921" s="5">
        <v>45485</v>
      </c>
      <c r="D921" s="6">
        <v>1</v>
      </c>
      <c r="E921" s="6">
        <v>57898.2</v>
      </c>
      <c r="F921" s="6">
        <v>57882.5</v>
      </c>
      <c r="G921" s="6">
        <v>57952.7</v>
      </c>
      <c r="H921" s="6">
        <v>57853.2</v>
      </c>
      <c r="I921" s="5">
        <v>45485</v>
      </c>
      <c r="J921" s="7">
        <f t="shared" si="86"/>
        <v>-7.7722623501248745E-4</v>
      </c>
      <c r="K921" s="5">
        <v>45485</v>
      </c>
      <c r="L921" s="8">
        <f t="shared" si="84"/>
        <v>1.2128017967433524E-3</v>
      </c>
      <c r="M921" s="5">
        <v>45485</v>
      </c>
      <c r="N921" s="9">
        <f t="shared" si="85"/>
        <v>4.3557556173086495E-4</v>
      </c>
      <c r="O921" s="5">
        <v>45485</v>
      </c>
      <c r="P921">
        <f t="shared" si="87"/>
        <v>0.99828308258286502</v>
      </c>
      <c r="Q921" s="6">
        <f t="shared" si="88"/>
        <v>1</v>
      </c>
      <c r="R921">
        <f t="shared" si="89"/>
        <v>-1.71839300906514E-3</v>
      </c>
      <c r="T921" s="5">
        <v>45485</v>
      </c>
      <c r="U921" s="1">
        <v>-1.71839300906514E-3</v>
      </c>
    </row>
    <row r="922" spans="3:21" x14ac:dyDescent="0.2">
      <c r="C922" s="5">
        <v>45486</v>
      </c>
      <c r="D922" s="6">
        <v>0.99994000000000005</v>
      </c>
      <c r="E922" s="6">
        <v>59217.31</v>
      </c>
      <c r="F922" s="6">
        <v>59232</v>
      </c>
      <c r="G922" s="6">
        <v>58944.47</v>
      </c>
      <c r="H922" s="6">
        <v>59196.4</v>
      </c>
      <c r="I922" s="5">
        <v>45486</v>
      </c>
      <c r="J922" s="7">
        <f t="shared" si="86"/>
        <v>-3.5310621168027081E-4</v>
      </c>
      <c r="K922" s="5">
        <v>45486</v>
      </c>
      <c r="L922" s="8">
        <f t="shared" si="84"/>
        <v>-4.8543017287952265E-3</v>
      </c>
      <c r="M922" s="5">
        <v>45486</v>
      </c>
      <c r="N922" s="9">
        <f t="shared" si="85"/>
        <v>-5.2074079404754977E-3</v>
      </c>
      <c r="O922" s="5">
        <v>45486</v>
      </c>
      <c r="P922">
        <f t="shared" si="87"/>
        <v>1.0042740226521674</v>
      </c>
      <c r="Q922" s="6">
        <f t="shared" si="88"/>
        <v>1.0000600036002159</v>
      </c>
      <c r="R922">
        <f t="shared" si="89"/>
        <v>4.2049131590488958E-3</v>
      </c>
      <c r="T922" s="5">
        <v>45486</v>
      </c>
      <c r="U922" s="1">
        <v>4.2049131590488958E-3</v>
      </c>
    </row>
    <row r="923" spans="3:21" x14ac:dyDescent="0.2">
      <c r="C923" s="5">
        <v>45487</v>
      </c>
      <c r="D923" s="6">
        <v>1</v>
      </c>
      <c r="E923" s="6">
        <v>60810.95</v>
      </c>
      <c r="F923" s="6">
        <v>60769.5</v>
      </c>
      <c r="G923" s="6">
        <v>60750.080000000002</v>
      </c>
      <c r="H923" s="6">
        <v>60732.7</v>
      </c>
      <c r="I923" s="5">
        <v>45487</v>
      </c>
      <c r="J923" s="7">
        <f t="shared" si="86"/>
        <v>-1.2867748324931613E-3</v>
      </c>
      <c r="K923" s="5">
        <v>45487</v>
      </c>
      <c r="L923" s="8">
        <f t="shared" si="84"/>
        <v>-3.195682044446351E-4</v>
      </c>
      <c r="M923" s="5">
        <v>45487</v>
      </c>
      <c r="N923" s="9">
        <f t="shared" si="85"/>
        <v>-1.6063430369377964E-3</v>
      </c>
      <c r="O923" s="5">
        <v>45487</v>
      </c>
      <c r="P923">
        <f t="shared" si="87"/>
        <v>0.99971390984176478</v>
      </c>
      <c r="Q923" s="6">
        <f t="shared" si="88"/>
        <v>1</v>
      </c>
      <c r="R923">
        <f t="shared" si="89"/>
        <v>-2.8613108983147626E-4</v>
      </c>
      <c r="T923" s="5">
        <v>45487</v>
      </c>
      <c r="U923" s="1">
        <v>-2.8613108983147626E-4</v>
      </c>
    </row>
    <row r="924" spans="3:21" x14ac:dyDescent="0.2">
      <c r="C924" s="5">
        <v>45488</v>
      </c>
      <c r="D924" s="6">
        <v>0.99999000000000005</v>
      </c>
      <c r="E924" s="6">
        <v>64759.48</v>
      </c>
      <c r="F924" s="6">
        <v>64754.5</v>
      </c>
      <c r="G924" s="6">
        <v>64776.75</v>
      </c>
      <c r="H924" s="6">
        <v>64768.3</v>
      </c>
      <c r="I924" s="5">
        <v>45488</v>
      </c>
      <c r="J924" s="7">
        <f t="shared" si="86"/>
        <v>1.3619627581938133E-4</v>
      </c>
      <c r="K924" s="5">
        <v>45488</v>
      </c>
      <c r="L924" s="8">
        <f t="shared" si="84"/>
        <v>3.436054637129466E-4</v>
      </c>
      <c r="M924" s="5">
        <v>45488</v>
      </c>
      <c r="N924" s="9">
        <f t="shared" si="85"/>
        <v>4.7980173953232792E-4</v>
      </c>
      <c r="O924" s="5">
        <v>45488</v>
      </c>
      <c r="P924">
        <f t="shared" si="87"/>
        <v>0.9998695519611589</v>
      </c>
      <c r="Q924" s="6">
        <f t="shared" si="88"/>
        <v>1.000010000100001</v>
      </c>
      <c r="R924">
        <f t="shared" si="89"/>
        <v>-1.4045659792678833E-4</v>
      </c>
      <c r="T924" s="5">
        <v>45488</v>
      </c>
      <c r="U924" s="1">
        <v>-1.4045659792678833E-4</v>
      </c>
    </row>
    <row r="925" spans="3:21" x14ac:dyDescent="0.2">
      <c r="C925" s="5">
        <v>45489</v>
      </c>
      <c r="D925" s="6">
        <v>1</v>
      </c>
      <c r="E925" s="6">
        <v>65074.91</v>
      </c>
      <c r="F925" s="6">
        <v>65052.5</v>
      </c>
      <c r="G925" s="6">
        <v>65126.61</v>
      </c>
      <c r="H925" s="6">
        <v>65036.5</v>
      </c>
      <c r="I925" s="5">
        <v>45489</v>
      </c>
      <c r="J925" s="7">
        <f t="shared" si="86"/>
        <v>-5.9024284474620847E-4</v>
      </c>
      <c r="K925" s="5">
        <v>45489</v>
      </c>
      <c r="L925" s="8">
        <f t="shared" si="84"/>
        <v>1.1392336958610443E-3</v>
      </c>
      <c r="M925" s="5">
        <v>45489</v>
      </c>
      <c r="N925" s="9">
        <f t="shared" si="85"/>
        <v>5.489908511148358E-4</v>
      </c>
      <c r="O925" s="5">
        <v>45489</v>
      </c>
      <c r="P925">
        <f t="shared" si="87"/>
        <v>0.9986163873722278</v>
      </c>
      <c r="Q925" s="6">
        <f t="shared" si="88"/>
        <v>1</v>
      </c>
      <c r="R925">
        <f t="shared" si="89"/>
        <v>-1.3845707035632132E-3</v>
      </c>
      <c r="T925" s="5">
        <v>45489</v>
      </c>
      <c r="U925" s="1">
        <v>-1.3845707035632132E-3</v>
      </c>
    </row>
    <row r="926" spans="3:21" x14ac:dyDescent="0.2">
      <c r="C926" s="5">
        <v>45490</v>
      </c>
      <c r="D926" s="6">
        <v>0.99999000000000005</v>
      </c>
      <c r="E926" s="6">
        <v>64088.04</v>
      </c>
      <c r="F926" s="6">
        <v>64076</v>
      </c>
      <c r="G926" s="6">
        <v>64156.91</v>
      </c>
      <c r="H926" s="6">
        <v>64054.6</v>
      </c>
      <c r="I926" s="5">
        <v>45490</v>
      </c>
      <c r="J926" s="7">
        <f t="shared" si="86"/>
        <v>-5.2178222332906936E-4</v>
      </c>
      <c r="K926" s="5">
        <v>45490</v>
      </c>
      <c r="L926" s="8">
        <f t="shared" si="84"/>
        <v>1.2627192708659014E-3</v>
      </c>
      <c r="M926" s="5">
        <v>45490</v>
      </c>
      <c r="N926" s="9">
        <f t="shared" si="85"/>
        <v>7.40937047536832E-4</v>
      </c>
      <c r="O926" s="5">
        <v>45490</v>
      </c>
      <c r="P926">
        <f t="shared" si="87"/>
        <v>0.99840531596674453</v>
      </c>
      <c r="Q926" s="6">
        <f t="shared" si="88"/>
        <v>1.000010000100001</v>
      </c>
      <c r="R926">
        <f t="shared" si="89"/>
        <v>-1.6059569452271773E-3</v>
      </c>
      <c r="T926" s="5">
        <v>45490</v>
      </c>
      <c r="U926" s="1">
        <v>-1.6059569452271773E-3</v>
      </c>
    </row>
    <row r="927" spans="3:21" x14ac:dyDescent="0.2">
      <c r="C927" s="5">
        <v>45491</v>
      </c>
      <c r="D927" s="6">
        <v>1</v>
      </c>
      <c r="E927" s="6">
        <v>63991.77</v>
      </c>
      <c r="F927" s="6">
        <v>63967</v>
      </c>
      <c r="G927" s="6">
        <v>64027.6</v>
      </c>
      <c r="H927" s="6">
        <v>63947.6</v>
      </c>
      <c r="I927" s="5">
        <v>45491</v>
      </c>
      <c r="J927" s="7">
        <f t="shared" si="86"/>
        <v>-6.9024501119438106E-4</v>
      </c>
      <c r="K927" s="5">
        <v>45491</v>
      </c>
      <c r="L927" s="8">
        <f t="shared" si="84"/>
        <v>9.473634842965677E-4</v>
      </c>
      <c r="M927" s="5">
        <v>45491</v>
      </c>
      <c r="N927" s="9">
        <f t="shared" si="85"/>
        <v>2.5711847310218663E-4</v>
      </c>
      <c r="O927" s="5">
        <v>45491</v>
      </c>
      <c r="P927">
        <f t="shared" si="87"/>
        <v>0.99875053883012943</v>
      </c>
      <c r="Q927" s="6">
        <f t="shared" si="88"/>
        <v>1</v>
      </c>
      <c r="R927">
        <f t="shared" si="89"/>
        <v>-1.2502423972880934E-3</v>
      </c>
      <c r="T927" s="5">
        <v>45491</v>
      </c>
      <c r="U927" s="1">
        <v>-1.2502423972880934E-3</v>
      </c>
    </row>
    <row r="928" spans="3:21" x14ac:dyDescent="0.2">
      <c r="C928" s="5">
        <v>45492</v>
      </c>
      <c r="D928" s="6">
        <v>0.99999000000000005</v>
      </c>
      <c r="E928" s="6">
        <v>66702.86</v>
      </c>
      <c r="F928" s="6">
        <v>66670.5</v>
      </c>
      <c r="G928" s="6">
        <v>66652.179999999993</v>
      </c>
      <c r="H928" s="6">
        <v>66668.800000000003</v>
      </c>
      <c r="I928" s="5">
        <v>45492</v>
      </c>
      <c r="J928" s="7">
        <f t="shared" si="86"/>
        <v>-5.106227828911335E-4</v>
      </c>
      <c r="K928" s="5">
        <v>45492</v>
      </c>
      <c r="L928" s="8">
        <f t="shared" si="84"/>
        <v>-2.7478419990861004E-4</v>
      </c>
      <c r="M928" s="5">
        <v>45492</v>
      </c>
      <c r="N928" s="9">
        <f t="shared" si="85"/>
        <v>-7.8540698279974349E-4</v>
      </c>
      <c r="O928" s="5">
        <v>45492</v>
      </c>
      <c r="P928">
        <f t="shared" si="87"/>
        <v>1.0002493541846644</v>
      </c>
      <c r="Q928" s="6">
        <f t="shared" si="88"/>
        <v>1.000010000100001</v>
      </c>
      <c r="R928">
        <f t="shared" si="89"/>
        <v>2.3932305107646307E-4</v>
      </c>
      <c r="T928" s="5">
        <v>45492</v>
      </c>
      <c r="U928" s="1">
        <v>2.3932305107646307E-4</v>
      </c>
    </row>
    <row r="929" spans="3:21" x14ac:dyDescent="0.2">
      <c r="C929" s="5">
        <v>45493</v>
      </c>
      <c r="D929" s="6">
        <v>1</v>
      </c>
      <c r="E929" s="6">
        <v>67165.59</v>
      </c>
      <c r="F929" s="6">
        <v>67136.5</v>
      </c>
      <c r="G929" s="6">
        <v>67087.33</v>
      </c>
      <c r="H929" s="6">
        <v>67141.8</v>
      </c>
      <c r="I929" s="5">
        <v>45493</v>
      </c>
      <c r="J929" s="7">
        <f t="shared" si="86"/>
        <v>-3.541992261214946E-4</v>
      </c>
      <c r="K929" s="5">
        <v>45493</v>
      </c>
      <c r="L929" s="8">
        <f t="shared" si="84"/>
        <v>-7.3238849210188577E-4</v>
      </c>
      <c r="M929" s="5">
        <v>45493</v>
      </c>
      <c r="N929" s="9">
        <f t="shared" si="85"/>
        <v>-1.0865877182233805E-3</v>
      </c>
      <c r="O929" s="5">
        <v>45493</v>
      </c>
      <c r="P929">
        <f t="shared" si="87"/>
        <v>1.0008119267825981</v>
      </c>
      <c r="Q929" s="6">
        <f t="shared" si="88"/>
        <v>1</v>
      </c>
      <c r="R929">
        <f t="shared" si="89"/>
        <v>8.1159734835356339E-4</v>
      </c>
      <c r="T929" s="5">
        <v>45493</v>
      </c>
      <c r="U929" s="1">
        <v>8.1159734835356339E-4</v>
      </c>
    </row>
    <row r="930" spans="3:21" x14ac:dyDescent="0.2">
      <c r="C930" s="5">
        <v>45494</v>
      </c>
      <c r="D930" s="6">
        <v>1</v>
      </c>
      <c r="E930" s="6">
        <v>68171.039999999994</v>
      </c>
      <c r="F930" s="6">
        <v>68194.5</v>
      </c>
      <c r="G930" s="6">
        <v>67654.09</v>
      </c>
      <c r="H930" s="6">
        <v>68154.399999999994</v>
      </c>
      <c r="I930" s="5">
        <v>45494</v>
      </c>
      <c r="J930" s="7">
        <f t="shared" si="86"/>
        <v>-2.4409191938394104E-4</v>
      </c>
      <c r="K930" s="5">
        <v>45494</v>
      </c>
      <c r="L930" s="8">
        <f t="shared" si="84"/>
        <v>-7.9245393690107486E-3</v>
      </c>
      <c r="M930" s="5">
        <v>45494</v>
      </c>
      <c r="N930" s="9">
        <f t="shared" si="85"/>
        <v>-8.1686312883946892E-3</v>
      </c>
      <c r="O930" s="5">
        <v>45494</v>
      </c>
      <c r="P930">
        <f t="shared" si="87"/>
        <v>1.0073951183143546</v>
      </c>
      <c r="Q930" s="6">
        <f t="shared" si="88"/>
        <v>1</v>
      </c>
      <c r="R930">
        <f t="shared" si="89"/>
        <v>7.3679084911429209E-3</v>
      </c>
      <c r="T930" s="5">
        <v>45494</v>
      </c>
      <c r="U930" s="1">
        <v>7.3679084911429209E-3</v>
      </c>
    </row>
    <row r="931" spans="3:21" x14ac:dyDescent="0.2">
      <c r="C931" s="5">
        <v>45495</v>
      </c>
      <c r="D931" s="6">
        <v>1</v>
      </c>
      <c r="E931" s="6">
        <v>67556.960000000006</v>
      </c>
      <c r="F931" s="6">
        <v>67534.5</v>
      </c>
      <c r="G931" s="6">
        <v>67597.72</v>
      </c>
      <c r="H931" s="6">
        <v>67547.100000000006</v>
      </c>
      <c r="I931" s="5">
        <v>45495</v>
      </c>
      <c r="J931" s="7">
        <f t="shared" si="86"/>
        <v>-1.4595091312576204E-4</v>
      </c>
      <c r="K931" s="5">
        <v>45495</v>
      </c>
      <c r="L931" s="8">
        <f t="shared" si="84"/>
        <v>9.3611413425732275E-4</v>
      </c>
      <c r="M931" s="5">
        <v>45495</v>
      </c>
      <c r="N931" s="9">
        <f t="shared" si="85"/>
        <v>7.9016322113156074E-4</v>
      </c>
      <c r="O931" s="5">
        <v>45495</v>
      </c>
      <c r="P931">
        <f t="shared" si="87"/>
        <v>0.99925115817515742</v>
      </c>
      <c r="Q931" s="6">
        <f t="shared" si="88"/>
        <v>1</v>
      </c>
      <c r="R931">
        <f t="shared" si="89"/>
        <v>-7.4912234693509324E-4</v>
      </c>
      <c r="T931" s="5">
        <v>45495</v>
      </c>
      <c r="U931" s="1">
        <v>-7.4912234693509324E-4</v>
      </c>
    </row>
    <row r="932" spans="3:21" x14ac:dyDescent="0.2">
      <c r="C932" s="5">
        <v>45496</v>
      </c>
      <c r="D932" s="6">
        <v>0.99994000000000005</v>
      </c>
      <c r="E932" s="6">
        <v>65944.13</v>
      </c>
      <c r="F932" s="6">
        <v>65954</v>
      </c>
      <c r="G932" s="6">
        <v>65894.850000000006</v>
      </c>
      <c r="H932" s="6">
        <v>65889.100000000006</v>
      </c>
      <c r="I932" s="5">
        <v>45496</v>
      </c>
      <c r="J932" s="7">
        <f t="shared" si="86"/>
        <v>-8.3449429084891762E-4</v>
      </c>
      <c r="K932" s="5">
        <v>45496</v>
      </c>
      <c r="L932" s="8">
        <f t="shared" si="84"/>
        <v>-8.9683718955626917E-4</v>
      </c>
      <c r="M932" s="5">
        <v>45496</v>
      </c>
      <c r="N932" s="9">
        <f t="shared" si="85"/>
        <v>-1.7313314804051868E-3</v>
      </c>
      <c r="O932" s="5">
        <v>45496</v>
      </c>
      <c r="P932">
        <f t="shared" si="87"/>
        <v>0.99991273976646133</v>
      </c>
      <c r="Q932" s="6">
        <f t="shared" si="88"/>
        <v>1.0000600036002159</v>
      </c>
      <c r="R932">
        <f t="shared" si="89"/>
        <v>-1.4726584100613609E-4</v>
      </c>
      <c r="T932" s="5">
        <v>45496</v>
      </c>
      <c r="U932" s="1">
        <v>-1.4726584100613609E-4</v>
      </c>
    </row>
    <row r="933" spans="3:21" x14ac:dyDescent="0.2">
      <c r="C933" s="5">
        <v>45497</v>
      </c>
      <c r="D933" s="6">
        <v>0.99990999999999997</v>
      </c>
      <c r="E933" s="6">
        <v>65367.040000000001</v>
      </c>
      <c r="F933" s="6">
        <v>65355.5</v>
      </c>
      <c r="G933" s="6">
        <v>65397.69</v>
      </c>
      <c r="H933" s="6">
        <v>65357.4</v>
      </c>
      <c r="I933" s="5">
        <v>45497</v>
      </c>
      <c r="J933" s="7">
        <f t="shared" si="86"/>
        <v>-1.4747493538026836E-4</v>
      </c>
      <c r="K933" s="5">
        <v>45497</v>
      </c>
      <c r="L933" s="8">
        <f t="shared" si="84"/>
        <v>6.4554628149126431E-4</v>
      </c>
      <c r="M933" s="5">
        <v>45497</v>
      </c>
      <c r="N933" s="9">
        <f t="shared" si="85"/>
        <v>4.9807134611099598E-4</v>
      </c>
      <c r="O933" s="5">
        <v>45497</v>
      </c>
      <c r="P933">
        <f t="shared" si="87"/>
        <v>0.99938392319361735</v>
      </c>
      <c r="Q933" s="6">
        <f t="shared" si="88"/>
        <v>1.0000900081007291</v>
      </c>
      <c r="R933">
        <f t="shared" si="89"/>
        <v>-7.062707099215952E-4</v>
      </c>
      <c r="T933" s="5">
        <v>45497</v>
      </c>
      <c r="U933" s="1">
        <v>-7.062707099215952E-4</v>
      </c>
    </row>
    <row r="934" spans="3:21" x14ac:dyDescent="0.2">
      <c r="C934" s="5">
        <v>45498</v>
      </c>
      <c r="D934" s="6">
        <v>0.99999000000000005</v>
      </c>
      <c r="E934" s="6">
        <v>65791.679999999993</v>
      </c>
      <c r="F934" s="6">
        <v>65807</v>
      </c>
      <c r="G934" s="6">
        <v>65845.7</v>
      </c>
      <c r="H934" s="6">
        <v>65763.100000000006</v>
      </c>
      <c r="I934" s="5">
        <v>45498</v>
      </c>
      <c r="J934" s="7">
        <f t="shared" si="86"/>
        <v>-4.3440143191338473E-4</v>
      </c>
      <c r="K934" s="5">
        <v>45498</v>
      </c>
      <c r="L934" s="8">
        <f t="shared" si="84"/>
        <v>5.880833345996184E-4</v>
      </c>
      <c r="M934" s="5">
        <v>45498</v>
      </c>
      <c r="N934" s="9">
        <f t="shared" si="85"/>
        <v>1.5368190268623367E-4</v>
      </c>
      <c r="O934" s="5">
        <v>45498</v>
      </c>
      <c r="P934">
        <f t="shared" si="87"/>
        <v>0.99874555210135219</v>
      </c>
      <c r="Q934" s="6">
        <f t="shared" si="88"/>
        <v>1.000010000100001</v>
      </c>
      <c r="R934">
        <f t="shared" si="89"/>
        <v>-1.2652354270492633E-3</v>
      </c>
      <c r="T934" s="5">
        <v>45498</v>
      </c>
      <c r="U934" s="1">
        <v>-1.2652354270492633E-3</v>
      </c>
    </row>
    <row r="935" spans="3:21" x14ac:dyDescent="0.2">
      <c r="C935" s="5">
        <v>45499</v>
      </c>
      <c r="D935" s="6">
        <v>1.0000100000000001</v>
      </c>
      <c r="E935" s="6">
        <v>67914.720000000001</v>
      </c>
      <c r="F935" s="6">
        <v>67910.5</v>
      </c>
      <c r="G935" s="6">
        <v>67899.89</v>
      </c>
      <c r="H935" s="6">
        <v>67872.899999999994</v>
      </c>
      <c r="I935" s="5">
        <v>45499</v>
      </c>
      <c r="J935" s="7">
        <f t="shared" si="86"/>
        <v>-6.157722508464584E-4</v>
      </c>
      <c r="K935" s="5">
        <v>45499</v>
      </c>
      <c r="L935" s="8">
        <f t="shared" si="84"/>
        <v>-1.5623504465436984E-4</v>
      </c>
      <c r="M935" s="5">
        <v>45499</v>
      </c>
      <c r="N935" s="9">
        <f t="shared" si="85"/>
        <v>-7.7200729550082824E-4</v>
      </c>
      <c r="O935" s="5">
        <v>45499</v>
      </c>
      <c r="P935">
        <f t="shared" si="87"/>
        <v>0.9996025030379283</v>
      </c>
      <c r="Q935" s="6">
        <f t="shared" si="88"/>
        <v>0.99999000009999894</v>
      </c>
      <c r="R935">
        <f t="shared" si="89"/>
        <v>-3.8757603493027291E-4</v>
      </c>
      <c r="T935" s="5">
        <v>45499</v>
      </c>
      <c r="U935" s="1">
        <v>-3.8757603493027291E-4</v>
      </c>
    </row>
    <row r="936" spans="3:21" x14ac:dyDescent="0.2">
      <c r="C936" s="5">
        <v>45500</v>
      </c>
      <c r="D936" s="6">
        <v>0.99999000000000005</v>
      </c>
      <c r="E936" s="6">
        <v>67911.78</v>
      </c>
      <c r="F936" s="6">
        <v>67894</v>
      </c>
      <c r="G936" s="6">
        <v>67833.97</v>
      </c>
      <c r="H936" s="6">
        <v>67898.3</v>
      </c>
      <c r="I936" s="5">
        <v>45500</v>
      </c>
      <c r="J936" s="7">
        <f t="shared" si="86"/>
        <v>-1.9849280934759663E-4</v>
      </c>
      <c r="K936" s="5">
        <v>45500</v>
      </c>
      <c r="L936" s="8">
        <f t="shared" si="84"/>
        <v>-8.8417238636696665E-4</v>
      </c>
      <c r="M936" s="5">
        <v>45500</v>
      </c>
      <c r="N936" s="9">
        <f t="shared" si="85"/>
        <v>-1.0826651957145633E-3</v>
      </c>
      <c r="O936" s="5">
        <v>45500</v>
      </c>
      <c r="P936">
        <f t="shared" si="87"/>
        <v>1.0009483449074261</v>
      </c>
      <c r="Q936" s="6">
        <f t="shared" si="88"/>
        <v>1.000010000100001</v>
      </c>
      <c r="R936">
        <f t="shared" si="89"/>
        <v>9.3789546249265236E-4</v>
      </c>
      <c r="T936" s="5">
        <v>45500</v>
      </c>
      <c r="U936" s="1">
        <v>9.3789546249265236E-4</v>
      </c>
    </row>
    <row r="937" spans="3:21" x14ac:dyDescent="0.2">
      <c r="C937" s="5">
        <v>45501</v>
      </c>
      <c r="D937" s="6">
        <v>0.99990999999999997</v>
      </c>
      <c r="E937" s="6">
        <v>68242.710000000006</v>
      </c>
      <c r="F937" s="6">
        <v>68271.5</v>
      </c>
      <c r="G937" s="6">
        <v>68254.47</v>
      </c>
      <c r="H937" s="6">
        <v>68233.7</v>
      </c>
      <c r="I937" s="5">
        <v>45501</v>
      </c>
      <c r="J937" s="7">
        <f t="shared" si="86"/>
        <v>-1.3202875442679975E-4</v>
      </c>
      <c r="K937" s="5">
        <v>45501</v>
      </c>
      <c r="L937" s="8">
        <f t="shared" si="84"/>
        <v>-2.4944522970784053E-4</v>
      </c>
      <c r="M937" s="5">
        <v>45501</v>
      </c>
      <c r="N937" s="9">
        <f t="shared" si="85"/>
        <v>-3.8147398413464027E-4</v>
      </c>
      <c r="O937" s="5">
        <v>45501</v>
      </c>
      <c r="P937">
        <f t="shared" si="87"/>
        <v>0.99969569758581367</v>
      </c>
      <c r="Q937" s="6">
        <f t="shared" si="88"/>
        <v>1.0000900081007291</v>
      </c>
      <c r="R937">
        <f t="shared" si="89"/>
        <v>-3.943527738039674E-4</v>
      </c>
      <c r="T937" s="5">
        <v>45501</v>
      </c>
      <c r="U937" s="1">
        <v>-3.943527738039674E-4</v>
      </c>
    </row>
    <row r="938" spans="3:21" x14ac:dyDescent="0.2">
      <c r="C938" s="5">
        <v>45502</v>
      </c>
      <c r="D938" s="6">
        <v>0.99997999999999998</v>
      </c>
      <c r="E938" s="6">
        <v>66775.88</v>
      </c>
      <c r="F938" s="6">
        <v>66768</v>
      </c>
      <c r="G938" s="6">
        <v>66810.13</v>
      </c>
      <c r="H938" s="6">
        <v>66782.399999999994</v>
      </c>
      <c r="I938" s="5">
        <v>45502</v>
      </c>
      <c r="J938" s="7">
        <f t="shared" si="86"/>
        <v>9.7640046076360535E-5</v>
      </c>
      <c r="K938" s="5">
        <v>45502</v>
      </c>
      <c r="L938" s="8">
        <f t="shared" si="84"/>
        <v>6.3099089384143089E-4</v>
      </c>
      <c r="M938" s="5">
        <v>45502</v>
      </c>
      <c r="N938" s="9">
        <f t="shared" si="85"/>
        <v>7.2863093991779146E-4</v>
      </c>
      <c r="O938" s="5">
        <v>45502</v>
      </c>
      <c r="P938">
        <f t="shared" si="87"/>
        <v>0.99958494318152047</v>
      </c>
      <c r="Q938" s="6">
        <f t="shared" si="88"/>
        <v>1.0000200004000079</v>
      </c>
      <c r="R938">
        <f t="shared" si="89"/>
        <v>-4.3514317840509281E-4</v>
      </c>
      <c r="T938" s="5">
        <v>45502</v>
      </c>
      <c r="U938" s="1">
        <v>-4.3514317840509281E-4</v>
      </c>
    </row>
    <row r="939" spans="3:21" x14ac:dyDescent="0.2">
      <c r="C939" s="5">
        <v>45503</v>
      </c>
      <c r="D939" s="6">
        <v>0.99990000000000001</v>
      </c>
      <c r="E939" s="6">
        <v>66174.48</v>
      </c>
      <c r="F939" s="6">
        <v>66195</v>
      </c>
      <c r="G939" s="6">
        <v>66252.72</v>
      </c>
      <c r="H939" s="6">
        <v>66155.600000000006</v>
      </c>
      <c r="I939" s="5">
        <v>45503</v>
      </c>
      <c r="J939" s="7">
        <f t="shared" si="86"/>
        <v>-2.8530635979293084E-4</v>
      </c>
      <c r="K939" s="5">
        <v>45503</v>
      </c>
      <c r="L939" s="8">
        <f t="shared" si="84"/>
        <v>8.7196918196240142E-4</v>
      </c>
      <c r="M939" s="5">
        <v>45503</v>
      </c>
      <c r="N939" s="9">
        <f t="shared" si="85"/>
        <v>5.8666282216947058E-4</v>
      </c>
      <c r="O939" s="5">
        <v>45503</v>
      </c>
      <c r="P939">
        <f t="shared" si="87"/>
        <v>0.99853409792081005</v>
      </c>
      <c r="Q939" s="6">
        <f t="shared" si="88"/>
        <v>1.000100010001</v>
      </c>
      <c r="R939">
        <f t="shared" si="89"/>
        <v>-1.5669825651423623E-3</v>
      </c>
      <c r="T939" s="5">
        <v>45503</v>
      </c>
      <c r="U939" s="1">
        <v>-1.5669825651423623E-3</v>
      </c>
    </row>
    <row r="940" spans="3:21" x14ac:dyDescent="0.2">
      <c r="C940" s="5">
        <v>45504</v>
      </c>
      <c r="D940" s="6">
        <v>0.99990999999999997</v>
      </c>
      <c r="E940" s="6">
        <v>64609.65</v>
      </c>
      <c r="F940" s="6">
        <v>64610</v>
      </c>
      <c r="G940" s="6">
        <v>64671.33</v>
      </c>
      <c r="H940" s="6">
        <v>64561.7</v>
      </c>
      <c r="I940" s="5">
        <v>45504</v>
      </c>
      <c r="J940" s="7">
        <f t="shared" si="86"/>
        <v>-7.421491990748188E-4</v>
      </c>
      <c r="K940" s="5">
        <v>45504</v>
      </c>
      <c r="L940" s="8">
        <f t="shared" si="84"/>
        <v>9.4923386472684954E-4</v>
      </c>
      <c r="M940" s="5">
        <v>45504</v>
      </c>
      <c r="N940" s="9">
        <f t="shared" si="85"/>
        <v>2.0708466565203074E-4</v>
      </c>
      <c r="O940" s="5">
        <v>45504</v>
      </c>
      <c r="P940">
        <f t="shared" si="87"/>
        <v>0.99830481296735352</v>
      </c>
      <c r="Q940" s="6">
        <f t="shared" si="88"/>
        <v>1.0000900081007291</v>
      </c>
      <c r="R940">
        <f t="shared" si="89"/>
        <v>-1.7866295382911706E-3</v>
      </c>
      <c r="T940" s="5">
        <v>45504</v>
      </c>
      <c r="U940" s="1">
        <v>-1.7866295382911706E-3</v>
      </c>
    </row>
    <row r="941" spans="3:21" x14ac:dyDescent="0.2">
      <c r="C941" s="5">
        <v>45505</v>
      </c>
      <c r="D941" s="6">
        <v>0.99990000000000001</v>
      </c>
      <c r="E941" s="6">
        <v>65295.199999999997</v>
      </c>
      <c r="F941" s="6">
        <v>65305.5</v>
      </c>
      <c r="G941" s="6">
        <v>65312.69</v>
      </c>
      <c r="H941" s="6">
        <v>65307.3</v>
      </c>
      <c r="I941" s="5">
        <v>45505</v>
      </c>
      <c r="J941" s="7">
        <f t="shared" si="86"/>
        <v>1.8531224347280998E-4</v>
      </c>
      <c r="K941" s="5">
        <v>45505</v>
      </c>
      <c r="L941" s="8">
        <f t="shared" si="84"/>
        <v>1.1009792437087731E-4</v>
      </c>
      <c r="M941" s="5">
        <v>45505</v>
      </c>
      <c r="N941" s="9">
        <f t="shared" si="85"/>
        <v>2.9541016784368726E-4</v>
      </c>
      <c r="O941" s="5">
        <v>45505</v>
      </c>
      <c r="P941">
        <f t="shared" si="87"/>
        <v>0.99991747392428643</v>
      </c>
      <c r="Q941" s="6">
        <f t="shared" si="88"/>
        <v>1.000100010001</v>
      </c>
      <c r="R941">
        <f t="shared" si="89"/>
        <v>-1.8253448151084247E-4</v>
      </c>
      <c r="T941" s="5">
        <v>45505</v>
      </c>
      <c r="U941" s="1">
        <v>-1.8253448151084247E-4</v>
      </c>
    </row>
    <row r="942" spans="3:21" x14ac:dyDescent="0.2">
      <c r="C942" s="5">
        <v>45506</v>
      </c>
      <c r="D942" s="6">
        <v>0.99999000000000005</v>
      </c>
      <c r="E942" s="6">
        <v>61424.25</v>
      </c>
      <c r="F942" s="6">
        <v>61379.5</v>
      </c>
      <c r="G942" s="6">
        <v>61786.38</v>
      </c>
      <c r="H942" s="6">
        <v>61384.6</v>
      </c>
      <c r="I942" s="5">
        <v>45506</v>
      </c>
      <c r="J942" s="7">
        <f t="shared" si="86"/>
        <v>-6.4551052719408794E-4</v>
      </c>
      <c r="K942" s="5">
        <v>45506</v>
      </c>
      <c r="L942" s="8">
        <f t="shared" si="84"/>
        <v>6.6289233375963858E-3</v>
      </c>
      <c r="M942" s="5">
        <v>45506</v>
      </c>
      <c r="N942" s="9">
        <f t="shared" si="85"/>
        <v>5.9834128104022978E-3</v>
      </c>
      <c r="O942" s="5">
        <v>45506</v>
      </c>
      <c r="P942">
        <f t="shared" si="87"/>
        <v>0.99349727237620977</v>
      </c>
      <c r="Q942" s="6">
        <f t="shared" si="88"/>
        <v>1.000010000100001</v>
      </c>
      <c r="R942">
        <f t="shared" si="89"/>
        <v>-6.5339625133755599E-3</v>
      </c>
      <c r="T942" s="5">
        <v>45506</v>
      </c>
      <c r="U942" s="1">
        <v>-6.5339625133755599E-3</v>
      </c>
    </row>
    <row r="943" spans="3:21" x14ac:dyDescent="0.2">
      <c r="C943" s="5">
        <v>45507</v>
      </c>
      <c r="D943" s="6">
        <v>0.99988999999999995</v>
      </c>
      <c r="E943" s="6">
        <v>60672.29</v>
      </c>
      <c r="F943" s="6">
        <v>60674</v>
      </c>
      <c r="G943" s="6">
        <v>60992.21</v>
      </c>
      <c r="H943" s="6">
        <v>60639</v>
      </c>
      <c r="I943" s="5">
        <v>45507</v>
      </c>
      <c r="J943" s="7">
        <f t="shared" si="86"/>
        <v>-5.4868540481990832E-4</v>
      </c>
      <c r="K943" s="5">
        <v>45507</v>
      </c>
      <c r="L943" s="8">
        <f t="shared" si="84"/>
        <v>5.2445858192965537E-3</v>
      </c>
      <c r="M943" s="5">
        <v>45507</v>
      </c>
      <c r="N943" s="9">
        <f t="shared" si="85"/>
        <v>4.6959004144766451E-3</v>
      </c>
      <c r="O943" s="5">
        <v>45507</v>
      </c>
      <c r="P943">
        <f t="shared" si="87"/>
        <v>0.99420893258335774</v>
      </c>
      <c r="Q943" s="6">
        <f t="shared" si="88"/>
        <v>1.0001100121013311</v>
      </c>
      <c r="R943">
        <f t="shared" si="89"/>
        <v>-5.9179067177842692E-3</v>
      </c>
      <c r="T943" s="5">
        <v>45507</v>
      </c>
      <c r="U943" s="1">
        <v>-5.9179067177842692E-3</v>
      </c>
    </row>
    <row r="944" spans="3:21" x14ac:dyDescent="0.2">
      <c r="C944" s="5">
        <v>45508</v>
      </c>
      <c r="D944" s="6">
        <v>0.99988999999999995</v>
      </c>
      <c r="E944" s="6">
        <v>58146.52</v>
      </c>
      <c r="F944" s="6">
        <v>58122</v>
      </c>
      <c r="G944" s="6">
        <v>58301.5</v>
      </c>
      <c r="H944" s="6">
        <v>58111.9</v>
      </c>
      <c r="I944" s="5">
        <v>45508</v>
      </c>
      <c r="J944" s="7">
        <f t="shared" si="86"/>
        <v>-5.9539246716734456E-4</v>
      </c>
      <c r="K944" s="5">
        <v>45508</v>
      </c>
      <c r="L944" s="8">
        <f t="shared" si="84"/>
        <v>3.0883314407625338E-3</v>
      </c>
      <c r="M944" s="5">
        <v>45508</v>
      </c>
      <c r="N944" s="9">
        <f t="shared" si="85"/>
        <v>2.4929389735951894E-3</v>
      </c>
      <c r="O944" s="5">
        <v>45508</v>
      </c>
      <c r="P944">
        <f t="shared" si="87"/>
        <v>0.99674793958989039</v>
      </c>
      <c r="Q944" s="6">
        <f t="shared" si="88"/>
        <v>1.0001100121013311</v>
      </c>
      <c r="R944">
        <f t="shared" si="89"/>
        <v>-3.3673659015293501E-3</v>
      </c>
      <c r="T944" s="5">
        <v>45508</v>
      </c>
      <c r="U944" s="1">
        <v>-3.3673659015293501E-3</v>
      </c>
    </row>
    <row r="945" spans="3:21" x14ac:dyDescent="0.2">
      <c r="C945" s="5">
        <v>45509</v>
      </c>
      <c r="D945" s="6">
        <v>0.99990000000000001</v>
      </c>
      <c r="E945" s="6">
        <v>54040.01</v>
      </c>
      <c r="F945" s="6">
        <v>54015</v>
      </c>
      <c r="G945" s="6">
        <v>54274.19</v>
      </c>
      <c r="H945" s="6">
        <v>53997.5</v>
      </c>
      <c r="I945" s="5">
        <v>45509</v>
      </c>
      <c r="J945" s="7">
        <f t="shared" si="86"/>
        <v>-7.8663938071073703E-4</v>
      </c>
      <c r="K945" s="5">
        <v>45509</v>
      </c>
      <c r="L945" s="8">
        <f t="shared" si="84"/>
        <v>4.7984819031750871E-3</v>
      </c>
      <c r="M945" s="5">
        <v>45509</v>
      </c>
      <c r="N945" s="9">
        <f t="shared" si="85"/>
        <v>4.0118425224643503E-3</v>
      </c>
      <c r="O945" s="5">
        <v>45509</v>
      </c>
      <c r="P945">
        <f t="shared" si="87"/>
        <v>0.99490199669492996</v>
      </c>
      <c r="Q945" s="6">
        <f t="shared" si="88"/>
        <v>1.000100010001</v>
      </c>
      <c r="R945">
        <f t="shared" si="89"/>
        <v>-5.2110474588957833E-3</v>
      </c>
      <c r="T945" s="5">
        <v>45509</v>
      </c>
      <c r="U945" s="1">
        <v>-5.2110474588957833E-3</v>
      </c>
    </row>
    <row r="946" spans="3:21" x14ac:dyDescent="0.2">
      <c r="C946" s="5">
        <v>45510</v>
      </c>
      <c r="D946" s="6">
        <v>0.99990999999999997</v>
      </c>
      <c r="E946" s="6">
        <v>56044.73</v>
      </c>
      <c r="F946" s="6">
        <v>56029.5</v>
      </c>
      <c r="G946" s="6">
        <v>56172.639999999999</v>
      </c>
      <c r="H946" s="6">
        <v>56004.9</v>
      </c>
      <c r="I946" s="5">
        <v>45510</v>
      </c>
      <c r="J946" s="7">
        <f t="shared" si="86"/>
        <v>-7.1068234247897608E-4</v>
      </c>
      <c r="K946" s="5">
        <v>45510</v>
      </c>
      <c r="L946" s="8">
        <f t="shared" si="84"/>
        <v>2.5547256356026633E-3</v>
      </c>
      <c r="M946" s="5">
        <v>45510</v>
      </c>
      <c r="N946" s="9">
        <f t="shared" si="85"/>
        <v>1.8440432931236873E-3</v>
      </c>
      <c r="O946" s="5">
        <v>45510</v>
      </c>
      <c r="P946">
        <f t="shared" si="87"/>
        <v>0.99701384873490018</v>
      </c>
      <c r="Q946" s="6">
        <f t="shared" si="88"/>
        <v>1.0000900081007291</v>
      </c>
      <c r="R946">
        <f t="shared" si="89"/>
        <v>-3.0806227608940894E-3</v>
      </c>
      <c r="T946" s="5">
        <v>45510</v>
      </c>
      <c r="U946" s="1">
        <v>-3.0806227608940894E-3</v>
      </c>
    </row>
    <row r="947" spans="3:21" x14ac:dyDescent="0.2">
      <c r="C947" s="5">
        <v>45511</v>
      </c>
      <c r="D947" s="6">
        <v>0.99985000000000002</v>
      </c>
      <c r="E947" s="6">
        <v>55152.94</v>
      </c>
      <c r="F947" s="6">
        <v>55129.5</v>
      </c>
      <c r="G947" s="6">
        <v>55144.05</v>
      </c>
      <c r="H947" s="6">
        <v>55000</v>
      </c>
      <c r="I947" s="5">
        <v>45511</v>
      </c>
      <c r="J947" s="7">
        <f t="shared" si="86"/>
        <v>-2.7730162707555088E-3</v>
      </c>
      <c r="K947" s="5">
        <v>45511</v>
      </c>
      <c r="L947" s="8">
        <f t="shared" si="84"/>
        <v>2.6392403341229123E-4</v>
      </c>
      <c r="M947" s="5">
        <v>45511</v>
      </c>
      <c r="N947" s="9">
        <f t="shared" si="85"/>
        <v>-2.5090922373432177E-3</v>
      </c>
      <c r="O947" s="5">
        <v>45511</v>
      </c>
      <c r="P947">
        <f t="shared" si="87"/>
        <v>0.99738775080901743</v>
      </c>
      <c r="Q947" s="6">
        <f t="shared" si="88"/>
        <v>1.0001500225033755</v>
      </c>
      <c r="R947">
        <f t="shared" si="89"/>
        <v>-2.7656783185530912E-3</v>
      </c>
      <c r="T947" s="5">
        <v>45511</v>
      </c>
      <c r="U947" s="1">
        <v>-2.7656783185530912E-3</v>
      </c>
    </row>
    <row r="948" spans="3:21" x14ac:dyDescent="0.2">
      <c r="C948" s="5">
        <v>45512</v>
      </c>
      <c r="D948" s="6">
        <v>0.99995999999999996</v>
      </c>
      <c r="E948" s="6">
        <v>61700.15</v>
      </c>
      <c r="F948" s="6">
        <v>61672</v>
      </c>
      <c r="G948" s="6">
        <v>61763.25</v>
      </c>
      <c r="H948" s="6">
        <v>61668.1</v>
      </c>
      <c r="I948" s="5">
        <v>45512</v>
      </c>
      <c r="J948" s="7">
        <f t="shared" si="86"/>
        <v>-5.1944768367666707E-4</v>
      </c>
      <c r="K948" s="5">
        <v>45512</v>
      </c>
      <c r="L948" s="8">
        <f t="shared" si="84"/>
        <v>1.4796017641717472E-3</v>
      </c>
      <c r="M948" s="5">
        <v>45512</v>
      </c>
      <c r="N948" s="9">
        <f t="shared" si="85"/>
        <v>9.6015408049508017E-4</v>
      </c>
      <c r="O948" s="5">
        <v>45512</v>
      </c>
      <c r="P948">
        <f t="shared" si="87"/>
        <v>0.99845943987727326</v>
      </c>
      <c r="Q948" s="6">
        <f t="shared" si="88"/>
        <v>1.0000400016000641</v>
      </c>
      <c r="R948">
        <f t="shared" si="89"/>
        <v>-1.5817488056541571E-3</v>
      </c>
      <c r="T948" s="5">
        <v>45512</v>
      </c>
      <c r="U948" s="1">
        <v>-1.5817488056541571E-3</v>
      </c>
    </row>
    <row r="949" spans="3:21" x14ac:dyDescent="0.2">
      <c r="C949" s="5">
        <v>45513</v>
      </c>
      <c r="D949" s="6">
        <v>0.99992999999999999</v>
      </c>
      <c r="E949" s="6">
        <v>60866.71</v>
      </c>
      <c r="F949" s="6">
        <v>60845</v>
      </c>
      <c r="G949" s="6">
        <v>60932.81</v>
      </c>
      <c r="H949" s="6">
        <v>60827</v>
      </c>
      <c r="I949" s="5">
        <v>45513</v>
      </c>
      <c r="J949" s="7">
        <f t="shared" si="86"/>
        <v>-6.5240917407888689E-4</v>
      </c>
      <c r="K949" s="5">
        <v>45513</v>
      </c>
      <c r="L949" s="8">
        <f t="shared" si="84"/>
        <v>1.4431752814528338E-3</v>
      </c>
      <c r="M949" s="5">
        <v>45513</v>
      </c>
      <c r="N949" s="9">
        <f t="shared" si="85"/>
        <v>7.907661073739469E-4</v>
      </c>
      <c r="O949" s="5">
        <v>45513</v>
      </c>
      <c r="P949">
        <f t="shared" si="87"/>
        <v>0.99826349712084517</v>
      </c>
      <c r="Q949" s="6">
        <f t="shared" si="88"/>
        <v>1.000070004900343</v>
      </c>
      <c r="R949">
        <f t="shared" si="89"/>
        <v>-1.8080147981115815E-3</v>
      </c>
      <c r="T949" s="5">
        <v>45513</v>
      </c>
      <c r="U949" s="1">
        <v>-1.8080147981115815E-3</v>
      </c>
    </row>
    <row r="950" spans="3:21" x14ac:dyDescent="0.2">
      <c r="C950" s="5">
        <v>45514</v>
      </c>
      <c r="D950" s="6">
        <v>0.99985999999999997</v>
      </c>
      <c r="E950" s="6">
        <v>60935.75</v>
      </c>
      <c r="F950" s="6">
        <v>60906</v>
      </c>
      <c r="G950" s="6">
        <v>61049.279999999999</v>
      </c>
      <c r="H950" s="6">
        <v>60894.5</v>
      </c>
      <c r="I950" s="5">
        <v>45514</v>
      </c>
      <c r="J950" s="7">
        <f t="shared" si="86"/>
        <v>-6.7694251732357442E-4</v>
      </c>
      <c r="K950" s="5">
        <v>45514</v>
      </c>
      <c r="L950" s="8">
        <f t="shared" si="84"/>
        <v>2.3524775884149153E-3</v>
      </c>
      <c r="M950" s="5">
        <v>45514</v>
      </c>
      <c r="N950" s="9">
        <f t="shared" si="85"/>
        <v>1.6755350710913408E-3</v>
      </c>
      <c r="O950" s="5">
        <v>45514</v>
      </c>
      <c r="P950">
        <f t="shared" si="87"/>
        <v>0.99746467116401705</v>
      </c>
      <c r="Q950" s="6">
        <f t="shared" si="88"/>
        <v>1.0001400196027443</v>
      </c>
      <c r="R950">
        <f t="shared" si="89"/>
        <v>-2.6785580256749658E-3</v>
      </c>
      <c r="T950" s="5">
        <v>45514</v>
      </c>
      <c r="U950" s="1">
        <v>-2.6785580256749658E-3</v>
      </c>
    </row>
    <row r="951" spans="3:21" x14ac:dyDescent="0.2">
      <c r="C951" s="5">
        <v>45515</v>
      </c>
      <c r="D951" s="6">
        <v>0.99994000000000005</v>
      </c>
      <c r="E951" s="6">
        <v>58726.080000000002</v>
      </c>
      <c r="F951" s="6">
        <v>58706</v>
      </c>
      <c r="G951" s="6">
        <v>58775.97</v>
      </c>
      <c r="H951" s="6">
        <v>58685.5</v>
      </c>
      <c r="I951" s="5">
        <v>45515</v>
      </c>
      <c r="J951" s="7">
        <f t="shared" si="86"/>
        <v>-6.9100474610261312E-4</v>
      </c>
      <c r="K951" s="5">
        <v>45515</v>
      </c>
      <c r="L951" s="8">
        <f t="shared" si="84"/>
        <v>1.1918713589752522E-3</v>
      </c>
      <c r="M951" s="5">
        <v>45515</v>
      </c>
      <c r="N951" s="9">
        <f t="shared" si="85"/>
        <v>5.0086661287263913E-4</v>
      </c>
      <c r="O951" s="5">
        <v>45515</v>
      </c>
      <c r="P951">
        <f t="shared" si="87"/>
        <v>0.99846076551352536</v>
      </c>
      <c r="Q951" s="6">
        <f t="shared" si="88"/>
        <v>1.0000600036002159</v>
      </c>
      <c r="R951">
        <f t="shared" si="89"/>
        <v>-1.6004221249604766E-3</v>
      </c>
      <c r="T951" s="5">
        <v>45515</v>
      </c>
      <c r="U951" s="1">
        <v>-1.6004221249604766E-3</v>
      </c>
    </row>
    <row r="952" spans="3:21" x14ac:dyDescent="0.2">
      <c r="C952" s="5">
        <v>45516</v>
      </c>
      <c r="D952" s="6">
        <v>0.99997999999999998</v>
      </c>
      <c r="E952" s="6">
        <v>59360.79</v>
      </c>
      <c r="F952" s="6">
        <v>59341</v>
      </c>
      <c r="G952" s="6">
        <v>59410.59</v>
      </c>
      <c r="H952" s="6">
        <v>59320.3</v>
      </c>
      <c r="I952" s="5">
        <v>45516</v>
      </c>
      <c r="J952" s="7">
        <f t="shared" si="86"/>
        <v>-6.8210008660595596E-4</v>
      </c>
      <c r="K952" s="5">
        <v>45516</v>
      </c>
      <c r="L952" s="8">
        <f t="shared" si="84"/>
        <v>1.172713638125352E-3</v>
      </c>
      <c r="M952" s="5">
        <v>45516</v>
      </c>
      <c r="N952" s="9">
        <f t="shared" si="85"/>
        <v>4.90613551519396E-4</v>
      </c>
      <c r="O952" s="5">
        <v>45516</v>
      </c>
      <c r="P952">
        <f t="shared" si="87"/>
        <v>0.99848023727756285</v>
      </c>
      <c r="Q952" s="6">
        <f t="shared" si="88"/>
        <v>1.0000200004000079</v>
      </c>
      <c r="R952">
        <f t="shared" si="89"/>
        <v>-1.5409189331958241E-3</v>
      </c>
      <c r="T952" s="5">
        <v>45516</v>
      </c>
      <c r="U952" s="1">
        <v>-1.5409189331958241E-3</v>
      </c>
    </row>
    <row r="953" spans="3:21" x14ac:dyDescent="0.2">
      <c r="C953" s="5">
        <v>45517</v>
      </c>
      <c r="D953" s="6">
        <v>0.99999000000000005</v>
      </c>
      <c r="E953" s="6">
        <v>60604.99</v>
      </c>
      <c r="F953" s="6">
        <v>60579.5</v>
      </c>
      <c r="G953" s="6">
        <v>60658.15</v>
      </c>
      <c r="H953" s="6">
        <v>60577.2</v>
      </c>
      <c r="I953" s="5">
        <v>45517</v>
      </c>
      <c r="J953" s="7">
        <f t="shared" si="86"/>
        <v>-4.5854310016387882E-4</v>
      </c>
      <c r="K953" s="5">
        <v>45517</v>
      </c>
      <c r="L953" s="8">
        <f t="shared" si="84"/>
        <v>1.2982939773355914E-3</v>
      </c>
      <c r="M953" s="5">
        <v>45517</v>
      </c>
      <c r="N953" s="9">
        <f t="shared" si="85"/>
        <v>8.3975087717171265E-4</v>
      </c>
      <c r="O953" s="5">
        <v>45517</v>
      </c>
      <c r="P953">
        <f t="shared" si="87"/>
        <v>0.99866547199345834</v>
      </c>
      <c r="Q953" s="6">
        <f t="shared" si="88"/>
        <v>1.000010000100001</v>
      </c>
      <c r="R953">
        <f t="shared" si="89"/>
        <v>-1.34541933208506E-3</v>
      </c>
      <c r="T953" s="5">
        <v>45517</v>
      </c>
      <c r="U953" s="1">
        <v>-1.34541933208506E-3</v>
      </c>
    </row>
    <row r="954" spans="3:21" x14ac:dyDescent="0.2">
      <c r="C954" s="5">
        <v>45518</v>
      </c>
      <c r="D954" s="6">
        <v>1.0000100000000001</v>
      </c>
      <c r="E954" s="6">
        <v>58698.16</v>
      </c>
      <c r="F954" s="6">
        <v>58672</v>
      </c>
      <c r="G954" s="6">
        <v>58750.79</v>
      </c>
      <c r="H954" s="6">
        <v>58651</v>
      </c>
      <c r="I954" s="5">
        <v>45518</v>
      </c>
      <c r="J954" s="7">
        <f t="shared" si="86"/>
        <v>-8.0343233927611174E-4</v>
      </c>
      <c r="K954" s="5">
        <v>45518</v>
      </c>
      <c r="L954" s="8">
        <f t="shared" si="84"/>
        <v>1.3428892827924883E-3</v>
      </c>
      <c r="M954" s="5">
        <v>45518</v>
      </c>
      <c r="N954" s="9">
        <f t="shared" si="85"/>
        <v>5.3945694351637658E-4</v>
      </c>
      <c r="O954" s="5">
        <v>45518</v>
      </c>
      <c r="P954">
        <f t="shared" si="87"/>
        <v>0.99830146964832289</v>
      </c>
      <c r="Q954" s="6">
        <f t="shared" si="88"/>
        <v>0.99999000009999894</v>
      </c>
      <c r="R954">
        <f t="shared" si="89"/>
        <v>-1.6899745398611724E-3</v>
      </c>
      <c r="T954" s="5">
        <v>45518</v>
      </c>
      <c r="U954" s="1">
        <v>-1.6899745398611724E-3</v>
      </c>
    </row>
    <row r="955" spans="3:21" x14ac:dyDescent="0.2">
      <c r="C955" s="5">
        <v>45519</v>
      </c>
      <c r="D955" s="6">
        <v>0.99999000000000005</v>
      </c>
      <c r="E955" s="6">
        <v>57552.3</v>
      </c>
      <c r="F955" s="6">
        <v>57509</v>
      </c>
      <c r="G955" s="6">
        <v>57583.82</v>
      </c>
      <c r="H955" s="6">
        <v>57521.2</v>
      </c>
      <c r="I955" s="5">
        <v>45519</v>
      </c>
      <c r="J955" s="7">
        <f t="shared" si="86"/>
        <v>-5.4037805613339209E-4</v>
      </c>
      <c r="K955" s="5">
        <v>45519</v>
      </c>
      <c r="L955" s="8">
        <f t="shared" si="84"/>
        <v>1.3010137543688763E-3</v>
      </c>
      <c r="M955" s="5">
        <v>45519</v>
      </c>
      <c r="N955" s="9">
        <f t="shared" si="85"/>
        <v>7.6063569823548425E-4</v>
      </c>
      <c r="O955" s="5">
        <v>45519</v>
      </c>
      <c r="P955">
        <f t="shared" si="87"/>
        <v>0.99891254175217969</v>
      </c>
      <c r="Q955" s="6">
        <f t="shared" si="88"/>
        <v>1.000010000100001</v>
      </c>
      <c r="R955">
        <f t="shared" si="89"/>
        <v>-1.0980500095544247E-3</v>
      </c>
      <c r="T955" s="5">
        <v>45519</v>
      </c>
      <c r="U955" s="1">
        <v>-1.0980500095544247E-3</v>
      </c>
    </row>
    <row r="956" spans="3:21" x14ac:dyDescent="0.2">
      <c r="C956" s="5">
        <v>45520</v>
      </c>
      <c r="D956" s="6">
        <v>0.99994000000000005</v>
      </c>
      <c r="E956" s="6">
        <v>58893.5</v>
      </c>
      <c r="F956" s="6">
        <v>58882</v>
      </c>
      <c r="G956" s="6">
        <v>58916.33</v>
      </c>
      <c r="H956" s="6">
        <v>58861.4</v>
      </c>
      <c r="I956" s="5">
        <v>45520</v>
      </c>
      <c r="J956" s="7">
        <f t="shared" si="86"/>
        <v>-5.4505166104915732E-4</v>
      </c>
      <c r="K956" s="5">
        <v>45520</v>
      </c>
      <c r="L956" s="8">
        <f t="shared" si="84"/>
        <v>5.8303046771512087E-4</v>
      </c>
      <c r="M956" s="5">
        <v>45520</v>
      </c>
      <c r="N956" s="9">
        <f t="shared" si="85"/>
        <v>3.7978806665963554E-5</v>
      </c>
      <c r="O956" s="5">
        <v>45520</v>
      </c>
      <c r="P956">
        <f t="shared" si="87"/>
        <v>0.99906766086753873</v>
      </c>
      <c r="Q956" s="6">
        <f t="shared" si="88"/>
        <v>1.0000600036002159</v>
      </c>
      <c r="R956">
        <f t="shared" si="89"/>
        <v>-9.9277583099835823E-4</v>
      </c>
      <c r="T956" s="5">
        <v>45520</v>
      </c>
      <c r="U956" s="1">
        <v>-9.9277583099835823E-4</v>
      </c>
    </row>
    <row r="957" spans="3:21" x14ac:dyDescent="0.2">
      <c r="C957" s="5">
        <v>45521</v>
      </c>
      <c r="D957" s="6">
        <v>0.99992999999999999</v>
      </c>
      <c r="E957" s="6">
        <v>59504.75</v>
      </c>
      <c r="F957" s="6">
        <v>59482.5</v>
      </c>
      <c r="G957" s="6">
        <v>59623.06</v>
      </c>
      <c r="H957" s="6">
        <v>59478.400000000001</v>
      </c>
      <c r="I957" s="5">
        <v>45521</v>
      </c>
      <c r="J957" s="7">
        <f t="shared" si="86"/>
        <v>-4.428217915376259E-4</v>
      </c>
      <c r="K957" s="5">
        <v>45521</v>
      </c>
      <c r="L957" s="8">
        <f t="shared" si="84"/>
        <v>2.363047955280926E-3</v>
      </c>
      <c r="M957" s="5">
        <v>45521</v>
      </c>
      <c r="N957" s="9">
        <f t="shared" si="85"/>
        <v>1.9202261637433001E-3</v>
      </c>
      <c r="O957" s="5">
        <v>45521</v>
      </c>
      <c r="P957">
        <f t="shared" si="87"/>
        <v>0.99757375753609434</v>
      </c>
      <c r="Q957" s="6">
        <f t="shared" si="88"/>
        <v>1.000070004900343</v>
      </c>
      <c r="R957">
        <f t="shared" si="89"/>
        <v>-2.4991930097622655E-3</v>
      </c>
      <c r="T957" s="5">
        <v>45521</v>
      </c>
      <c r="U957" s="1">
        <v>-2.4991930097622655E-3</v>
      </c>
    </row>
    <row r="958" spans="3:21" x14ac:dyDescent="0.2">
      <c r="C958" s="5">
        <v>45522</v>
      </c>
      <c r="D958" s="6">
        <v>0.99990000000000001</v>
      </c>
      <c r="E958" s="6">
        <v>58441.95</v>
      </c>
      <c r="F958" s="6">
        <v>58392</v>
      </c>
      <c r="G958" s="6">
        <v>58492.4</v>
      </c>
      <c r="H958" s="6">
        <v>58389.9</v>
      </c>
      <c r="I958" s="5">
        <v>45522</v>
      </c>
      <c r="J958" s="7">
        <f t="shared" si="86"/>
        <v>-8.9062736612990565E-4</v>
      </c>
      <c r="K958" s="5">
        <v>45522</v>
      </c>
      <c r="L958" s="8">
        <f t="shared" si="84"/>
        <v>1.7194136183039021E-3</v>
      </c>
      <c r="M958" s="5">
        <v>45522</v>
      </c>
      <c r="N958" s="9">
        <f t="shared" si="85"/>
        <v>8.287862521739965E-4</v>
      </c>
      <c r="O958" s="5">
        <v>45522</v>
      </c>
      <c r="P958">
        <f t="shared" si="87"/>
        <v>0.99824763559026475</v>
      </c>
      <c r="Q958" s="6">
        <f t="shared" si="88"/>
        <v>1.000100010001</v>
      </c>
      <c r="R958">
        <f t="shared" si="89"/>
        <v>-1.853906596650661E-3</v>
      </c>
      <c r="T958" s="5">
        <v>45522</v>
      </c>
      <c r="U958" s="1">
        <v>-1.853906596650661E-3</v>
      </c>
    </row>
    <row r="959" spans="3:21" x14ac:dyDescent="0.2">
      <c r="C959" s="5">
        <v>45523</v>
      </c>
      <c r="D959" s="6">
        <v>0.99994000000000005</v>
      </c>
      <c r="E959" s="6">
        <v>59461.89</v>
      </c>
      <c r="F959" s="6">
        <v>59431.5</v>
      </c>
      <c r="G959" s="6">
        <v>59501.919999999998</v>
      </c>
      <c r="H959" s="6">
        <v>59452.6</v>
      </c>
      <c r="I959" s="5">
        <v>45523</v>
      </c>
      <c r="J959" s="7">
        <f t="shared" si="86"/>
        <v>-1.56234522649732E-4</v>
      </c>
      <c r="K959" s="5">
        <v>45523</v>
      </c>
      <c r="L959" s="8">
        <f t="shared" si="84"/>
        <v>1.1848935328907777E-3</v>
      </c>
      <c r="M959" s="5">
        <v>45523</v>
      </c>
      <c r="N959" s="9">
        <f t="shared" si="85"/>
        <v>1.0286590102410458E-3</v>
      </c>
      <c r="O959" s="5">
        <v>45523</v>
      </c>
      <c r="P959">
        <f t="shared" si="87"/>
        <v>0.99917111918405321</v>
      </c>
      <c r="Q959" s="6">
        <f t="shared" si="88"/>
        <v>1.0000600036002159</v>
      </c>
      <c r="R959">
        <f t="shared" si="89"/>
        <v>-8.8922632766594181E-4</v>
      </c>
      <c r="T959" s="5">
        <v>45523</v>
      </c>
      <c r="U959" s="1">
        <v>-8.8922632766594181E-4</v>
      </c>
    </row>
    <row r="960" spans="3:21" x14ac:dyDescent="0.2">
      <c r="C960" s="5">
        <v>45524</v>
      </c>
      <c r="D960" s="6">
        <v>0.99992000000000003</v>
      </c>
      <c r="E960" s="6">
        <v>59013.23</v>
      </c>
      <c r="F960" s="6">
        <v>58996</v>
      </c>
      <c r="G960" s="6">
        <v>59066.84</v>
      </c>
      <c r="H960" s="6">
        <v>58993.8</v>
      </c>
      <c r="I960" s="5">
        <v>45524</v>
      </c>
      <c r="J960" s="7">
        <f t="shared" si="86"/>
        <v>-3.2924820417388253E-4</v>
      </c>
      <c r="K960" s="5">
        <v>45524</v>
      </c>
      <c r="L960" s="8">
        <f t="shared" si="84"/>
        <v>1.2007593735167894E-3</v>
      </c>
      <c r="M960" s="5">
        <v>45524</v>
      </c>
      <c r="N960" s="9">
        <f t="shared" si="85"/>
        <v>8.7151116934290683E-4</v>
      </c>
      <c r="O960" s="5">
        <v>45524</v>
      </c>
      <c r="P960">
        <f t="shared" si="87"/>
        <v>0.9987634347799883</v>
      </c>
      <c r="Q960" s="6">
        <f t="shared" si="88"/>
        <v>1.000080006400512</v>
      </c>
      <c r="R960">
        <f t="shared" si="89"/>
        <v>-1.317333597813674E-3</v>
      </c>
      <c r="T960" s="5">
        <v>45524</v>
      </c>
      <c r="U960" s="1">
        <v>-1.317333597813674E-3</v>
      </c>
    </row>
    <row r="961" spans="3:21" x14ac:dyDescent="0.2">
      <c r="C961" s="5">
        <v>45525</v>
      </c>
      <c r="D961" s="6">
        <v>0.99985999999999997</v>
      </c>
      <c r="E961" s="6">
        <v>61171.360000000001</v>
      </c>
      <c r="F961" s="6">
        <v>61142</v>
      </c>
      <c r="G961" s="6">
        <v>61130.13</v>
      </c>
      <c r="H961" s="6">
        <v>61123.7</v>
      </c>
      <c r="I961" s="5">
        <v>45525</v>
      </c>
      <c r="J961" s="7">
        <f t="shared" si="86"/>
        <v>-7.7912277902605876E-4</v>
      </c>
      <c r="K961" s="5">
        <v>45525</v>
      </c>
      <c r="L961" s="8">
        <f t="shared" si="84"/>
        <v>-1.9413823558278465E-4</v>
      </c>
      <c r="M961" s="5">
        <v>45525</v>
      </c>
      <c r="N961" s="9">
        <f t="shared" si="85"/>
        <v>-9.7326101460884344E-4</v>
      </c>
      <c r="O961" s="5">
        <v>45525</v>
      </c>
      <c r="P961">
        <f t="shared" si="87"/>
        <v>0.99989481455380524</v>
      </c>
      <c r="Q961" s="6">
        <f t="shared" si="88"/>
        <v>1.0001400196027443</v>
      </c>
      <c r="R961">
        <f t="shared" si="89"/>
        <v>-2.452007794864533E-4</v>
      </c>
      <c r="T961" s="5">
        <v>45525</v>
      </c>
      <c r="U961" s="1">
        <v>-2.452007794864533E-4</v>
      </c>
    </row>
    <row r="962" spans="3:21" x14ac:dyDescent="0.2">
      <c r="C962" s="5">
        <v>45526</v>
      </c>
      <c r="D962" s="6">
        <v>0.99985999999999997</v>
      </c>
      <c r="E962" s="6">
        <v>60395.02</v>
      </c>
      <c r="F962" s="6">
        <v>60376.5</v>
      </c>
      <c r="G962" s="6">
        <v>60422.32</v>
      </c>
      <c r="H962" s="6">
        <v>60338.6</v>
      </c>
      <c r="I962" s="5">
        <v>45526</v>
      </c>
      <c r="J962" s="7">
        <f t="shared" si="86"/>
        <v>-9.3418298396123148E-4</v>
      </c>
      <c r="K962" s="5">
        <v>45526</v>
      </c>
      <c r="L962" s="8">
        <f t="shared" si="84"/>
        <v>7.5890454067393284E-4</v>
      </c>
      <c r="M962" s="5">
        <v>45526</v>
      </c>
      <c r="N962" s="9">
        <f t="shared" si="85"/>
        <v>-1.7527844328729864E-4</v>
      </c>
      <c r="O962" s="5">
        <v>45526</v>
      </c>
      <c r="P962">
        <f t="shared" si="87"/>
        <v>0.99861441930730233</v>
      </c>
      <c r="Q962" s="6">
        <f t="shared" si="88"/>
        <v>1.0001400196027443</v>
      </c>
      <c r="R962">
        <f t="shared" si="89"/>
        <v>-1.5265512981577779E-3</v>
      </c>
      <c r="T962" s="5">
        <v>45526</v>
      </c>
      <c r="U962" s="1">
        <v>-1.5265512981577779E-3</v>
      </c>
    </row>
    <row r="963" spans="3:21" x14ac:dyDescent="0.2">
      <c r="C963" s="5">
        <v>45527</v>
      </c>
      <c r="D963" s="6">
        <v>0.99990000000000001</v>
      </c>
      <c r="E963" s="6">
        <v>64095.06</v>
      </c>
      <c r="F963" s="6">
        <v>64063</v>
      </c>
      <c r="G963" s="6">
        <v>64032.1</v>
      </c>
      <c r="H963" s="6">
        <v>64044.4</v>
      </c>
      <c r="I963" s="5">
        <v>45527</v>
      </c>
      <c r="J963" s="7">
        <f t="shared" si="86"/>
        <v>-7.9038852604235361E-4</v>
      </c>
      <c r="K963" s="5">
        <v>45527</v>
      </c>
      <c r="L963" s="8">
        <f t="shared" si="84"/>
        <v>-4.8233769882773917E-4</v>
      </c>
      <c r="M963" s="5">
        <v>45527</v>
      </c>
      <c r="N963" s="9">
        <f t="shared" si="85"/>
        <v>-1.2727262248700927E-3</v>
      </c>
      <c r="O963" s="5">
        <v>45527</v>
      </c>
      <c r="P963">
        <f t="shared" si="87"/>
        <v>1.0001920911542803</v>
      </c>
      <c r="Q963" s="6">
        <f t="shared" si="88"/>
        <v>1.000100010001</v>
      </c>
      <c r="R963">
        <f t="shared" si="89"/>
        <v>9.2067706803528572E-5</v>
      </c>
      <c r="T963" s="5">
        <v>45527</v>
      </c>
      <c r="U963" s="1">
        <v>9.2067706803528572E-5</v>
      </c>
    </row>
    <row r="964" spans="3:21" x14ac:dyDescent="0.2">
      <c r="C964" s="5">
        <v>45528</v>
      </c>
      <c r="D964" s="6">
        <v>0.99980999999999998</v>
      </c>
      <c r="E964" s="6">
        <v>64179.47</v>
      </c>
      <c r="F964" s="6">
        <v>64180</v>
      </c>
      <c r="G964" s="6">
        <v>64096.98</v>
      </c>
      <c r="H964" s="6">
        <v>64140</v>
      </c>
      <c r="I964" s="5">
        <v>45528</v>
      </c>
      <c r="J964" s="7">
        <f t="shared" si="86"/>
        <v>-6.1499417181228142E-4</v>
      </c>
      <c r="K964" s="5">
        <v>45528</v>
      </c>
      <c r="L964" s="8">
        <f t="shared" si="84"/>
        <v>-1.2935493923340105E-3</v>
      </c>
      <c r="M964" s="5">
        <v>45528</v>
      </c>
      <c r="N964" s="9">
        <f t="shared" si="85"/>
        <v>-1.9085435641462919E-3</v>
      </c>
      <c r="O964" s="5">
        <v>45528</v>
      </c>
      <c r="P964">
        <f t="shared" si="87"/>
        <v>1.0006711704670017</v>
      </c>
      <c r="Q964" s="6">
        <f t="shared" si="88"/>
        <v>1.0001900361068603</v>
      </c>
      <c r="R964">
        <f t="shared" si="89"/>
        <v>4.8092728054708488E-4</v>
      </c>
      <c r="T964" s="5">
        <v>45528</v>
      </c>
      <c r="U964" s="1">
        <v>4.8092728054708488E-4</v>
      </c>
    </row>
    <row r="965" spans="3:21" x14ac:dyDescent="0.2">
      <c r="C965" s="5">
        <v>45529</v>
      </c>
      <c r="D965" s="6">
        <v>0.99994000000000005</v>
      </c>
      <c r="E965" s="6">
        <v>64251.5</v>
      </c>
      <c r="F965" s="6">
        <v>64228</v>
      </c>
      <c r="G965" s="6">
        <v>64085.77</v>
      </c>
      <c r="H965" s="6">
        <v>64217.7</v>
      </c>
      <c r="I965" s="5">
        <v>45529</v>
      </c>
      <c r="J965" s="7">
        <f t="shared" si="86"/>
        <v>-5.2605775740648716E-4</v>
      </c>
      <c r="K965" s="5">
        <v>45529</v>
      </c>
      <c r="L965" s="8">
        <f t="shared" si="84"/>
        <v>-2.2144547549355922E-3</v>
      </c>
      <c r="M965" s="5">
        <v>45529</v>
      </c>
      <c r="N965" s="9">
        <f t="shared" si="85"/>
        <v>-2.7405125123420794E-3</v>
      </c>
      <c r="O965" s="5">
        <v>45529</v>
      </c>
      <c r="P965">
        <f t="shared" si="87"/>
        <v>1.0020586473408997</v>
      </c>
      <c r="Q965" s="6">
        <f t="shared" si="88"/>
        <v>1.0000600036002159</v>
      </c>
      <c r="R965">
        <f t="shared" si="89"/>
        <v>1.9965294301102551E-3</v>
      </c>
      <c r="T965" s="5">
        <v>45529</v>
      </c>
      <c r="U965" s="1">
        <v>1.9965294301102551E-3</v>
      </c>
    </row>
    <row r="966" spans="3:21" x14ac:dyDescent="0.2">
      <c r="C966" s="5">
        <v>45530</v>
      </c>
      <c r="D966" s="6">
        <v>0.99994000000000005</v>
      </c>
      <c r="E966" s="6">
        <v>62847.64</v>
      </c>
      <c r="F966" s="6">
        <v>62820</v>
      </c>
      <c r="G966" s="6">
        <v>62898.2</v>
      </c>
      <c r="H966" s="6">
        <v>62824.5</v>
      </c>
      <c r="I966" s="5">
        <v>45530</v>
      </c>
      <c r="J966" s="7">
        <f t="shared" si="86"/>
        <v>-3.6819202757652346E-4</v>
      </c>
      <c r="K966" s="5">
        <v>45530</v>
      </c>
      <c r="L966" s="8">
        <f t="shared" si="84"/>
        <v>1.2448264883794507E-3</v>
      </c>
      <c r="M966" s="5">
        <v>45530</v>
      </c>
      <c r="N966" s="9">
        <f t="shared" si="85"/>
        <v>8.7663446080292722E-4</v>
      </c>
      <c r="O966" s="5">
        <v>45530</v>
      </c>
      <c r="P966">
        <f t="shared" si="87"/>
        <v>0.99882826535576541</v>
      </c>
      <c r="Q966" s="6">
        <f t="shared" si="88"/>
        <v>1.0000600036002159</v>
      </c>
      <c r="R966">
        <f t="shared" si="89"/>
        <v>-1.23242346206544E-3</v>
      </c>
      <c r="T966" s="5">
        <v>45530</v>
      </c>
      <c r="U966" s="1">
        <v>-1.23242346206544E-3</v>
      </c>
    </row>
    <row r="967" spans="3:21" x14ac:dyDescent="0.2">
      <c r="C967" s="5">
        <v>45531</v>
      </c>
      <c r="D967" s="6">
        <v>0.99992000000000003</v>
      </c>
      <c r="E967" s="6">
        <v>59436</v>
      </c>
      <c r="F967" s="6">
        <v>59380</v>
      </c>
      <c r="G967" s="6">
        <v>59509.52</v>
      </c>
      <c r="H967" s="6">
        <v>59379.6</v>
      </c>
      <c r="I967" s="5">
        <v>45531</v>
      </c>
      <c r="J967" s="7">
        <f t="shared" si="86"/>
        <v>-9.4891984655766631E-4</v>
      </c>
      <c r="K967" s="5">
        <v>45531</v>
      </c>
      <c r="L967" s="8">
        <f t="shared" si="84"/>
        <v>2.1812057931963084E-3</v>
      </c>
      <c r="M967" s="5">
        <v>45531</v>
      </c>
      <c r="N967" s="9">
        <f t="shared" si="85"/>
        <v>1.2322859466386421E-3</v>
      </c>
      <c r="O967" s="5">
        <v>45531</v>
      </c>
      <c r="P967">
        <f t="shared" si="87"/>
        <v>0.99781681989705184</v>
      </c>
      <c r="Q967" s="6">
        <f t="shared" si="88"/>
        <v>1.000080006400512</v>
      </c>
      <c r="R967">
        <f t="shared" si="89"/>
        <v>-2.2655699150348511E-3</v>
      </c>
      <c r="T967" s="5">
        <v>45531</v>
      </c>
      <c r="U967" s="1">
        <v>-2.2655699150348511E-3</v>
      </c>
    </row>
    <row r="968" spans="3:21" x14ac:dyDescent="0.2">
      <c r="C968" s="5">
        <v>45532</v>
      </c>
      <c r="D968" s="6">
        <v>0.99982000000000004</v>
      </c>
      <c r="E968" s="6">
        <v>59061.98</v>
      </c>
      <c r="F968" s="6">
        <v>59006.5</v>
      </c>
      <c r="G968" s="6">
        <v>59085.51</v>
      </c>
      <c r="H968" s="6">
        <v>58990</v>
      </c>
      <c r="I968" s="5">
        <v>45532</v>
      </c>
      <c r="J968" s="7">
        <f t="shared" si="86"/>
        <v>-1.2187197246012274E-3</v>
      </c>
      <c r="K968" s="5">
        <v>45532</v>
      </c>
      <c r="L968" s="8">
        <f t="shared" si="84"/>
        <v>1.3390050248701759E-3</v>
      </c>
      <c r="M968" s="5">
        <v>45532</v>
      </c>
      <c r="N968" s="9">
        <f t="shared" si="85"/>
        <v>1.2028530026894852E-4</v>
      </c>
      <c r="O968" s="5">
        <v>45532</v>
      </c>
      <c r="P968">
        <f t="shared" si="87"/>
        <v>0.99838352922738594</v>
      </c>
      <c r="Q968" s="6">
        <f t="shared" si="88"/>
        <v>1.000180032405833</v>
      </c>
      <c r="R968">
        <f t="shared" si="89"/>
        <v>-1.7977948730808155E-3</v>
      </c>
      <c r="T968" s="5">
        <v>45532</v>
      </c>
      <c r="U968" s="1">
        <v>-1.7977948730808155E-3</v>
      </c>
    </row>
    <row r="969" spans="3:21" x14ac:dyDescent="0.2">
      <c r="C969" s="5">
        <v>45533</v>
      </c>
      <c r="D969" s="6">
        <v>0.99990999999999997</v>
      </c>
      <c r="E969" s="6">
        <v>59361.78</v>
      </c>
      <c r="F969" s="6">
        <v>59329.5</v>
      </c>
      <c r="G969" s="6">
        <v>59436.06</v>
      </c>
      <c r="H969" s="6">
        <v>59338.3</v>
      </c>
      <c r="I969" s="5">
        <v>45533</v>
      </c>
      <c r="J969" s="7">
        <f t="shared" si="86"/>
        <v>-3.9554069975657614E-4</v>
      </c>
      <c r="K969" s="5">
        <v>45533</v>
      </c>
      <c r="L969" s="8">
        <f t="shared" si="84"/>
        <v>1.7960710944807839E-3</v>
      </c>
      <c r="M969" s="5">
        <v>45533</v>
      </c>
      <c r="N969" s="9">
        <f t="shared" si="85"/>
        <v>1.4005303947242078E-3</v>
      </c>
      <c r="O969" s="5">
        <v>45533</v>
      </c>
      <c r="P969">
        <f t="shared" si="87"/>
        <v>0.99835520725970062</v>
      </c>
      <c r="Q969" s="6">
        <f t="shared" si="88"/>
        <v>1.0000900081007291</v>
      </c>
      <c r="R969">
        <f t="shared" si="89"/>
        <v>-1.7361509471967673E-3</v>
      </c>
      <c r="T969" s="5">
        <v>45533</v>
      </c>
      <c r="U969" s="1">
        <v>-1.7361509471967673E-3</v>
      </c>
    </row>
    <row r="970" spans="3:21" x14ac:dyDescent="0.2">
      <c r="C970" s="5">
        <v>45534</v>
      </c>
      <c r="D970" s="6">
        <v>0.99988999999999995</v>
      </c>
      <c r="E970" s="6">
        <v>59124.3</v>
      </c>
      <c r="F970" s="6">
        <v>59095.5</v>
      </c>
      <c r="G970" s="6">
        <v>59163.26</v>
      </c>
      <c r="H970" s="6">
        <v>59076.1</v>
      </c>
      <c r="I970" s="5">
        <v>45534</v>
      </c>
      <c r="J970" s="7">
        <f t="shared" si="86"/>
        <v>-8.1523163910616049E-4</v>
      </c>
      <c r="K970" s="5">
        <v>45534</v>
      </c>
      <c r="L970" s="8">
        <f t="shared" si="84"/>
        <v>1.1466186088619614E-3</v>
      </c>
      <c r="M970" s="5">
        <v>45534</v>
      </c>
      <c r="N970" s="9">
        <f t="shared" si="85"/>
        <v>3.3138696975580086E-4</v>
      </c>
      <c r="O970" s="5">
        <v>45534</v>
      </c>
      <c r="P970">
        <f t="shared" si="87"/>
        <v>0.99852678841564846</v>
      </c>
      <c r="Q970" s="6">
        <f t="shared" si="88"/>
        <v>1.0001100121013311</v>
      </c>
      <c r="R970">
        <f t="shared" si="89"/>
        <v>-1.5843038779564391E-3</v>
      </c>
      <c r="T970" s="5">
        <v>45534</v>
      </c>
      <c r="U970" s="1">
        <v>-1.5843038779564391E-3</v>
      </c>
    </row>
    <row r="971" spans="3:21" x14ac:dyDescent="0.2">
      <c r="C971" s="5">
        <v>45535</v>
      </c>
      <c r="D971" s="6">
        <v>0.99985000000000002</v>
      </c>
      <c r="E971" s="6">
        <v>58962.53</v>
      </c>
      <c r="F971" s="6">
        <v>58954</v>
      </c>
      <c r="G971" s="6">
        <v>58946.17</v>
      </c>
      <c r="H971" s="6">
        <v>58944.4</v>
      </c>
      <c r="I971" s="5">
        <v>45535</v>
      </c>
      <c r="J971" s="7">
        <f t="shared" si="86"/>
        <v>-3.0748341361874027E-4</v>
      </c>
      <c r="K971" s="5">
        <v>45535</v>
      </c>
      <c r="L971" s="8">
        <f t="shared" ref="L971:L1034" si="90">(G971-F971)/F971</f>
        <v>-1.328154154086533E-4</v>
      </c>
      <c r="M971" s="5">
        <v>45535</v>
      </c>
      <c r="N971" s="9">
        <f t="shared" ref="N971:N1034" si="91">J971+L971</f>
        <v>-4.402988290273936E-4</v>
      </c>
      <c r="O971" s="5">
        <v>45535</v>
      </c>
      <c r="P971">
        <f t="shared" si="87"/>
        <v>0.99996997260381804</v>
      </c>
      <c r="Q971" s="6">
        <f t="shared" si="88"/>
        <v>1.0001500225033755</v>
      </c>
      <c r="R971">
        <f t="shared" si="89"/>
        <v>-1.8003909813836834E-4</v>
      </c>
      <c r="T971" s="5">
        <v>45535</v>
      </c>
      <c r="U971" s="1">
        <v>-1.8003909813836834E-4</v>
      </c>
    </row>
    <row r="972" spans="3:21" x14ac:dyDescent="0.2">
      <c r="C972" s="5">
        <v>45536</v>
      </c>
      <c r="D972" s="6">
        <v>0.99992999999999999</v>
      </c>
      <c r="E972" s="6">
        <v>57290</v>
      </c>
      <c r="F972" s="6">
        <v>57277</v>
      </c>
      <c r="G972" s="6">
        <v>57398.31</v>
      </c>
      <c r="H972" s="6">
        <v>57259.3</v>
      </c>
      <c r="I972" s="5">
        <v>45536</v>
      </c>
      <c r="J972" s="7">
        <f t="shared" ref="J972:J1035" si="92">(H972-E972)/E972</f>
        <v>-5.3587013440385917E-4</v>
      </c>
      <c r="K972" s="5">
        <v>45536</v>
      </c>
      <c r="L972" s="8">
        <f t="shared" si="90"/>
        <v>2.1179531050857705E-3</v>
      </c>
      <c r="M972" s="5">
        <v>45536</v>
      </c>
      <c r="N972" s="9">
        <f t="shared" si="91"/>
        <v>1.5820829706819114E-3</v>
      </c>
      <c r="O972" s="5">
        <v>45536</v>
      </c>
      <c r="P972">
        <f t="shared" ref="P972:P1035" si="93">(1/G972)*H972</f>
        <v>0.99757815169122588</v>
      </c>
      <c r="Q972" s="6">
        <f t="shared" ref="Q972:Q1035" si="94">1/D972</f>
        <v>1.000070004900343</v>
      </c>
      <c r="R972">
        <f t="shared" ref="R972:R1035" si="95">LN(P972/Q972)</f>
        <v>-2.4947881771164508E-3</v>
      </c>
      <c r="T972" s="5">
        <v>45536</v>
      </c>
      <c r="U972" s="1">
        <v>-2.4947881771164508E-3</v>
      </c>
    </row>
    <row r="973" spans="3:21" x14ac:dyDescent="0.2">
      <c r="C973" s="5">
        <v>45537</v>
      </c>
      <c r="D973" s="6">
        <v>0.99992999999999999</v>
      </c>
      <c r="E973" s="6">
        <v>59139.99</v>
      </c>
      <c r="F973" s="6">
        <v>59122</v>
      </c>
      <c r="G973" s="6">
        <v>59173.82</v>
      </c>
      <c r="H973" s="6">
        <v>59100.4</v>
      </c>
      <c r="I973" s="5">
        <v>45537</v>
      </c>
      <c r="J973" s="7">
        <f t="shared" si="92"/>
        <v>-6.6942858799936406E-4</v>
      </c>
      <c r="K973" s="5">
        <v>45537</v>
      </c>
      <c r="L973" s="8">
        <f t="shared" si="90"/>
        <v>8.7649267616115331E-4</v>
      </c>
      <c r="M973" s="5">
        <v>45537</v>
      </c>
      <c r="N973" s="9">
        <f t="shared" si="91"/>
        <v>2.0706408816178925E-4</v>
      </c>
      <c r="O973" s="5">
        <v>45537</v>
      </c>
      <c r="P973">
        <f t="shared" si="93"/>
        <v>0.99875924860014098</v>
      </c>
      <c r="Q973" s="6">
        <f t="shared" si="94"/>
        <v>1.000070004900343</v>
      </c>
      <c r="R973">
        <f t="shared" si="95"/>
        <v>-1.3115242192819488E-3</v>
      </c>
      <c r="T973" s="5">
        <v>45537</v>
      </c>
      <c r="U973" s="1">
        <v>-1.3115242192819488E-3</v>
      </c>
    </row>
    <row r="974" spans="3:21" x14ac:dyDescent="0.2">
      <c r="C974" s="5">
        <v>45538</v>
      </c>
      <c r="D974" s="6">
        <v>0.99995999999999996</v>
      </c>
      <c r="E974" s="6">
        <v>57471.21</v>
      </c>
      <c r="F974" s="6">
        <v>57446</v>
      </c>
      <c r="G974" s="6">
        <v>57528.71</v>
      </c>
      <c r="H974" s="6">
        <v>57433.9</v>
      </c>
      <c r="I974" s="5">
        <v>45538</v>
      </c>
      <c r="J974" s="7">
        <f t="shared" si="92"/>
        <v>-6.4919461413806448E-4</v>
      </c>
      <c r="K974" s="5">
        <v>45538</v>
      </c>
      <c r="L974" s="8">
        <f t="shared" si="90"/>
        <v>1.4397869303345598E-3</v>
      </c>
      <c r="M974" s="5">
        <v>45538</v>
      </c>
      <c r="N974" s="9">
        <f t="shared" si="91"/>
        <v>7.9059231619649532E-4</v>
      </c>
      <c r="O974" s="5">
        <v>45538</v>
      </c>
      <c r="P974">
        <f t="shared" si="93"/>
        <v>0.9983519533116596</v>
      </c>
      <c r="Q974" s="6">
        <f t="shared" si="94"/>
        <v>1.0000400016000641</v>
      </c>
      <c r="R974">
        <f t="shared" si="95"/>
        <v>-1.6894070112154517E-3</v>
      </c>
      <c r="T974" s="5">
        <v>45538</v>
      </c>
      <c r="U974" s="1">
        <v>-1.6894070112154517E-3</v>
      </c>
    </row>
    <row r="975" spans="3:21" x14ac:dyDescent="0.2">
      <c r="C975" s="5">
        <v>45539</v>
      </c>
      <c r="D975" s="6">
        <v>0.99997999999999998</v>
      </c>
      <c r="E975" s="6">
        <v>57976.49</v>
      </c>
      <c r="F975" s="6">
        <v>57938.5</v>
      </c>
      <c r="G975" s="6">
        <v>58018.65</v>
      </c>
      <c r="H975" s="6">
        <v>57927.9</v>
      </c>
      <c r="I975" s="5">
        <v>45539</v>
      </c>
      <c r="J975" s="7">
        <f t="shared" si="92"/>
        <v>-8.3809833951652656E-4</v>
      </c>
      <c r="K975" s="5">
        <v>45539</v>
      </c>
      <c r="L975" s="8">
        <f t="shared" si="90"/>
        <v>1.3833633939436033E-3</v>
      </c>
      <c r="M975" s="5">
        <v>45539</v>
      </c>
      <c r="N975" s="9">
        <f t="shared" si="91"/>
        <v>5.4526505442707674E-4</v>
      </c>
      <c r="O975" s="5">
        <v>45539</v>
      </c>
      <c r="P975">
        <f t="shared" si="93"/>
        <v>0.9984358477834282</v>
      </c>
      <c r="Q975" s="6">
        <f t="shared" si="94"/>
        <v>1.0000200004000079</v>
      </c>
      <c r="R975">
        <f t="shared" si="95"/>
        <v>-1.5853769797548032E-3</v>
      </c>
      <c r="T975" s="5">
        <v>45539</v>
      </c>
      <c r="U975" s="1">
        <v>-1.5853769797548032E-3</v>
      </c>
    </row>
    <row r="976" spans="3:21" x14ac:dyDescent="0.2">
      <c r="C976" s="5">
        <v>45540</v>
      </c>
      <c r="D976" s="6">
        <v>0.99992000000000003</v>
      </c>
      <c r="E976" s="6">
        <v>56161.14</v>
      </c>
      <c r="F976" s="6">
        <v>56153.5</v>
      </c>
      <c r="G976" s="6">
        <v>56194.62</v>
      </c>
      <c r="H976" s="6">
        <v>56122.3</v>
      </c>
      <c r="I976" s="5">
        <v>45540</v>
      </c>
      <c r="J976" s="7">
        <f t="shared" si="92"/>
        <v>-6.91581403083992E-4</v>
      </c>
      <c r="K976" s="5">
        <v>45540</v>
      </c>
      <c r="L976" s="8">
        <f t="shared" si="90"/>
        <v>7.3227848664825202E-4</v>
      </c>
      <c r="M976" s="5">
        <v>45540</v>
      </c>
      <c r="N976" s="9">
        <f t="shared" si="91"/>
        <v>4.0697083564260024E-5</v>
      </c>
      <c r="O976" s="5">
        <v>45540</v>
      </c>
      <c r="P976">
        <f t="shared" si="93"/>
        <v>0.99871304406008987</v>
      </c>
      <c r="Q976" s="6">
        <f t="shared" si="94"/>
        <v>1.000080006400512</v>
      </c>
      <c r="R976">
        <f t="shared" si="95"/>
        <v>-1.3677879790721938E-3</v>
      </c>
      <c r="T976" s="5">
        <v>45540</v>
      </c>
      <c r="U976" s="1">
        <v>-1.3677879790721938E-3</v>
      </c>
    </row>
    <row r="977" spans="3:21" x14ac:dyDescent="0.2">
      <c r="C977" s="5">
        <v>45541</v>
      </c>
      <c r="D977" s="6">
        <v>0.99999000000000005</v>
      </c>
      <c r="E977" s="6">
        <v>53949.72</v>
      </c>
      <c r="F977" s="6">
        <v>53932</v>
      </c>
      <c r="G977" s="6">
        <v>54205.279999999999</v>
      </c>
      <c r="H977" s="6">
        <v>53929.4</v>
      </c>
      <c r="I977" s="5">
        <v>45541</v>
      </c>
      <c r="J977" s="7">
        <f t="shared" si="92"/>
        <v>-3.7664699649969842E-4</v>
      </c>
      <c r="K977" s="5">
        <v>45541</v>
      </c>
      <c r="L977" s="8">
        <f t="shared" si="90"/>
        <v>5.0671215604835501E-3</v>
      </c>
      <c r="M977" s="5">
        <v>45541</v>
      </c>
      <c r="N977" s="9">
        <f t="shared" si="91"/>
        <v>4.6904745639838518E-3</v>
      </c>
      <c r="O977" s="5">
        <v>45541</v>
      </c>
      <c r="P977">
        <f t="shared" si="93"/>
        <v>0.9949104589073241</v>
      </c>
      <c r="Q977" s="6">
        <f t="shared" si="94"/>
        <v>1.000010000100001</v>
      </c>
      <c r="R977">
        <f t="shared" si="95"/>
        <v>-5.1125369708973824E-3</v>
      </c>
      <c r="T977" s="5">
        <v>45541</v>
      </c>
      <c r="U977" s="1">
        <v>-5.1125369708973824E-3</v>
      </c>
    </row>
    <row r="978" spans="3:21" x14ac:dyDescent="0.2">
      <c r="C978" s="5">
        <v>45542</v>
      </c>
      <c r="D978" s="6">
        <v>0.99999000000000005</v>
      </c>
      <c r="E978" s="6">
        <v>54156.5</v>
      </c>
      <c r="F978" s="6">
        <v>54125.5</v>
      </c>
      <c r="G978" s="6">
        <v>54300.35</v>
      </c>
      <c r="H978" s="6">
        <v>54115.7</v>
      </c>
      <c r="I978" s="5">
        <v>45542</v>
      </c>
      <c r="J978" s="7">
        <f t="shared" si="92"/>
        <v>-7.5337217139222277E-4</v>
      </c>
      <c r="K978" s="5">
        <v>45542</v>
      </c>
      <c r="L978" s="8">
        <f t="shared" si="90"/>
        <v>3.2304551459108656E-3</v>
      </c>
      <c r="M978" s="5">
        <v>45542</v>
      </c>
      <c r="N978" s="9">
        <f t="shared" si="91"/>
        <v>2.4770829745186427E-3</v>
      </c>
      <c r="O978" s="5">
        <v>45542</v>
      </c>
      <c r="P978">
        <f t="shared" si="93"/>
        <v>0.99659946943251743</v>
      </c>
      <c r="Q978" s="6">
        <f t="shared" si="94"/>
        <v>1.000010000100001</v>
      </c>
      <c r="R978">
        <f t="shared" si="95"/>
        <v>-3.4163255625411543E-3</v>
      </c>
      <c r="T978" s="5">
        <v>45542</v>
      </c>
      <c r="U978" s="1">
        <v>-3.4163255625411543E-3</v>
      </c>
    </row>
    <row r="979" spans="3:21" x14ac:dyDescent="0.2">
      <c r="C979" s="5">
        <v>45543</v>
      </c>
      <c r="D979" s="6">
        <v>0.99997999999999998</v>
      </c>
      <c r="E979" s="6">
        <v>54878.37</v>
      </c>
      <c r="F979" s="6">
        <v>54859.5</v>
      </c>
      <c r="G979" s="6">
        <v>54978.6</v>
      </c>
      <c r="H979" s="6">
        <v>54840.800000000003</v>
      </c>
      <c r="I979" s="5">
        <v>45543</v>
      </c>
      <c r="J979" s="7">
        <f t="shared" si="92"/>
        <v>-6.8460488166830955E-4</v>
      </c>
      <c r="K979" s="5">
        <v>45543</v>
      </c>
      <c r="L979" s="8">
        <f t="shared" si="90"/>
        <v>2.1710004648237504E-3</v>
      </c>
      <c r="M979" s="5">
        <v>45543</v>
      </c>
      <c r="N979" s="9">
        <f t="shared" si="91"/>
        <v>1.4863955831554408E-3</v>
      </c>
      <c r="O979" s="5">
        <v>45543</v>
      </c>
      <c r="P979">
        <f t="shared" si="93"/>
        <v>0.997493570225506</v>
      </c>
      <c r="Q979" s="6">
        <f t="shared" si="94"/>
        <v>1.0000200004000079</v>
      </c>
      <c r="R979">
        <f t="shared" si="95"/>
        <v>-2.529576328112976E-3</v>
      </c>
      <c r="T979" s="5">
        <v>45543</v>
      </c>
      <c r="U979" s="1">
        <v>-2.529576328112976E-3</v>
      </c>
    </row>
    <row r="980" spans="3:21" x14ac:dyDescent="0.2">
      <c r="C980" s="5">
        <v>45544</v>
      </c>
      <c r="D980" s="6">
        <v>0.99983999999999995</v>
      </c>
      <c r="E980" s="6">
        <v>57050</v>
      </c>
      <c r="F980" s="6">
        <v>57016.5</v>
      </c>
      <c r="G980" s="6">
        <v>57079.24</v>
      </c>
      <c r="H980" s="6">
        <v>57012.9</v>
      </c>
      <c r="I980" s="5">
        <v>45544</v>
      </c>
      <c r="J980" s="7">
        <f t="shared" si="92"/>
        <v>-6.5030674846623215E-4</v>
      </c>
      <c r="K980" s="5">
        <v>45544</v>
      </c>
      <c r="L980" s="8">
        <f t="shared" si="90"/>
        <v>1.1003832224004975E-3</v>
      </c>
      <c r="M980" s="5">
        <v>45544</v>
      </c>
      <c r="N980" s="9">
        <f t="shared" si="91"/>
        <v>4.5007647393426531E-4</v>
      </c>
      <c r="O980" s="5">
        <v>45544</v>
      </c>
      <c r="P980">
        <f t="shared" si="93"/>
        <v>0.99883775607383707</v>
      </c>
      <c r="Q980" s="6">
        <f t="shared" si="94"/>
        <v>1.0001600256040968</v>
      </c>
      <c r="R980">
        <f t="shared" si="95"/>
        <v>-1.3229326567810854E-3</v>
      </c>
      <c r="T980" s="5">
        <v>45544</v>
      </c>
      <c r="U980" s="1">
        <v>-1.3229326567810854E-3</v>
      </c>
    </row>
    <row r="981" spans="3:21" x14ac:dyDescent="0.2">
      <c r="C981" s="5">
        <v>45545</v>
      </c>
      <c r="D981" s="6">
        <v>0.99987000000000004</v>
      </c>
      <c r="E981" s="6">
        <v>57639.040000000001</v>
      </c>
      <c r="F981" s="6">
        <v>57631.5</v>
      </c>
      <c r="G981" s="6">
        <v>57661.599999999999</v>
      </c>
      <c r="H981" s="6">
        <v>57620.7</v>
      </c>
      <c r="I981" s="5">
        <v>45545</v>
      </c>
      <c r="J981" s="7">
        <f t="shared" si="92"/>
        <v>-3.1818711762034521E-4</v>
      </c>
      <c r="K981" s="5">
        <v>45545</v>
      </c>
      <c r="L981" s="8">
        <f t="shared" si="90"/>
        <v>5.2228382048009414E-4</v>
      </c>
      <c r="M981" s="5">
        <v>45545</v>
      </c>
      <c r="N981" s="9">
        <f t="shared" si="91"/>
        <v>2.0409670285974894E-4</v>
      </c>
      <c r="O981" s="5">
        <v>45545</v>
      </c>
      <c r="P981">
        <f t="shared" si="93"/>
        <v>0.9992906891241311</v>
      </c>
      <c r="Q981" s="6">
        <f t="shared" si="94"/>
        <v>1.0001300169021972</v>
      </c>
      <c r="R981">
        <f t="shared" si="95"/>
        <v>-8.3957100658040398E-4</v>
      </c>
      <c r="T981" s="5">
        <v>45545</v>
      </c>
      <c r="U981" s="1">
        <v>-8.3957100658040398E-4</v>
      </c>
    </row>
    <row r="982" spans="3:21" x14ac:dyDescent="0.2">
      <c r="C982" s="5">
        <v>45546</v>
      </c>
      <c r="D982" s="6">
        <v>0.99995999999999996</v>
      </c>
      <c r="E982" s="6">
        <v>57340</v>
      </c>
      <c r="F982" s="6">
        <v>57323.5</v>
      </c>
      <c r="G982" s="6">
        <v>57356.7</v>
      </c>
      <c r="H982" s="6">
        <v>57290.2</v>
      </c>
      <c r="I982" s="5">
        <v>45546</v>
      </c>
      <c r="J982" s="7">
        <f t="shared" si="92"/>
        <v>-8.6850366236489206E-4</v>
      </c>
      <c r="K982" s="5">
        <v>45546</v>
      </c>
      <c r="L982" s="8">
        <f t="shared" si="90"/>
        <v>5.7916910167727178E-4</v>
      </c>
      <c r="M982" s="5">
        <v>45546</v>
      </c>
      <c r="N982" s="9">
        <f t="shared" si="91"/>
        <v>-2.8933456068762028E-4</v>
      </c>
      <c r="O982" s="5">
        <v>45546</v>
      </c>
      <c r="P982">
        <f t="shared" si="93"/>
        <v>0.9988405888065387</v>
      </c>
      <c r="Q982" s="6">
        <f t="shared" si="94"/>
        <v>1.0000400016000641</v>
      </c>
      <c r="R982">
        <f t="shared" si="95"/>
        <v>-1.2000846305994252E-3</v>
      </c>
      <c r="T982" s="5">
        <v>45546</v>
      </c>
      <c r="U982" s="1">
        <v>-1.2000846305994252E-3</v>
      </c>
    </row>
    <row r="983" spans="3:21" x14ac:dyDescent="0.2">
      <c r="C983" s="5">
        <v>45547</v>
      </c>
      <c r="D983" s="6">
        <v>0.99985000000000002</v>
      </c>
      <c r="E983" s="6">
        <v>58134.42</v>
      </c>
      <c r="F983" s="6">
        <v>58115.5</v>
      </c>
      <c r="G983" s="6">
        <v>58176.6</v>
      </c>
      <c r="H983" s="6">
        <v>58111.7</v>
      </c>
      <c r="I983" s="5">
        <v>45547</v>
      </c>
      <c r="J983" s="7">
        <f t="shared" si="92"/>
        <v>-3.9081838263805099E-4</v>
      </c>
      <c r="K983" s="5">
        <v>45547</v>
      </c>
      <c r="L983" s="8">
        <f t="shared" si="90"/>
        <v>1.0513546300040186E-3</v>
      </c>
      <c r="M983" s="5">
        <v>45547</v>
      </c>
      <c r="N983" s="9">
        <f t="shared" si="91"/>
        <v>6.6053624736596753E-4</v>
      </c>
      <c r="O983" s="5">
        <v>45547</v>
      </c>
      <c r="P983">
        <f t="shared" si="93"/>
        <v>0.99888443119742298</v>
      </c>
      <c r="Q983" s="6">
        <f t="shared" si="94"/>
        <v>1.0001500225033755</v>
      </c>
      <c r="R983">
        <f t="shared" si="95"/>
        <v>-1.2662027637391155E-3</v>
      </c>
      <c r="T983" s="5">
        <v>45547</v>
      </c>
      <c r="U983" s="1">
        <v>-1.2662027637391155E-3</v>
      </c>
    </row>
    <row r="984" spans="3:21" x14ac:dyDescent="0.2">
      <c r="C984" s="5">
        <v>45548</v>
      </c>
      <c r="D984" s="6">
        <v>0.99997000000000003</v>
      </c>
      <c r="E984" s="6">
        <v>60531.95</v>
      </c>
      <c r="F984" s="6">
        <v>60524.5</v>
      </c>
      <c r="G984" s="6">
        <v>60479.92</v>
      </c>
      <c r="H984" s="6">
        <v>60502.2</v>
      </c>
      <c r="I984" s="5">
        <v>45548</v>
      </c>
      <c r="J984" s="7">
        <f t="shared" si="92"/>
        <v>-4.9147598912640351E-4</v>
      </c>
      <c r="K984" s="5">
        <v>45548</v>
      </c>
      <c r="L984" s="8">
        <f t="shared" si="90"/>
        <v>-7.3656122727162963E-4</v>
      </c>
      <c r="M984" s="5">
        <v>45548</v>
      </c>
      <c r="N984" s="9">
        <f t="shared" si="91"/>
        <v>-1.2280372163980331E-3</v>
      </c>
      <c r="O984" s="5">
        <v>45548</v>
      </c>
      <c r="P984">
        <f t="shared" si="93"/>
        <v>1.0003683867306703</v>
      </c>
      <c r="Q984" s="6">
        <f t="shared" si="94"/>
        <v>1.0000300009000269</v>
      </c>
      <c r="R984">
        <f t="shared" si="95"/>
        <v>3.3831844292955837E-4</v>
      </c>
      <c r="T984" s="5">
        <v>45548</v>
      </c>
      <c r="U984" s="1">
        <v>3.3831844292955837E-4</v>
      </c>
    </row>
    <row r="985" spans="3:21" x14ac:dyDescent="0.2">
      <c r="C985" s="5">
        <v>45549</v>
      </c>
      <c r="D985" s="6">
        <v>0.99990000000000001</v>
      </c>
      <c r="E985" s="6">
        <v>60014.239999999998</v>
      </c>
      <c r="F985" s="6">
        <v>59992</v>
      </c>
      <c r="G985" s="6">
        <v>59949.86</v>
      </c>
      <c r="H985" s="6">
        <v>59963.4</v>
      </c>
      <c r="I985" s="5">
        <v>45549</v>
      </c>
      <c r="J985" s="7">
        <f t="shared" si="92"/>
        <v>-8.4713228060534485E-4</v>
      </c>
      <c r="K985" s="5">
        <v>45549</v>
      </c>
      <c r="L985" s="8">
        <f t="shared" si="90"/>
        <v>-7.02426990265359E-4</v>
      </c>
      <c r="M985" s="5">
        <v>45549</v>
      </c>
      <c r="N985" s="9">
        <f t="shared" si="91"/>
        <v>-1.5495592708707037E-3</v>
      </c>
      <c r="O985" s="5">
        <v>45549</v>
      </c>
      <c r="P985">
        <f t="shared" si="93"/>
        <v>1.0002258554065016</v>
      </c>
      <c r="Q985" s="6">
        <f t="shared" si="94"/>
        <v>1.000100010001</v>
      </c>
      <c r="R985">
        <f t="shared" si="95"/>
        <v>1.25824904675677E-4</v>
      </c>
      <c r="T985" s="5">
        <v>45549</v>
      </c>
      <c r="U985" s="1">
        <v>1.25824904675677E-4</v>
      </c>
    </row>
    <row r="986" spans="3:21" x14ac:dyDescent="0.2">
      <c r="C986" s="5">
        <v>45550</v>
      </c>
      <c r="D986" s="6">
        <v>0.99985000000000002</v>
      </c>
      <c r="E986" s="6">
        <v>59129.83</v>
      </c>
      <c r="F986" s="6">
        <v>59108.5</v>
      </c>
      <c r="G986" s="6">
        <v>59165.02</v>
      </c>
      <c r="H986" s="6">
        <v>59096.800000000003</v>
      </c>
      <c r="I986" s="5">
        <v>45550</v>
      </c>
      <c r="J986" s="7">
        <f t="shared" si="92"/>
        <v>-5.5860130157652801E-4</v>
      </c>
      <c r="K986" s="5">
        <v>45550</v>
      </c>
      <c r="L986" s="8">
        <f t="shared" si="90"/>
        <v>9.5620765202968777E-4</v>
      </c>
      <c r="M986" s="5">
        <v>45550</v>
      </c>
      <c r="N986" s="9">
        <f t="shared" si="91"/>
        <v>3.9760635045315977E-4</v>
      </c>
      <c r="O986" s="5">
        <v>45550</v>
      </c>
      <c r="P986">
        <f t="shared" si="93"/>
        <v>0.99884695382508126</v>
      </c>
      <c r="Q986" s="6">
        <f t="shared" si="94"/>
        <v>1.0001500225033755</v>
      </c>
      <c r="R986">
        <f t="shared" si="95"/>
        <v>-1.303722695224498E-3</v>
      </c>
      <c r="T986" s="5">
        <v>45550</v>
      </c>
      <c r="U986" s="1">
        <v>-1.303722695224498E-3</v>
      </c>
    </row>
    <row r="987" spans="3:21" x14ac:dyDescent="0.2">
      <c r="C987" s="5">
        <v>45551</v>
      </c>
      <c r="D987" s="6">
        <v>0.99992000000000003</v>
      </c>
      <c r="E987" s="6">
        <v>58214.04</v>
      </c>
      <c r="F987" s="6">
        <v>58185.5</v>
      </c>
      <c r="G987" s="6">
        <v>58163.23</v>
      </c>
      <c r="H987" s="6">
        <v>58176.6</v>
      </c>
      <c r="I987" s="5">
        <v>45551</v>
      </c>
      <c r="J987" s="7">
        <f t="shared" si="92"/>
        <v>-6.431438189138278E-4</v>
      </c>
      <c r="K987" s="5">
        <v>45551</v>
      </c>
      <c r="L987" s="8">
        <f t="shared" si="90"/>
        <v>-3.8274140464543226E-4</v>
      </c>
      <c r="M987" s="5">
        <v>45551</v>
      </c>
      <c r="N987" s="9">
        <f t="shared" si="91"/>
        <v>-1.0258852235592601E-3</v>
      </c>
      <c r="O987" s="5">
        <v>45551</v>
      </c>
      <c r="P987">
        <f t="shared" si="93"/>
        <v>1.0002298703149739</v>
      </c>
      <c r="Q987" s="6">
        <f t="shared" si="94"/>
        <v>1.000080006400512</v>
      </c>
      <c r="R987">
        <f t="shared" si="95"/>
        <v>1.4984069867044541E-4</v>
      </c>
      <c r="T987" s="5">
        <v>45551</v>
      </c>
      <c r="U987" s="1">
        <v>1.4984069867044541E-4</v>
      </c>
    </row>
    <row r="988" spans="3:21" x14ac:dyDescent="0.2">
      <c r="C988" s="5">
        <v>45552</v>
      </c>
      <c r="D988" s="6">
        <v>0.99992000000000003</v>
      </c>
      <c r="E988" s="6">
        <v>60327.35</v>
      </c>
      <c r="F988" s="6">
        <v>60301.5</v>
      </c>
      <c r="G988" s="6">
        <v>60318.68</v>
      </c>
      <c r="H988" s="6">
        <v>60290.2</v>
      </c>
      <c r="I988" s="5">
        <v>45552</v>
      </c>
      <c r="J988" s="7">
        <f t="shared" si="92"/>
        <v>-6.158069267090541E-4</v>
      </c>
      <c r="K988" s="5">
        <v>45552</v>
      </c>
      <c r="L988" s="8">
        <f t="shared" si="90"/>
        <v>2.8490170227938428E-4</v>
      </c>
      <c r="M988" s="5">
        <v>45552</v>
      </c>
      <c r="N988" s="9">
        <f t="shared" si="91"/>
        <v>-3.3090522442966983E-4</v>
      </c>
      <c r="O988" s="5">
        <v>45552</v>
      </c>
      <c r="P988">
        <f t="shared" si="93"/>
        <v>0.99952784112649673</v>
      </c>
      <c r="Q988" s="6">
        <f t="shared" si="94"/>
        <v>1.000080006400512</v>
      </c>
      <c r="R988">
        <f t="shared" si="95"/>
        <v>-5.5227357577393552E-4</v>
      </c>
      <c r="T988" s="5">
        <v>45552</v>
      </c>
      <c r="U988" s="1">
        <v>-5.5227357577393552E-4</v>
      </c>
    </row>
    <row r="989" spans="3:21" x14ac:dyDescent="0.2">
      <c r="C989" s="5">
        <v>45553</v>
      </c>
      <c r="D989" s="6">
        <v>0.99992999999999999</v>
      </c>
      <c r="E989" s="6">
        <v>61773.01</v>
      </c>
      <c r="F989" s="6">
        <v>61749.5</v>
      </c>
      <c r="G989" s="6">
        <v>61772.59</v>
      </c>
      <c r="H989" s="6">
        <v>61724.4</v>
      </c>
      <c r="I989" s="5">
        <v>45553</v>
      </c>
      <c r="J989" s="7">
        <f t="shared" si="92"/>
        <v>-7.8691324900633105E-4</v>
      </c>
      <c r="K989" s="5">
        <v>45553</v>
      </c>
      <c r="L989" s="8">
        <f t="shared" si="90"/>
        <v>3.7393015328053683E-4</v>
      </c>
      <c r="M989" s="5">
        <v>45553</v>
      </c>
      <c r="N989" s="9">
        <f t="shared" si="91"/>
        <v>-4.1298309572579422E-4</v>
      </c>
      <c r="O989" s="5">
        <v>45553</v>
      </c>
      <c r="P989">
        <f t="shared" si="93"/>
        <v>0.99921988053277355</v>
      </c>
      <c r="Q989" s="6">
        <f t="shared" si="94"/>
        <v>1.000070004900343</v>
      </c>
      <c r="R989">
        <f t="shared" si="95"/>
        <v>-8.504263688817068E-4</v>
      </c>
      <c r="T989" s="5">
        <v>45553</v>
      </c>
      <c r="U989" s="1">
        <v>-8.504263688817068E-4</v>
      </c>
    </row>
    <row r="990" spans="3:21" x14ac:dyDescent="0.2">
      <c r="C990" s="5">
        <v>45554</v>
      </c>
      <c r="D990" s="6">
        <v>0.99992999999999999</v>
      </c>
      <c r="E990" s="6">
        <v>62967.8</v>
      </c>
      <c r="F990" s="6">
        <v>62954.5</v>
      </c>
      <c r="G990" s="6">
        <v>62911.74</v>
      </c>
      <c r="H990" s="6">
        <v>62916.9</v>
      </c>
      <c r="I990" s="5">
        <v>45554</v>
      </c>
      <c r="J990" s="7">
        <f t="shared" si="92"/>
        <v>-8.08349664431685E-4</v>
      </c>
      <c r="K990" s="5">
        <v>45554</v>
      </c>
      <c r="L990" s="8">
        <f t="shared" si="90"/>
        <v>-6.7922070701859343E-4</v>
      </c>
      <c r="M990" s="5">
        <v>45554</v>
      </c>
      <c r="N990" s="9">
        <f t="shared" si="91"/>
        <v>-1.4875703714502784E-3</v>
      </c>
      <c r="O990" s="5">
        <v>45554</v>
      </c>
      <c r="P990">
        <f t="shared" si="93"/>
        <v>1.0000820196675533</v>
      </c>
      <c r="Q990" s="6">
        <f t="shared" si="94"/>
        <v>1.000070004900343</v>
      </c>
      <c r="R990">
        <f t="shared" si="95"/>
        <v>1.2013854009924192E-5</v>
      </c>
      <c r="T990" s="5">
        <v>45554</v>
      </c>
      <c r="U990" s="1">
        <v>1.2013854009924192E-5</v>
      </c>
    </row>
    <row r="991" spans="3:21" x14ac:dyDescent="0.2">
      <c r="C991" s="5">
        <v>45555</v>
      </c>
      <c r="D991" s="6">
        <v>0.99990999999999997</v>
      </c>
      <c r="E991" s="6">
        <v>63211.94</v>
      </c>
      <c r="F991" s="6">
        <v>63214</v>
      </c>
      <c r="G991" s="6">
        <v>63229.3</v>
      </c>
      <c r="H991" s="6">
        <v>63173.7</v>
      </c>
      <c r="I991" s="5">
        <v>45555</v>
      </c>
      <c r="J991" s="7">
        <f t="shared" si="92"/>
        <v>-6.0494900172349138E-4</v>
      </c>
      <c r="K991" s="5">
        <v>45555</v>
      </c>
      <c r="L991" s="8">
        <f t="shared" si="90"/>
        <v>2.4203499224859857E-4</v>
      </c>
      <c r="M991" s="5">
        <v>45555</v>
      </c>
      <c r="N991" s="9">
        <f t="shared" si="91"/>
        <v>-3.6291400947489281E-4</v>
      </c>
      <c r="O991" s="5">
        <v>45555</v>
      </c>
      <c r="P991">
        <f t="shared" si="93"/>
        <v>0.99912066083287321</v>
      </c>
      <c r="Q991" s="6">
        <f t="shared" si="94"/>
        <v>1.0000900081007291</v>
      </c>
      <c r="R991">
        <f t="shared" si="95"/>
        <v>-9.697300628508309E-4</v>
      </c>
      <c r="T991" s="5">
        <v>45555</v>
      </c>
      <c r="U991" s="1">
        <v>-9.697300628508309E-4</v>
      </c>
    </row>
    <row r="992" spans="3:21" x14ac:dyDescent="0.2">
      <c r="C992" s="5">
        <v>45556</v>
      </c>
      <c r="D992" s="6">
        <v>0.99995999999999996</v>
      </c>
      <c r="E992" s="6">
        <v>63362.3</v>
      </c>
      <c r="F992" s="6">
        <v>63336.5</v>
      </c>
      <c r="G992" s="6">
        <v>63384.24</v>
      </c>
      <c r="H992" s="6">
        <v>63344.4</v>
      </c>
      <c r="I992" s="5">
        <v>45556</v>
      </c>
      <c r="J992" s="7">
        <f t="shared" si="92"/>
        <v>-2.8250237128389367E-4</v>
      </c>
      <c r="K992" s="5">
        <v>45556</v>
      </c>
      <c r="L992" s="8">
        <f t="shared" si="90"/>
        <v>7.5375178609487364E-4</v>
      </c>
      <c r="M992" s="5">
        <v>45556</v>
      </c>
      <c r="N992" s="9">
        <f t="shared" si="91"/>
        <v>4.7124941481097997E-4</v>
      </c>
      <c r="O992" s="5">
        <v>45556</v>
      </c>
      <c r="P992">
        <f t="shared" si="93"/>
        <v>0.99937145258821436</v>
      </c>
      <c r="Q992" s="6">
        <f t="shared" si="94"/>
        <v>1.0000400016000641</v>
      </c>
      <c r="R992">
        <f t="shared" si="95"/>
        <v>-6.6874583054441069E-4</v>
      </c>
      <c r="T992" s="5">
        <v>45556</v>
      </c>
      <c r="U992" s="1">
        <v>-6.6874583054441069E-4</v>
      </c>
    </row>
    <row r="993" spans="3:21" x14ac:dyDescent="0.2">
      <c r="C993" s="5">
        <v>45557</v>
      </c>
      <c r="D993" s="6">
        <v>0.99990000000000001</v>
      </c>
      <c r="E993" s="6">
        <v>63584.63</v>
      </c>
      <c r="F993" s="6">
        <v>63554</v>
      </c>
      <c r="G993" s="6">
        <v>63586.38</v>
      </c>
      <c r="H993" s="6">
        <v>63634</v>
      </c>
      <c r="I993" s="5">
        <v>45557</v>
      </c>
      <c r="J993" s="7">
        <f t="shared" si="92"/>
        <v>7.7644550263173068E-4</v>
      </c>
      <c r="K993" s="5">
        <v>45557</v>
      </c>
      <c r="L993" s="8">
        <f t="shared" si="90"/>
        <v>5.0948799446136166E-4</v>
      </c>
      <c r="M993" s="5">
        <v>45557</v>
      </c>
      <c r="N993" s="9">
        <f t="shared" si="91"/>
        <v>1.2859334970930923E-3</v>
      </c>
      <c r="O993" s="5">
        <v>45557</v>
      </c>
      <c r="P993">
        <f t="shared" si="93"/>
        <v>1.0007489025165452</v>
      </c>
      <c r="Q993" s="6">
        <f t="shared" si="94"/>
        <v>1.000100010001</v>
      </c>
      <c r="R993">
        <f t="shared" si="95"/>
        <v>6.4861722865233024E-4</v>
      </c>
      <c r="T993" s="5">
        <v>45557</v>
      </c>
      <c r="U993" s="1">
        <v>6.4861722865233024E-4</v>
      </c>
    </row>
    <row r="994" spans="3:21" x14ac:dyDescent="0.2">
      <c r="C994" s="5">
        <v>45558</v>
      </c>
      <c r="D994" s="6">
        <v>0.99992000000000003</v>
      </c>
      <c r="E994" s="6">
        <v>63333.08</v>
      </c>
      <c r="F994" s="6">
        <v>63305.5</v>
      </c>
      <c r="G994" s="6">
        <v>63348.31</v>
      </c>
      <c r="H994" s="6">
        <v>63296</v>
      </c>
      <c r="I994" s="5">
        <v>45558</v>
      </c>
      <c r="J994" s="7">
        <f t="shared" si="92"/>
        <v>-5.8547602611465832E-4</v>
      </c>
      <c r="K994" s="5">
        <v>45558</v>
      </c>
      <c r="L994" s="8">
        <f t="shared" si="90"/>
        <v>6.7624456010927439E-4</v>
      </c>
      <c r="M994" s="5">
        <v>45558</v>
      </c>
      <c r="N994" s="9">
        <f t="shared" si="91"/>
        <v>9.0768533994616072E-5</v>
      </c>
      <c r="O994" s="5">
        <v>45558</v>
      </c>
      <c r="P994">
        <f t="shared" si="93"/>
        <v>0.99917424790022036</v>
      </c>
      <c r="Q994" s="6">
        <f t="shared" si="94"/>
        <v>1.000080006400512</v>
      </c>
      <c r="R994">
        <f t="shared" si="95"/>
        <v>-9.0609642101596494E-4</v>
      </c>
      <c r="T994" s="5">
        <v>45558</v>
      </c>
      <c r="U994" s="1">
        <v>-9.0609642101596494E-4</v>
      </c>
    </row>
    <row r="995" spans="3:21" x14ac:dyDescent="0.2">
      <c r="C995" s="5">
        <v>45559</v>
      </c>
      <c r="D995" s="6">
        <v>0.99994000000000005</v>
      </c>
      <c r="E995" s="6">
        <v>64276.4</v>
      </c>
      <c r="F995" s="6">
        <v>64253.5</v>
      </c>
      <c r="G995" s="6">
        <v>64275.18</v>
      </c>
      <c r="H995" s="6">
        <v>64222</v>
      </c>
      <c r="I995" s="5">
        <v>45559</v>
      </c>
      <c r="J995" s="7">
        <f t="shared" si="92"/>
        <v>-8.4634484818691552E-4</v>
      </c>
      <c r="K995" s="5">
        <v>45559</v>
      </c>
      <c r="L995" s="8">
        <f t="shared" si="90"/>
        <v>3.3741352611142261E-4</v>
      </c>
      <c r="M995" s="5">
        <v>45559</v>
      </c>
      <c r="N995" s="9">
        <f t="shared" si="91"/>
        <v>-5.0893132207549291E-4</v>
      </c>
      <c r="O995" s="5">
        <v>45559</v>
      </c>
      <c r="P995">
        <f t="shared" si="93"/>
        <v>0.99917261997554896</v>
      </c>
      <c r="Q995" s="6">
        <f t="shared" si="94"/>
        <v>1.0000600036002159</v>
      </c>
      <c r="R995">
        <f t="shared" si="95"/>
        <v>-8.8772429228904355E-4</v>
      </c>
      <c r="T995" s="5">
        <v>45559</v>
      </c>
      <c r="U995" s="1">
        <v>-8.8772429228904355E-4</v>
      </c>
    </row>
    <row r="996" spans="3:21" x14ac:dyDescent="0.2">
      <c r="C996" s="5">
        <v>45560</v>
      </c>
      <c r="D996" s="6">
        <v>0.99992000000000003</v>
      </c>
      <c r="E996" s="6">
        <v>63143.63</v>
      </c>
      <c r="F996" s="6">
        <v>63114</v>
      </c>
      <c r="G996" s="6">
        <v>63167.49</v>
      </c>
      <c r="H996" s="6">
        <v>63110.2</v>
      </c>
      <c r="I996" s="5">
        <v>45560</v>
      </c>
      <c r="J996" s="7">
        <f t="shared" si="92"/>
        <v>-5.2942790903849353E-4</v>
      </c>
      <c r="K996" s="5">
        <v>45560</v>
      </c>
      <c r="L996" s="8">
        <f t="shared" si="90"/>
        <v>8.4751402224542832E-4</v>
      </c>
      <c r="M996" s="5">
        <v>45560</v>
      </c>
      <c r="N996" s="9">
        <f t="shared" si="91"/>
        <v>3.180861132069348E-4</v>
      </c>
      <c r="O996" s="5">
        <v>45560</v>
      </c>
      <c r="P996">
        <f t="shared" si="93"/>
        <v>0.9990930461223011</v>
      </c>
      <c r="Q996" s="6">
        <f t="shared" si="94"/>
        <v>1.000080006400512</v>
      </c>
      <c r="R996">
        <f t="shared" si="95"/>
        <v>-9.8736860938315675E-4</v>
      </c>
      <c r="T996" s="5">
        <v>45560</v>
      </c>
      <c r="U996" s="1">
        <v>-9.8736860938315675E-4</v>
      </c>
    </row>
    <row r="997" spans="3:21" x14ac:dyDescent="0.2">
      <c r="C997" s="5">
        <v>45561</v>
      </c>
      <c r="D997" s="6">
        <v>0.99992000000000003</v>
      </c>
      <c r="E997" s="6">
        <v>65184.31</v>
      </c>
      <c r="F997" s="6">
        <v>65166</v>
      </c>
      <c r="G997" s="6">
        <v>65186.86</v>
      </c>
      <c r="H997" s="6">
        <v>65145.7</v>
      </c>
      <c r="I997" s="5">
        <v>45561</v>
      </c>
      <c r="J997" s="7">
        <f t="shared" si="92"/>
        <v>-5.9232045257517625E-4</v>
      </c>
      <c r="K997" s="5">
        <v>45561</v>
      </c>
      <c r="L997" s="8">
        <f t="shared" si="90"/>
        <v>3.2010557652764604E-4</v>
      </c>
      <c r="M997" s="5">
        <v>45561</v>
      </c>
      <c r="N997" s="9">
        <f t="shared" si="91"/>
        <v>-2.7221487604753021E-4</v>
      </c>
      <c r="O997" s="5">
        <v>45561</v>
      </c>
      <c r="P997">
        <f t="shared" si="93"/>
        <v>0.99936858440489396</v>
      </c>
      <c r="Q997" s="6">
        <f t="shared" si="94"/>
        <v>1.000080006400512</v>
      </c>
      <c r="R997">
        <f t="shared" si="95"/>
        <v>-7.1161822205545596E-4</v>
      </c>
      <c r="T997" s="5">
        <v>45561</v>
      </c>
      <c r="U997" s="1">
        <v>-7.1161822205545596E-4</v>
      </c>
    </row>
    <row r="998" spans="3:21" x14ac:dyDescent="0.2">
      <c r="C998" s="5">
        <v>45562</v>
      </c>
      <c r="D998" s="6">
        <v>0.99985999999999997</v>
      </c>
      <c r="E998" s="6">
        <v>65796.88</v>
      </c>
      <c r="F998" s="6">
        <v>65760</v>
      </c>
      <c r="G998" s="6">
        <v>65805.3</v>
      </c>
      <c r="H998" s="6">
        <v>65748.800000000003</v>
      </c>
      <c r="I998" s="5">
        <v>45562</v>
      </c>
      <c r="J998" s="7">
        <f t="shared" si="92"/>
        <v>-7.3073373691885906E-4</v>
      </c>
      <c r="K998" s="5">
        <v>45562</v>
      </c>
      <c r="L998" s="8">
        <f t="shared" si="90"/>
        <v>6.8886861313873036E-4</v>
      </c>
      <c r="M998" s="5">
        <v>45562</v>
      </c>
      <c r="N998" s="9">
        <f t="shared" si="91"/>
        <v>-4.1865123780128704E-5</v>
      </c>
      <c r="O998" s="5">
        <v>45562</v>
      </c>
      <c r="P998">
        <f t="shared" si="93"/>
        <v>0.99914140654324202</v>
      </c>
      <c r="Q998" s="6">
        <f t="shared" si="94"/>
        <v>1.0001400196027443</v>
      </c>
      <c r="R998">
        <f t="shared" si="95"/>
        <v>-9.9897206015071372E-4</v>
      </c>
      <c r="T998" s="5">
        <v>45562</v>
      </c>
      <c r="U998" s="1">
        <v>-9.9897206015071372E-4</v>
      </c>
    </row>
    <row r="999" spans="3:21" x14ac:dyDescent="0.2">
      <c r="C999" s="5">
        <v>45563</v>
      </c>
      <c r="D999" s="6">
        <v>0.99990000000000001</v>
      </c>
      <c r="E999" s="6">
        <v>65867.839999999997</v>
      </c>
      <c r="F999" s="6">
        <v>65846</v>
      </c>
      <c r="G999" s="6">
        <v>65886.27</v>
      </c>
      <c r="H999" s="6">
        <v>65836.7</v>
      </c>
      <c r="I999" s="5">
        <v>45563</v>
      </c>
      <c r="J999" s="7">
        <f t="shared" si="92"/>
        <v>-4.7276485763005771E-4</v>
      </c>
      <c r="K999" s="5">
        <v>45563</v>
      </c>
      <c r="L999" s="8">
        <f t="shared" si="90"/>
        <v>6.1157853172560332E-4</v>
      </c>
      <c r="M999" s="5">
        <v>45563</v>
      </c>
      <c r="N999" s="9">
        <f t="shared" si="91"/>
        <v>1.3881367409554561E-4</v>
      </c>
      <c r="O999" s="5">
        <v>45563</v>
      </c>
      <c r="P999">
        <f t="shared" si="93"/>
        <v>0.99924764294594304</v>
      </c>
      <c r="Q999" s="6">
        <f t="shared" si="94"/>
        <v>1.000100010001</v>
      </c>
      <c r="R999">
        <f t="shared" si="95"/>
        <v>-8.5264521699382955E-4</v>
      </c>
      <c r="T999" s="5">
        <v>45563</v>
      </c>
      <c r="U999" s="1">
        <v>-8.5264521699382955E-4</v>
      </c>
    </row>
    <row r="1000" spans="3:21" x14ac:dyDescent="0.2">
      <c r="C1000" s="5">
        <v>45564</v>
      </c>
      <c r="D1000" s="6">
        <v>0.99985000000000002</v>
      </c>
      <c r="E1000" s="6">
        <v>65615.539999999994</v>
      </c>
      <c r="F1000" s="6">
        <v>65592</v>
      </c>
      <c r="G1000" s="6">
        <v>65634.64</v>
      </c>
      <c r="H1000" s="6">
        <v>65586.5</v>
      </c>
      <c r="I1000" s="5">
        <v>45564</v>
      </c>
      <c r="J1000" s="7">
        <f t="shared" si="92"/>
        <v>-4.4257808439881162E-4</v>
      </c>
      <c r="K1000" s="5">
        <v>45564</v>
      </c>
      <c r="L1000" s="8">
        <f t="shared" si="90"/>
        <v>6.5007927796071805E-4</v>
      </c>
      <c r="M1000" s="5">
        <v>45564</v>
      </c>
      <c r="N1000" s="9">
        <f t="shared" si="91"/>
        <v>2.0750119356190643E-4</v>
      </c>
      <c r="O1000" s="5">
        <v>45564</v>
      </c>
      <c r="P1000">
        <f t="shared" si="93"/>
        <v>0.99926654583616215</v>
      </c>
      <c r="Q1000" s="6">
        <f t="shared" si="94"/>
        <v>1.0001500225033755</v>
      </c>
      <c r="R1000">
        <f t="shared" si="95"/>
        <v>-8.8373452406232734E-4</v>
      </c>
      <c r="T1000" s="5">
        <v>45564</v>
      </c>
      <c r="U1000" s="1">
        <v>-8.8373452406232734E-4</v>
      </c>
    </row>
    <row r="1001" spans="3:21" x14ac:dyDescent="0.2">
      <c r="C1001" s="5">
        <v>45565</v>
      </c>
      <c r="D1001" s="6">
        <v>0.99985000000000002</v>
      </c>
      <c r="E1001" s="6">
        <v>63304.82</v>
      </c>
      <c r="F1001" s="6">
        <v>63281.5</v>
      </c>
      <c r="G1001" s="6">
        <v>63367.75</v>
      </c>
      <c r="H1001" s="6">
        <v>63308</v>
      </c>
      <c r="I1001" s="5">
        <v>45565</v>
      </c>
      <c r="J1001" s="7">
        <f t="shared" si="92"/>
        <v>5.0233141805004593E-5</v>
      </c>
      <c r="K1001" s="5">
        <v>45565</v>
      </c>
      <c r="L1001" s="8">
        <f t="shared" si="90"/>
        <v>1.3629575784391962E-3</v>
      </c>
      <c r="M1001" s="5">
        <v>45565</v>
      </c>
      <c r="N1001" s="9">
        <f t="shared" si="91"/>
        <v>1.4131907202442008E-3</v>
      </c>
      <c r="O1001" s="5">
        <v>45565</v>
      </c>
      <c r="P1001">
        <f t="shared" si="93"/>
        <v>0.99905709134378295</v>
      </c>
      <c r="Q1001" s="6">
        <f t="shared" si="94"/>
        <v>1.0001500225033755</v>
      </c>
      <c r="R1001">
        <f t="shared" si="95"/>
        <v>-1.0933647253462677E-3</v>
      </c>
      <c r="T1001" s="5">
        <v>45565</v>
      </c>
      <c r="U1001" s="1">
        <v>-1.0933647253462677E-3</v>
      </c>
    </row>
    <row r="1002" spans="3:21" x14ac:dyDescent="0.2">
      <c r="C1002" s="5">
        <v>45566</v>
      </c>
      <c r="D1002" s="6">
        <v>0.99994000000000005</v>
      </c>
      <c r="E1002" s="6">
        <v>60792.56</v>
      </c>
      <c r="F1002" s="6">
        <v>60769</v>
      </c>
      <c r="G1002" s="6">
        <v>60873.52</v>
      </c>
      <c r="H1002" s="6">
        <v>60778.7</v>
      </c>
      <c r="I1002" s="5">
        <v>45566</v>
      </c>
      <c r="J1002" s="7">
        <f t="shared" si="92"/>
        <v>-2.2798842489937226E-4</v>
      </c>
      <c r="K1002" s="5">
        <v>45566</v>
      </c>
      <c r="L1002" s="8">
        <f t="shared" si="90"/>
        <v>1.7199558985666508E-3</v>
      </c>
      <c r="M1002" s="5">
        <v>45566</v>
      </c>
      <c r="N1002" s="9">
        <f t="shared" si="91"/>
        <v>1.4919674736672784E-3</v>
      </c>
      <c r="O1002" s="5">
        <v>45566</v>
      </c>
      <c r="P1002">
        <f t="shared" si="93"/>
        <v>0.99844234406027454</v>
      </c>
      <c r="Q1002" s="6">
        <f t="shared" si="94"/>
        <v>1.0000600036002159</v>
      </c>
      <c r="R1002">
        <f t="shared" si="95"/>
        <v>-1.6188721470602175E-3</v>
      </c>
      <c r="T1002" s="5">
        <v>45566</v>
      </c>
      <c r="U1002" s="1">
        <v>-1.6188721470602175E-3</v>
      </c>
    </row>
    <row r="1003" spans="3:21" x14ac:dyDescent="0.2">
      <c r="C1003" s="5">
        <v>45567</v>
      </c>
      <c r="D1003" s="6">
        <v>0.99994000000000005</v>
      </c>
      <c r="E1003" s="6">
        <v>60633.21</v>
      </c>
      <c r="F1003" s="6">
        <v>60609.5</v>
      </c>
      <c r="G1003" s="6">
        <v>60671.58</v>
      </c>
      <c r="H1003" s="6">
        <v>60611.4</v>
      </c>
      <c r="I1003" s="5">
        <v>45567</v>
      </c>
      <c r="J1003" s="7">
        <f t="shared" si="92"/>
        <v>-3.5970386525796132E-4</v>
      </c>
      <c r="K1003" s="5">
        <v>45567</v>
      </c>
      <c r="L1003" s="8">
        <f t="shared" si="90"/>
        <v>1.0242618731387283E-3</v>
      </c>
      <c r="M1003" s="5">
        <v>45567</v>
      </c>
      <c r="N1003" s="9">
        <f t="shared" si="91"/>
        <v>6.6455800788076699E-4</v>
      </c>
      <c r="O1003" s="5">
        <v>45567</v>
      </c>
      <c r="P1003">
        <f t="shared" si="93"/>
        <v>0.99900810231083492</v>
      </c>
      <c r="Q1003" s="6">
        <f t="shared" si="94"/>
        <v>1.0000600036002159</v>
      </c>
      <c r="R1003">
        <f t="shared" si="95"/>
        <v>-1.0523917452884401E-3</v>
      </c>
      <c r="T1003" s="5">
        <v>45567</v>
      </c>
      <c r="U1003" s="1">
        <v>-1.0523917452884401E-3</v>
      </c>
    </row>
    <row r="1004" spans="3:21" x14ac:dyDescent="0.2">
      <c r="C1004" s="5">
        <v>45568</v>
      </c>
      <c r="D1004" s="6">
        <v>0.99992999999999999</v>
      </c>
      <c r="E1004" s="6">
        <v>60751.49</v>
      </c>
      <c r="F1004" s="6">
        <v>60722</v>
      </c>
      <c r="G1004" s="6">
        <v>60802.82</v>
      </c>
      <c r="H1004" s="6">
        <v>60733.2</v>
      </c>
      <c r="I1004" s="5">
        <v>45568</v>
      </c>
      <c r="J1004" s="7">
        <f t="shared" si="92"/>
        <v>-3.0106257476155519E-4</v>
      </c>
      <c r="K1004" s="5">
        <v>45568</v>
      </c>
      <c r="L1004" s="8">
        <f t="shared" si="90"/>
        <v>1.3309838279371513E-3</v>
      </c>
      <c r="M1004" s="5">
        <v>45568</v>
      </c>
      <c r="N1004" s="9">
        <f t="shared" si="91"/>
        <v>1.0299212531755962E-3</v>
      </c>
      <c r="O1004" s="5">
        <v>45568</v>
      </c>
      <c r="P1004">
        <f t="shared" si="93"/>
        <v>0.99885498731802247</v>
      </c>
      <c r="Q1004" s="6">
        <f t="shared" si="94"/>
        <v>1.000070004900343</v>
      </c>
      <c r="R1004">
        <f t="shared" si="95"/>
        <v>-1.215671159934141E-3</v>
      </c>
      <c r="T1004" s="5">
        <v>45568</v>
      </c>
      <c r="U1004" s="1">
        <v>-1.215671159934141E-3</v>
      </c>
    </row>
    <row r="1005" spans="3:21" x14ac:dyDescent="0.2">
      <c r="C1005" s="5">
        <v>45569</v>
      </c>
      <c r="D1005" s="6">
        <v>0.99985000000000002</v>
      </c>
      <c r="E1005" s="6">
        <v>62090.68</v>
      </c>
      <c r="F1005" s="6">
        <v>62064</v>
      </c>
      <c r="G1005" s="6">
        <v>62104.71</v>
      </c>
      <c r="H1005" s="6">
        <v>62012</v>
      </c>
      <c r="I1005" s="5">
        <v>45569</v>
      </c>
      <c r="J1005" s="7">
        <f t="shared" si="92"/>
        <v>-1.2671789067215931E-3</v>
      </c>
      <c r="K1005" s="5">
        <v>45569</v>
      </c>
      <c r="L1005" s="8">
        <f t="shared" si="90"/>
        <v>6.5593580819797508E-4</v>
      </c>
      <c r="M1005" s="5">
        <v>45569</v>
      </c>
      <c r="N1005" s="9">
        <f t="shared" si="91"/>
        <v>-6.11243098523618E-4</v>
      </c>
      <c r="O1005" s="5">
        <v>45569</v>
      </c>
      <c r="P1005">
        <f t="shared" si="93"/>
        <v>0.99850719856835324</v>
      </c>
      <c r="Q1005" s="6">
        <f t="shared" si="94"/>
        <v>1.0001500225033755</v>
      </c>
      <c r="R1005">
        <f t="shared" si="95"/>
        <v>-1.6439280209528933E-3</v>
      </c>
      <c r="T1005" s="5">
        <v>45569</v>
      </c>
      <c r="U1005" s="1">
        <v>-1.6439280209528933E-3</v>
      </c>
    </row>
    <row r="1006" spans="3:21" x14ac:dyDescent="0.2">
      <c r="C1006" s="5">
        <v>45570</v>
      </c>
      <c r="D1006" s="6">
        <v>0.99994000000000005</v>
      </c>
      <c r="E1006" s="6">
        <v>62065.04</v>
      </c>
      <c r="F1006" s="6">
        <v>62025.5</v>
      </c>
      <c r="G1006" s="6">
        <v>62072.1</v>
      </c>
      <c r="H1006" s="6">
        <v>62060.4</v>
      </c>
      <c r="I1006" s="5">
        <v>45570</v>
      </c>
      <c r="J1006" s="7">
        <f t="shared" si="92"/>
        <v>-7.4760283728157067E-5</v>
      </c>
      <c r="K1006" s="5">
        <v>45570</v>
      </c>
      <c r="L1006" s="8">
        <f t="shared" si="90"/>
        <v>7.5130389920272382E-4</v>
      </c>
      <c r="M1006" s="5">
        <v>45570</v>
      </c>
      <c r="N1006" s="9">
        <f t="shared" si="91"/>
        <v>6.7654361547456676E-4</v>
      </c>
      <c r="O1006" s="5">
        <v>45570</v>
      </c>
      <c r="P1006">
        <f t="shared" si="93"/>
        <v>0.99981150951876929</v>
      </c>
      <c r="Q1006" s="6">
        <f t="shared" si="94"/>
        <v>1.0000600036002159</v>
      </c>
      <c r="R1006">
        <f t="shared" si="95"/>
        <v>-2.4851004786592912E-4</v>
      </c>
      <c r="T1006" s="5">
        <v>45570</v>
      </c>
      <c r="U1006" s="1">
        <v>-2.4851004786592912E-4</v>
      </c>
    </row>
    <row r="1007" spans="3:21" x14ac:dyDescent="0.2">
      <c r="C1007" s="5">
        <v>45571</v>
      </c>
      <c r="D1007" s="6">
        <v>0.99990000000000001</v>
      </c>
      <c r="E1007" s="6">
        <v>62819.41</v>
      </c>
      <c r="F1007" s="6">
        <v>62799</v>
      </c>
      <c r="G1007" s="6">
        <v>62813.2</v>
      </c>
      <c r="H1007" s="6">
        <v>62793</v>
      </c>
      <c r="I1007" s="5">
        <v>45571</v>
      </c>
      <c r="J1007" s="7">
        <f t="shared" si="92"/>
        <v>-4.2041146199882313E-4</v>
      </c>
      <c r="K1007" s="5">
        <v>45571</v>
      </c>
      <c r="L1007" s="8">
        <f t="shared" si="90"/>
        <v>2.2611825029056337E-4</v>
      </c>
      <c r="M1007" s="5">
        <v>45571</v>
      </c>
      <c r="N1007" s="9">
        <f t="shared" si="91"/>
        <v>-1.9429321170825976E-4</v>
      </c>
      <c r="O1007" s="5">
        <v>45571</v>
      </c>
      <c r="P1007">
        <f t="shared" si="93"/>
        <v>0.99967841154407033</v>
      </c>
      <c r="Q1007" s="6">
        <f t="shared" si="94"/>
        <v>1.000100010001</v>
      </c>
      <c r="R1007">
        <f t="shared" si="95"/>
        <v>-4.216451769192109E-4</v>
      </c>
      <c r="T1007" s="5">
        <v>45571</v>
      </c>
      <c r="U1007" s="1">
        <v>-4.216451769192109E-4</v>
      </c>
    </row>
    <row r="1008" spans="3:21" x14ac:dyDescent="0.2">
      <c r="C1008" s="5">
        <v>45572</v>
      </c>
      <c r="D1008" s="6">
        <v>0.99985000000000002</v>
      </c>
      <c r="E1008" s="6">
        <v>62211.839999999997</v>
      </c>
      <c r="F1008" s="6">
        <v>62171.5</v>
      </c>
      <c r="G1008" s="6">
        <v>62253.51</v>
      </c>
      <c r="H1008" s="6">
        <v>62186.9</v>
      </c>
      <c r="I1008" s="5">
        <v>45572</v>
      </c>
      <c r="J1008" s="7">
        <f t="shared" si="92"/>
        <v>-4.0088831965097085E-4</v>
      </c>
      <c r="K1008" s="5">
        <v>45572</v>
      </c>
      <c r="L1008" s="8">
        <f t="shared" si="90"/>
        <v>1.3190931536154354E-3</v>
      </c>
      <c r="M1008" s="5">
        <v>45572</v>
      </c>
      <c r="N1008" s="9">
        <f t="shared" si="91"/>
        <v>9.1820483396446448E-4</v>
      </c>
      <c r="O1008" s="5">
        <v>45572</v>
      </c>
      <c r="P1008">
        <f t="shared" si="93"/>
        <v>0.99893002017075017</v>
      </c>
      <c r="Q1008" s="6">
        <f t="shared" si="94"/>
        <v>1.0001500225033755</v>
      </c>
      <c r="R1008">
        <f t="shared" si="95"/>
        <v>-1.2205639174449837E-3</v>
      </c>
      <c r="T1008" s="5">
        <v>45572</v>
      </c>
      <c r="U1008" s="1">
        <v>-1.2205639174449837E-3</v>
      </c>
    </row>
    <row r="1009" spans="3:21" x14ac:dyDescent="0.2">
      <c r="C1009" s="5">
        <v>45573</v>
      </c>
      <c r="D1009" s="6">
        <v>0.99985000000000002</v>
      </c>
      <c r="E1009" s="6">
        <v>62124.34</v>
      </c>
      <c r="F1009" s="6">
        <v>62095.5</v>
      </c>
      <c r="G1009" s="6">
        <v>62177.13</v>
      </c>
      <c r="H1009" s="6">
        <v>62112.2</v>
      </c>
      <c r="I1009" s="5">
        <v>45573</v>
      </c>
      <c r="J1009" s="7">
        <f t="shared" si="92"/>
        <v>-1.9541455088294569E-4</v>
      </c>
      <c r="K1009" s="5">
        <v>45573</v>
      </c>
      <c r="L1009" s="8">
        <f t="shared" si="90"/>
        <v>1.3145880136241335E-3</v>
      </c>
      <c r="M1009" s="5">
        <v>45573</v>
      </c>
      <c r="N1009" s="9">
        <f t="shared" si="91"/>
        <v>1.1191734627411878E-3</v>
      </c>
      <c r="O1009" s="5">
        <v>45573</v>
      </c>
      <c r="P1009">
        <f t="shared" si="93"/>
        <v>0.99895572536075561</v>
      </c>
      <c r="Q1009" s="6">
        <f t="shared" si="94"/>
        <v>1.0001500225033755</v>
      </c>
      <c r="R1009">
        <f t="shared" si="95"/>
        <v>-1.1948315250252667E-3</v>
      </c>
      <c r="T1009" s="5">
        <v>45573</v>
      </c>
      <c r="U1009" s="1">
        <v>-1.1948315250252667E-3</v>
      </c>
    </row>
    <row r="1010" spans="3:21" x14ac:dyDescent="0.2">
      <c r="C1010" s="5">
        <v>45574</v>
      </c>
      <c r="D1010" s="6">
        <v>0.99992000000000003</v>
      </c>
      <c r="E1010" s="6">
        <v>60579.9</v>
      </c>
      <c r="F1010" s="6">
        <v>60560</v>
      </c>
      <c r="G1010" s="6">
        <v>60628.68</v>
      </c>
      <c r="H1010" s="6">
        <v>60558.3</v>
      </c>
      <c r="I1010" s="5">
        <v>45574</v>
      </c>
      <c r="J1010" s="7">
        <f t="shared" si="92"/>
        <v>-3.5655390649371398E-4</v>
      </c>
      <c r="K1010" s="5">
        <v>45574</v>
      </c>
      <c r="L1010" s="8">
        <f t="shared" si="90"/>
        <v>1.1340819022457116E-3</v>
      </c>
      <c r="M1010" s="5">
        <v>45574</v>
      </c>
      <c r="N1010" s="9">
        <f t="shared" si="91"/>
        <v>7.7752799575199765E-4</v>
      </c>
      <c r="O1010" s="5">
        <v>45574</v>
      </c>
      <c r="P1010">
        <f t="shared" si="93"/>
        <v>0.99883916324749289</v>
      </c>
      <c r="Q1010" s="6">
        <f t="shared" si="94"/>
        <v>1.000080006400512</v>
      </c>
      <c r="R1010">
        <f t="shared" si="95"/>
        <v>-1.2415142455404963E-3</v>
      </c>
      <c r="T1010" s="5">
        <v>45574</v>
      </c>
      <c r="U1010" s="1">
        <v>-1.2415142455404963E-3</v>
      </c>
    </row>
    <row r="1011" spans="3:21" x14ac:dyDescent="0.2">
      <c r="C1011" s="5">
        <v>45575</v>
      </c>
      <c r="D1011" s="6">
        <v>0.99983</v>
      </c>
      <c r="E1011" s="6">
        <v>60282.559999999998</v>
      </c>
      <c r="F1011" s="6">
        <v>60253</v>
      </c>
      <c r="G1011" s="6">
        <v>60312.78</v>
      </c>
      <c r="H1011" s="6">
        <v>60247.6</v>
      </c>
      <c r="I1011" s="5">
        <v>45575</v>
      </c>
      <c r="J1011" s="7">
        <f t="shared" si="92"/>
        <v>-5.7993555681774508E-4</v>
      </c>
      <c r="K1011" s="5">
        <v>45575</v>
      </c>
      <c r="L1011" s="8">
        <f t="shared" si="90"/>
        <v>9.9214976847623914E-4</v>
      </c>
      <c r="M1011" s="5">
        <v>45575</v>
      </c>
      <c r="N1011" s="9">
        <f t="shared" si="91"/>
        <v>4.1221421165849406E-4</v>
      </c>
      <c r="O1011" s="5">
        <v>45575</v>
      </c>
      <c r="P1011">
        <f t="shared" si="93"/>
        <v>0.99891930035392162</v>
      </c>
      <c r="Q1011" s="6">
        <f t="shared" si="94"/>
        <v>1.0001700289049138</v>
      </c>
      <c r="R1011">
        <f t="shared" si="95"/>
        <v>-1.2512984746406615E-3</v>
      </c>
      <c r="T1011" s="5">
        <v>45575</v>
      </c>
      <c r="U1011" s="1">
        <v>-1.2512984746406615E-3</v>
      </c>
    </row>
    <row r="1012" spans="3:21" x14ac:dyDescent="0.2">
      <c r="C1012" s="5">
        <v>45576</v>
      </c>
      <c r="D1012" s="6">
        <v>0.99992000000000003</v>
      </c>
      <c r="E1012" s="6">
        <v>62523.93</v>
      </c>
      <c r="F1012" s="6">
        <v>62493</v>
      </c>
      <c r="G1012" s="6">
        <v>62446.81</v>
      </c>
      <c r="H1012" s="6">
        <v>62477.7</v>
      </c>
      <c r="I1012" s="5">
        <v>45576</v>
      </c>
      <c r="J1012" s="7">
        <f t="shared" si="92"/>
        <v>-7.3939689971508826E-4</v>
      </c>
      <c r="K1012" s="5">
        <v>45576</v>
      </c>
      <c r="L1012" s="8">
        <f t="shared" si="90"/>
        <v>-7.3912278175159341E-4</v>
      </c>
      <c r="M1012" s="5">
        <v>45576</v>
      </c>
      <c r="N1012" s="9">
        <f t="shared" si="91"/>
        <v>-1.4785196814666817E-3</v>
      </c>
      <c r="O1012" s="5">
        <v>45576</v>
      </c>
      <c r="P1012">
        <f t="shared" si="93"/>
        <v>1.0004946609762773</v>
      </c>
      <c r="Q1012" s="6">
        <f t="shared" si="94"/>
        <v>1.000080006400512</v>
      </c>
      <c r="R1012">
        <f t="shared" si="95"/>
        <v>4.1453547169716755E-4</v>
      </c>
      <c r="T1012" s="5">
        <v>45576</v>
      </c>
      <c r="U1012" s="1">
        <v>4.1453547169716755E-4</v>
      </c>
    </row>
    <row r="1013" spans="3:21" x14ac:dyDescent="0.2">
      <c r="C1013" s="5">
        <v>45577</v>
      </c>
      <c r="D1013" s="6">
        <v>0.99992999999999999</v>
      </c>
      <c r="E1013" s="6">
        <v>63190.33</v>
      </c>
      <c r="F1013" s="6">
        <v>63158.5</v>
      </c>
      <c r="G1013" s="6">
        <v>63055.73</v>
      </c>
      <c r="H1013" s="6">
        <v>63169.9</v>
      </c>
      <c r="I1013" s="5">
        <v>45577</v>
      </c>
      <c r="J1013" s="7">
        <f t="shared" si="92"/>
        <v>-3.2330896198833411E-4</v>
      </c>
      <c r="K1013" s="5">
        <v>45577</v>
      </c>
      <c r="L1013" s="8">
        <f t="shared" si="90"/>
        <v>-1.6271760728959173E-3</v>
      </c>
      <c r="M1013" s="5">
        <v>45577</v>
      </c>
      <c r="N1013" s="9">
        <f t="shared" si="91"/>
        <v>-1.9504850348842514E-3</v>
      </c>
      <c r="O1013" s="5">
        <v>45577</v>
      </c>
      <c r="P1013">
        <f t="shared" si="93"/>
        <v>1.0018106205415434</v>
      </c>
      <c r="Q1013" s="6">
        <f t="shared" si="94"/>
        <v>1.000070004900343</v>
      </c>
      <c r="R1013">
        <f t="shared" si="95"/>
        <v>1.738980893987192E-3</v>
      </c>
      <c r="T1013" s="5">
        <v>45577</v>
      </c>
      <c r="U1013" s="1">
        <v>1.738980893987192E-3</v>
      </c>
    </row>
    <row r="1014" spans="3:21" x14ac:dyDescent="0.2">
      <c r="C1014" s="5">
        <v>45578</v>
      </c>
      <c r="D1014" s="6">
        <v>0.99992999999999999</v>
      </c>
      <c r="E1014" s="6">
        <v>62850.03</v>
      </c>
      <c r="F1014" s="6">
        <v>62827.5</v>
      </c>
      <c r="G1014" s="6">
        <v>62635.29</v>
      </c>
      <c r="H1014" s="6">
        <v>62823.8</v>
      </c>
      <c r="I1014" s="5">
        <v>45578</v>
      </c>
      <c r="J1014" s="7">
        <f t="shared" si="92"/>
        <v>-4.1734268066373118E-4</v>
      </c>
      <c r="K1014" s="5">
        <v>45578</v>
      </c>
      <c r="L1014" s="8">
        <f t="shared" si="90"/>
        <v>-3.0593291154351059E-3</v>
      </c>
      <c r="M1014" s="5">
        <v>45578</v>
      </c>
      <c r="N1014" s="9">
        <f t="shared" si="91"/>
        <v>-3.4766717960988372E-3</v>
      </c>
      <c r="O1014" s="5">
        <v>45578</v>
      </c>
      <c r="P1014">
        <f t="shared" si="93"/>
        <v>1.0030096452016108</v>
      </c>
      <c r="Q1014" s="6">
        <f t="shared" si="94"/>
        <v>1.000070004900343</v>
      </c>
      <c r="R1014">
        <f t="shared" si="95"/>
        <v>2.9351228360003983E-3</v>
      </c>
      <c r="T1014" s="5">
        <v>45578</v>
      </c>
      <c r="U1014" s="1">
        <v>2.9351228360003983E-3</v>
      </c>
    </row>
    <row r="1015" spans="3:21" x14ac:dyDescent="0.2">
      <c r="C1015" s="5">
        <v>45579</v>
      </c>
      <c r="D1015" s="6">
        <v>0.99983999999999995</v>
      </c>
      <c r="E1015" s="6">
        <v>66075.8</v>
      </c>
      <c r="F1015" s="6">
        <v>66074</v>
      </c>
      <c r="G1015" s="6">
        <v>65992.84</v>
      </c>
      <c r="H1015" s="6">
        <v>66059.3</v>
      </c>
      <c r="I1015" s="5">
        <v>45579</v>
      </c>
      <c r="J1015" s="7">
        <f t="shared" si="92"/>
        <v>-2.4971320816395714E-4</v>
      </c>
      <c r="K1015" s="5">
        <v>45579</v>
      </c>
      <c r="L1015" s="8">
        <f t="shared" si="90"/>
        <v>-1.2283197626903697E-3</v>
      </c>
      <c r="M1015" s="5">
        <v>45579</v>
      </c>
      <c r="N1015" s="9">
        <f t="shared" si="91"/>
        <v>-1.4780329708543268E-3</v>
      </c>
      <c r="O1015" s="5">
        <v>45579</v>
      </c>
      <c r="P1015">
        <f t="shared" si="93"/>
        <v>1.0010070789497771</v>
      </c>
      <c r="Q1015" s="6">
        <f t="shared" si="94"/>
        <v>1.0001600256040968</v>
      </c>
      <c r="R1015">
        <f t="shared" si="95"/>
        <v>8.4655938461156697E-4</v>
      </c>
      <c r="T1015" s="5">
        <v>45579</v>
      </c>
      <c r="U1015" s="1">
        <v>8.4655938461156697E-4</v>
      </c>
    </row>
    <row r="1016" spans="3:21" x14ac:dyDescent="0.2">
      <c r="C1016" s="5">
        <v>45580</v>
      </c>
      <c r="D1016" s="6">
        <v>0.99992000000000003</v>
      </c>
      <c r="E1016" s="6">
        <v>67066.679999999993</v>
      </c>
      <c r="F1016" s="6">
        <v>67074</v>
      </c>
      <c r="G1016" s="6">
        <v>67000.19</v>
      </c>
      <c r="H1016" s="6">
        <v>67036.899999999994</v>
      </c>
      <c r="I1016" s="5">
        <v>45580</v>
      </c>
      <c r="J1016" s="7">
        <f t="shared" si="92"/>
        <v>-4.4403569701077853E-4</v>
      </c>
      <c r="K1016" s="5">
        <v>45580</v>
      </c>
      <c r="L1016" s="8">
        <f t="shared" si="90"/>
        <v>-1.100426394728176E-3</v>
      </c>
      <c r="M1016" s="5">
        <v>45580</v>
      </c>
      <c r="N1016" s="9">
        <f t="shared" si="91"/>
        <v>-1.5444620917389545E-3</v>
      </c>
      <c r="O1016" s="5">
        <v>45580</v>
      </c>
      <c r="P1016">
        <f t="shared" si="93"/>
        <v>1.0005479088939897</v>
      </c>
      <c r="Q1016" s="6">
        <f t="shared" si="94"/>
        <v>1.000080006400512</v>
      </c>
      <c r="R1016">
        <f t="shared" si="95"/>
        <v>4.6775564654660167E-4</v>
      </c>
      <c r="T1016" s="5">
        <v>45580</v>
      </c>
      <c r="U1016" s="1">
        <v>4.6775564654660167E-4</v>
      </c>
    </row>
    <row r="1017" spans="3:21" x14ac:dyDescent="0.2">
      <c r="C1017" s="5">
        <v>45581</v>
      </c>
      <c r="D1017" s="6">
        <v>0.99990000000000001</v>
      </c>
      <c r="E1017" s="6">
        <v>67609</v>
      </c>
      <c r="F1017" s="6">
        <v>67578.5</v>
      </c>
      <c r="G1017" s="6">
        <v>67519.41</v>
      </c>
      <c r="H1017" s="6">
        <v>67584</v>
      </c>
      <c r="I1017" s="5">
        <v>45581</v>
      </c>
      <c r="J1017" s="7">
        <f t="shared" si="92"/>
        <v>-3.6977325504000945E-4</v>
      </c>
      <c r="K1017" s="5">
        <v>45581</v>
      </c>
      <c r="L1017" s="8">
        <f t="shared" si="90"/>
        <v>-8.7439052361322771E-4</v>
      </c>
      <c r="M1017" s="5">
        <v>45581</v>
      </c>
      <c r="N1017" s="9">
        <f t="shared" si="91"/>
        <v>-1.2441637786532371E-3</v>
      </c>
      <c r="O1017" s="5">
        <v>45581</v>
      </c>
      <c r="P1017">
        <f t="shared" si="93"/>
        <v>1.0009566138092736</v>
      </c>
      <c r="Q1017" s="6">
        <f t="shared" si="94"/>
        <v>1.000100010001</v>
      </c>
      <c r="R1017">
        <f t="shared" si="95"/>
        <v>8.561515455433892E-4</v>
      </c>
      <c r="T1017" s="5">
        <v>45581</v>
      </c>
      <c r="U1017" s="1">
        <v>8.561515455433892E-4</v>
      </c>
    </row>
    <row r="1018" spans="3:21" x14ac:dyDescent="0.2">
      <c r="C1018" s="5">
        <v>45582</v>
      </c>
      <c r="D1018" s="6">
        <v>0.99985000000000002</v>
      </c>
      <c r="E1018" s="6">
        <v>67404</v>
      </c>
      <c r="F1018" s="6">
        <v>67387.5</v>
      </c>
      <c r="G1018" s="6">
        <v>67302.45</v>
      </c>
      <c r="H1018" s="6">
        <v>67372.3</v>
      </c>
      <c r="I1018" s="5">
        <v>45582</v>
      </c>
      <c r="J1018" s="7">
        <f t="shared" si="92"/>
        <v>-4.7029849860538085E-4</v>
      </c>
      <c r="K1018" s="5">
        <v>45582</v>
      </c>
      <c r="L1018" s="8">
        <f t="shared" si="90"/>
        <v>-1.2621035058431149E-3</v>
      </c>
      <c r="M1018" s="5">
        <v>45582</v>
      </c>
      <c r="N1018" s="9">
        <f t="shared" si="91"/>
        <v>-1.7324020044484957E-3</v>
      </c>
      <c r="O1018" s="5">
        <v>45582</v>
      </c>
      <c r="P1018">
        <f t="shared" si="93"/>
        <v>1.0010378522624364</v>
      </c>
      <c r="Q1018" s="6">
        <f t="shared" si="94"/>
        <v>1.0001500225033755</v>
      </c>
      <c r="R1018">
        <f t="shared" si="95"/>
        <v>8.8730281499854421E-4</v>
      </c>
      <c r="T1018" s="5">
        <v>45582</v>
      </c>
      <c r="U1018" s="1">
        <v>8.8730281499854421E-4</v>
      </c>
    </row>
    <row r="1019" spans="3:21" x14ac:dyDescent="0.2">
      <c r="C1019" s="5">
        <v>45583</v>
      </c>
      <c r="D1019" s="6">
        <v>0.99992000000000003</v>
      </c>
      <c r="E1019" s="6">
        <v>68432.990000000005</v>
      </c>
      <c r="F1019" s="6">
        <v>68411</v>
      </c>
      <c r="G1019" s="6">
        <v>68398.05</v>
      </c>
      <c r="H1019" s="6">
        <v>68395.100000000006</v>
      </c>
      <c r="I1019" s="5">
        <v>45583</v>
      </c>
      <c r="J1019" s="7">
        <f t="shared" si="92"/>
        <v>-5.5368032289688661E-4</v>
      </c>
      <c r="K1019" s="5">
        <v>45583</v>
      </c>
      <c r="L1019" s="8">
        <f t="shared" si="90"/>
        <v>-1.8929704287317959E-4</v>
      </c>
      <c r="M1019" s="5">
        <v>45583</v>
      </c>
      <c r="N1019" s="9">
        <f t="shared" si="91"/>
        <v>-7.4297736577006617E-4</v>
      </c>
      <c r="O1019" s="5">
        <v>45583</v>
      </c>
      <c r="P1019">
        <f t="shared" si="93"/>
        <v>0.9999568701154492</v>
      </c>
      <c r="Q1019" s="6">
        <f t="shared" si="94"/>
        <v>1.000080006400512</v>
      </c>
      <c r="R1019">
        <f t="shared" si="95"/>
        <v>-1.231340148416704E-4</v>
      </c>
      <c r="T1019" s="5">
        <v>45583</v>
      </c>
      <c r="U1019" s="1">
        <v>-1.231340148416704E-4</v>
      </c>
    </row>
    <row r="1020" spans="3:21" x14ac:dyDescent="0.2">
      <c r="C1020" s="5">
        <v>45584</v>
      </c>
      <c r="D1020" s="6">
        <v>0.99985000000000002</v>
      </c>
      <c r="E1020" s="6">
        <v>68376.820000000007</v>
      </c>
      <c r="F1020" s="6">
        <v>68372</v>
      </c>
      <c r="G1020" s="6">
        <v>68278.679999999993</v>
      </c>
      <c r="H1020" s="6">
        <v>68339.8</v>
      </c>
      <c r="I1020" s="5">
        <v>45584</v>
      </c>
      <c r="J1020" s="7">
        <f t="shared" si="92"/>
        <v>-5.414115485336123E-4</v>
      </c>
      <c r="K1020" s="5">
        <v>45584</v>
      </c>
      <c r="L1020" s="8">
        <f t="shared" si="90"/>
        <v>-1.3648862107296406E-3</v>
      </c>
      <c r="M1020" s="5">
        <v>45584</v>
      </c>
      <c r="N1020" s="9">
        <f t="shared" si="91"/>
        <v>-1.9062977592632529E-3</v>
      </c>
      <c r="O1020" s="5">
        <v>45584</v>
      </c>
      <c r="P1020">
        <f t="shared" si="93"/>
        <v>1.0008951549737048</v>
      </c>
      <c r="Q1020" s="6">
        <f t="shared" si="94"/>
        <v>1.0001500225033755</v>
      </c>
      <c r="R1020">
        <f t="shared" si="95"/>
        <v>7.447433103025641E-4</v>
      </c>
      <c r="T1020" s="5">
        <v>45584</v>
      </c>
      <c r="U1020" s="1">
        <v>7.447433103025641E-4</v>
      </c>
    </row>
    <row r="1021" spans="3:21" x14ac:dyDescent="0.2">
      <c r="C1021" s="5">
        <v>45585</v>
      </c>
      <c r="D1021" s="6">
        <v>0.99990000000000001</v>
      </c>
      <c r="E1021" s="6">
        <v>69026.02</v>
      </c>
      <c r="F1021" s="6">
        <v>69032</v>
      </c>
      <c r="G1021" s="6">
        <v>68773.8</v>
      </c>
      <c r="H1021" s="6">
        <v>69012.600000000006</v>
      </c>
      <c r="I1021" s="5">
        <v>45585</v>
      </c>
      <c r="J1021" s="7">
        <f t="shared" si="92"/>
        <v>-1.9441943777141218E-4</v>
      </c>
      <c r="K1021" s="5">
        <v>45585</v>
      </c>
      <c r="L1021" s="8">
        <f t="shared" si="90"/>
        <v>-3.7402943562405418E-3</v>
      </c>
      <c r="M1021" s="5">
        <v>45585</v>
      </c>
      <c r="N1021" s="9">
        <f t="shared" si="91"/>
        <v>-3.9347137940119537E-3</v>
      </c>
      <c r="O1021" s="5">
        <v>45585</v>
      </c>
      <c r="P1021">
        <f t="shared" si="93"/>
        <v>1.0034722525147659</v>
      </c>
      <c r="Q1021" s="6">
        <f t="shared" si="94"/>
        <v>1.000100010001</v>
      </c>
      <c r="R1021">
        <f t="shared" si="95"/>
        <v>3.3662331638776568E-3</v>
      </c>
      <c r="T1021" s="5">
        <v>45585</v>
      </c>
      <c r="U1021" s="1">
        <v>3.3662331638776568E-3</v>
      </c>
    </row>
    <row r="1022" spans="3:21" x14ac:dyDescent="0.2">
      <c r="C1022" s="5">
        <v>45586</v>
      </c>
      <c r="D1022" s="6">
        <v>0.99980999999999998</v>
      </c>
      <c r="E1022" s="6">
        <v>67354.820000000007</v>
      </c>
      <c r="F1022" s="6">
        <v>67349.5</v>
      </c>
      <c r="G1022" s="6">
        <v>67306.539999999994</v>
      </c>
      <c r="H1022" s="6">
        <v>67372.7</v>
      </c>
      <c r="I1022" s="5">
        <v>45586</v>
      </c>
      <c r="J1022" s="7">
        <f t="shared" si="92"/>
        <v>2.6545984385364111E-4</v>
      </c>
      <c r="K1022" s="5">
        <v>45586</v>
      </c>
      <c r="L1022" s="8">
        <f t="shared" si="90"/>
        <v>-6.3786665082898018E-4</v>
      </c>
      <c r="M1022" s="5">
        <v>45586</v>
      </c>
      <c r="N1022" s="9">
        <f t="shared" si="91"/>
        <v>-3.7240680697533908E-4</v>
      </c>
      <c r="O1022" s="5">
        <v>45586</v>
      </c>
      <c r="P1022">
        <f t="shared" si="93"/>
        <v>1.0009829653997964</v>
      </c>
      <c r="Q1022" s="6">
        <f t="shared" si="94"/>
        <v>1.0001900361068603</v>
      </c>
      <c r="R1022">
        <f t="shared" si="95"/>
        <v>7.9246455337514919E-4</v>
      </c>
      <c r="T1022" s="5">
        <v>45586</v>
      </c>
      <c r="U1022" s="1">
        <v>7.9246455337514919E-4</v>
      </c>
    </row>
    <row r="1023" spans="3:21" x14ac:dyDescent="0.2">
      <c r="C1023" s="5">
        <v>45587</v>
      </c>
      <c r="D1023" s="6">
        <v>0.99978999999999996</v>
      </c>
      <c r="E1023" s="6">
        <v>67394.539999999994</v>
      </c>
      <c r="F1023" s="6">
        <v>67396.5</v>
      </c>
      <c r="G1023" s="6">
        <v>67385.38</v>
      </c>
      <c r="H1023" s="6">
        <v>67398.600000000006</v>
      </c>
      <c r="I1023" s="5">
        <v>45587</v>
      </c>
      <c r="J1023" s="7">
        <f t="shared" si="92"/>
        <v>6.0242268884277924E-5</v>
      </c>
      <c r="K1023" s="5">
        <v>45587</v>
      </c>
      <c r="L1023" s="8">
        <f t="shared" si="90"/>
        <v>-1.6499373112840196E-4</v>
      </c>
      <c r="M1023" s="5">
        <v>45587</v>
      </c>
      <c r="N1023" s="9">
        <f t="shared" si="91"/>
        <v>-1.0475146224412404E-4</v>
      </c>
      <c r="O1023" s="5">
        <v>45587</v>
      </c>
      <c r="P1023">
        <f t="shared" si="93"/>
        <v>1.0001961849884946</v>
      </c>
      <c r="Q1023" s="6">
        <f t="shared" si="94"/>
        <v>1.000210044109263</v>
      </c>
      <c r="R1023">
        <f t="shared" si="95"/>
        <v>-1.3856306351161015E-5</v>
      </c>
      <c r="T1023" s="5">
        <v>45587</v>
      </c>
      <c r="U1023" s="1">
        <v>-1.3856306351161015E-5</v>
      </c>
    </row>
    <row r="1024" spans="3:21" x14ac:dyDescent="0.2">
      <c r="C1024" s="5">
        <v>45588</v>
      </c>
      <c r="D1024" s="6">
        <v>0.99980000000000002</v>
      </c>
      <c r="E1024" s="6">
        <v>66614.490000000005</v>
      </c>
      <c r="F1024" s="6">
        <v>66621</v>
      </c>
      <c r="G1024" s="6">
        <v>66649.34</v>
      </c>
      <c r="H1024" s="6">
        <v>66616.7</v>
      </c>
      <c r="I1024" s="5">
        <v>45588</v>
      </c>
      <c r="J1024" s="7">
        <f t="shared" si="92"/>
        <v>3.3175965169017293E-5</v>
      </c>
      <c r="K1024" s="5">
        <v>45588</v>
      </c>
      <c r="L1024" s="8">
        <f t="shared" si="90"/>
        <v>4.2539139310422398E-4</v>
      </c>
      <c r="M1024" s="5">
        <v>45588</v>
      </c>
      <c r="N1024" s="9">
        <f t="shared" si="91"/>
        <v>4.5856735827324126E-4</v>
      </c>
      <c r="O1024" s="5">
        <v>45588</v>
      </c>
      <c r="P1024">
        <f t="shared" si="93"/>
        <v>0.99951027271987991</v>
      </c>
      <c r="Q1024" s="6">
        <f t="shared" si="94"/>
        <v>1.0002000400080016</v>
      </c>
      <c r="R1024">
        <f t="shared" si="95"/>
        <v>-6.8986723835680103E-4</v>
      </c>
      <c r="T1024" s="5">
        <v>45588</v>
      </c>
      <c r="U1024" s="1">
        <v>-6.8986723835680103E-4</v>
      </c>
    </row>
    <row r="1025" spans="3:21" x14ac:dyDescent="0.2">
      <c r="C1025" s="5">
        <v>45589</v>
      </c>
      <c r="D1025" s="6">
        <v>0.99968000000000001</v>
      </c>
      <c r="E1025" s="6">
        <v>68160.02</v>
      </c>
      <c r="F1025" s="6">
        <v>68176</v>
      </c>
      <c r="G1025" s="6">
        <v>68167.03</v>
      </c>
      <c r="H1025" s="6">
        <v>68140.7</v>
      </c>
      <c r="I1025" s="5">
        <v>45589</v>
      </c>
      <c r="J1025" s="7">
        <f t="shared" si="92"/>
        <v>-2.8345062105332398E-4</v>
      </c>
      <c r="K1025" s="5">
        <v>45589</v>
      </c>
      <c r="L1025" s="8">
        <f t="shared" si="90"/>
        <v>-1.3157122741142284E-4</v>
      </c>
      <c r="M1025" s="5">
        <v>45589</v>
      </c>
      <c r="N1025" s="9">
        <f t="shared" si="91"/>
        <v>-4.1502184846474682E-4</v>
      </c>
      <c r="O1025" s="5">
        <v>45589</v>
      </c>
      <c r="P1025">
        <f t="shared" si="93"/>
        <v>0.99961374289007454</v>
      </c>
      <c r="Q1025" s="6">
        <f t="shared" si="94"/>
        <v>1.0003201024327786</v>
      </c>
      <c r="R1025">
        <f t="shared" si="95"/>
        <v>-7.0638293734303183E-4</v>
      </c>
      <c r="T1025" s="5">
        <v>45589</v>
      </c>
      <c r="U1025" s="1">
        <v>-7.0638293734303183E-4</v>
      </c>
    </row>
    <row r="1026" spans="3:21" x14ac:dyDescent="0.2">
      <c r="C1026" s="5">
        <v>45590</v>
      </c>
      <c r="D1026" s="6">
        <v>0.99992999999999999</v>
      </c>
      <c r="E1026" s="6">
        <v>66569.23</v>
      </c>
      <c r="F1026" s="6">
        <v>66584.5</v>
      </c>
      <c r="G1026" s="6">
        <v>66816.23</v>
      </c>
      <c r="H1026" s="6">
        <v>66560.5</v>
      </c>
      <c r="I1026" s="5">
        <v>45590</v>
      </c>
      <c r="J1026" s="7">
        <f t="shared" si="92"/>
        <v>-1.3114167010788507E-4</v>
      </c>
      <c r="K1026" s="5">
        <v>45590</v>
      </c>
      <c r="L1026" s="8">
        <f t="shared" si="90"/>
        <v>3.4802393950543434E-3</v>
      </c>
      <c r="M1026" s="5">
        <v>45590</v>
      </c>
      <c r="N1026" s="9">
        <f t="shared" si="91"/>
        <v>3.3490977249464584E-3</v>
      </c>
      <c r="O1026" s="5">
        <v>45590</v>
      </c>
      <c r="P1026">
        <f t="shared" si="93"/>
        <v>0.99617263649864718</v>
      </c>
      <c r="Q1026" s="6">
        <f t="shared" si="94"/>
        <v>1.000070004900343</v>
      </c>
      <c r="R1026">
        <f t="shared" si="95"/>
        <v>-3.9047090496116808E-3</v>
      </c>
      <c r="T1026" s="5">
        <v>45590</v>
      </c>
      <c r="U1026" s="1">
        <v>-3.9047090496116808E-3</v>
      </c>
    </row>
    <row r="1027" spans="3:21" x14ac:dyDescent="0.2">
      <c r="C1027" s="5">
        <v>45591</v>
      </c>
      <c r="D1027" s="6">
        <v>0.99978999999999996</v>
      </c>
      <c r="E1027" s="6">
        <v>67019</v>
      </c>
      <c r="F1027" s="6">
        <v>67018</v>
      </c>
      <c r="G1027" s="6">
        <v>67154.28</v>
      </c>
      <c r="H1027" s="6">
        <v>66985.5</v>
      </c>
      <c r="I1027" s="5">
        <v>45591</v>
      </c>
      <c r="J1027" s="7">
        <f t="shared" si="92"/>
        <v>-4.9985824915322523E-4</v>
      </c>
      <c r="K1027" s="5">
        <v>45591</v>
      </c>
      <c r="L1027" s="8">
        <f t="shared" si="90"/>
        <v>2.0334835417350388E-3</v>
      </c>
      <c r="M1027" s="5">
        <v>45591</v>
      </c>
      <c r="N1027" s="9">
        <f t="shared" si="91"/>
        <v>1.5336252925818136E-3</v>
      </c>
      <c r="O1027" s="5">
        <v>45591</v>
      </c>
      <c r="P1027">
        <f t="shared" si="93"/>
        <v>0.9974866829039043</v>
      </c>
      <c r="Q1027" s="6">
        <f t="shared" si="94"/>
        <v>1.000210044109263</v>
      </c>
      <c r="R1027">
        <f t="shared" si="95"/>
        <v>-2.7265028326007705E-3</v>
      </c>
      <c r="T1027" s="5">
        <v>45591</v>
      </c>
      <c r="U1027" s="1">
        <v>-2.7265028326007705E-3</v>
      </c>
    </row>
    <row r="1028" spans="3:21" x14ac:dyDescent="0.2">
      <c r="C1028" s="5">
        <v>45592</v>
      </c>
      <c r="D1028" s="6">
        <v>0.99978</v>
      </c>
      <c r="E1028" s="6">
        <v>67947.75</v>
      </c>
      <c r="F1028" s="6">
        <v>67955.5</v>
      </c>
      <c r="G1028" s="6">
        <v>67974.58</v>
      </c>
      <c r="H1028" s="6">
        <v>67915.600000000006</v>
      </c>
      <c r="I1028" s="5">
        <v>45592</v>
      </c>
      <c r="J1028" s="7">
        <f t="shared" si="92"/>
        <v>-4.7315768366125704E-4</v>
      </c>
      <c r="K1028" s="5">
        <v>45592</v>
      </c>
      <c r="L1028" s="8">
        <f t="shared" si="90"/>
        <v>2.8077197577829234E-4</v>
      </c>
      <c r="M1028" s="5">
        <v>45592</v>
      </c>
      <c r="N1028" s="9">
        <f t="shared" si="91"/>
        <v>-1.923857078829647E-4</v>
      </c>
      <c r="O1028" s="5">
        <v>45592</v>
      </c>
      <c r="P1028">
        <f t="shared" si="93"/>
        <v>0.99913232270063312</v>
      </c>
      <c r="Q1028" s="6">
        <f t="shared" si="94"/>
        <v>1.0002200484106503</v>
      </c>
      <c r="R1028">
        <f t="shared" si="95"/>
        <v>-1.088078152754073E-3</v>
      </c>
      <c r="T1028" s="5">
        <v>45592</v>
      </c>
      <c r="U1028" s="1">
        <v>-1.088078152754073E-3</v>
      </c>
    </row>
    <row r="1029" spans="3:21" x14ac:dyDescent="0.2">
      <c r="C1029" s="5">
        <v>45593</v>
      </c>
      <c r="D1029" s="6">
        <v>0.99987000000000004</v>
      </c>
      <c r="E1029" s="6">
        <v>69929.11</v>
      </c>
      <c r="F1029" s="6">
        <v>69935.5</v>
      </c>
      <c r="G1029" s="6">
        <v>69761.850000000006</v>
      </c>
      <c r="H1029" s="6">
        <v>69901.100000000006</v>
      </c>
      <c r="I1029" s="5">
        <v>45593</v>
      </c>
      <c r="J1029" s="7">
        <f t="shared" si="92"/>
        <v>-4.0054849832916166E-4</v>
      </c>
      <c r="K1029" s="5">
        <v>45593</v>
      </c>
      <c r="L1029" s="8">
        <f t="shared" si="90"/>
        <v>-2.4830021948794843E-3</v>
      </c>
      <c r="M1029" s="5">
        <v>45593</v>
      </c>
      <c r="N1029" s="9">
        <f t="shared" si="91"/>
        <v>-2.8835506932086458E-3</v>
      </c>
      <c r="O1029" s="5">
        <v>45593</v>
      </c>
      <c r="P1029">
        <f t="shared" si="93"/>
        <v>1.0019960766522105</v>
      </c>
      <c r="Q1029" s="6">
        <f t="shared" si="94"/>
        <v>1.0001300169021972</v>
      </c>
      <c r="R1029">
        <f t="shared" si="95"/>
        <v>1.8640786875191698E-3</v>
      </c>
      <c r="T1029" s="5">
        <v>45593</v>
      </c>
      <c r="U1029" s="1">
        <v>1.8640786875191698E-3</v>
      </c>
    </row>
    <row r="1030" spans="3:21" x14ac:dyDescent="0.2">
      <c r="C1030" s="5">
        <v>45594</v>
      </c>
      <c r="D1030" s="6">
        <v>0.99983999999999995</v>
      </c>
      <c r="E1030" s="6">
        <v>72732.55</v>
      </c>
      <c r="F1030" s="6">
        <v>72745.5</v>
      </c>
      <c r="G1030" s="6">
        <v>72628.240000000005</v>
      </c>
      <c r="H1030" s="6">
        <v>72718</v>
      </c>
      <c r="I1030" s="5">
        <v>45594</v>
      </c>
      <c r="J1030" s="7">
        <f t="shared" si="92"/>
        <v>-2.0004798401819968E-4</v>
      </c>
      <c r="K1030" s="5">
        <v>45594</v>
      </c>
      <c r="L1030" s="8">
        <f t="shared" si="90"/>
        <v>-1.6119210122962212E-3</v>
      </c>
      <c r="M1030" s="5">
        <v>45594</v>
      </c>
      <c r="N1030" s="9">
        <f t="shared" si="91"/>
        <v>-1.8119689963144209E-3</v>
      </c>
      <c r="O1030" s="5">
        <v>45594</v>
      </c>
      <c r="P1030">
        <f t="shared" si="93"/>
        <v>1.0012358829017474</v>
      </c>
      <c r="Q1030" s="6">
        <f t="shared" si="94"/>
        <v>1.0001600256040968</v>
      </c>
      <c r="R1030">
        <f t="shared" si="95"/>
        <v>1.0751070257575318E-3</v>
      </c>
      <c r="T1030" s="5">
        <v>45594</v>
      </c>
      <c r="U1030" s="1">
        <v>1.0751070257575318E-3</v>
      </c>
    </row>
    <row r="1031" spans="3:21" x14ac:dyDescent="0.2">
      <c r="C1031" s="5">
        <v>45595</v>
      </c>
      <c r="D1031" s="6">
        <v>0.99990000000000001</v>
      </c>
      <c r="E1031" s="6">
        <v>72333.279999999999</v>
      </c>
      <c r="F1031" s="6">
        <v>72357.5</v>
      </c>
      <c r="G1031" s="6">
        <v>72361.59</v>
      </c>
      <c r="H1031" s="6">
        <v>72331.7</v>
      </c>
      <c r="I1031" s="5">
        <v>45595</v>
      </c>
      <c r="J1031" s="7">
        <f t="shared" si="92"/>
        <v>-2.1843334078058485E-5</v>
      </c>
      <c r="K1031" s="5">
        <v>45595</v>
      </c>
      <c r="L1031" s="8">
        <f t="shared" si="90"/>
        <v>5.6524893756645925E-5</v>
      </c>
      <c r="M1031" s="5">
        <v>45595</v>
      </c>
      <c r="N1031" s="9">
        <f t="shared" si="91"/>
        <v>3.468155967858744E-5</v>
      </c>
      <c r="O1031" s="5">
        <v>45595</v>
      </c>
      <c r="P1031">
        <f t="shared" si="93"/>
        <v>0.99958693555517497</v>
      </c>
      <c r="Q1031" s="6">
        <f t="shared" si="94"/>
        <v>1.000100010001</v>
      </c>
      <c r="R1031">
        <f t="shared" si="95"/>
        <v>-5.131547797759897E-4</v>
      </c>
      <c r="T1031" s="5">
        <v>45595</v>
      </c>
      <c r="U1031" s="1">
        <v>-5.131547797759897E-4</v>
      </c>
    </row>
    <row r="1032" spans="3:21" x14ac:dyDescent="0.2">
      <c r="C1032" s="5">
        <v>45596</v>
      </c>
      <c r="D1032" s="6">
        <v>0.99997000000000003</v>
      </c>
      <c r="E1032" s="6">
        <v>70214.990000000005</v>
      </c>
      <c r="F1032" s="6">
        <v>70231.5</v>
      </c>
      <c r="G1032" s="6">
        <v>70307.19</v>
      </c>
      <c r="H1032" s="6">
        <v>70213</v>
      </c>
      <c r="I1032" s="5">
        <v>45596</v>
      </c>
      <c r="J1032" s="7">
        <f t="shared" si="92"/>
        <v>-2.834152650317601E-5</v>
      </c>
      <c r="K1032" s="5">
        <v>45596</v>
      </c>
      <c r="L1032" s="8">
        <f t="shared" si="90"/>
        <v>1.0777215352085934E-3</v>
      </c>
      <c r="M1032" s="5">
        <v>45596</v>
      </c>
      <c r="N1032" s="9">
        <f t="shared" si="91"/>
        <v>1.0493800087054174E-3</v>
      </c>
      <c r="O1032" s="5">
        <v>45596</v>
      </c>
      <c r="P1032">
        <f t="shared" si="93"/>
        <v>0.99866030771532754</v>
      </c>
      <c r="Q1032" s="6">
        <f t="shared" si="94"/>
        <v>1.0000300009000269</v>
      </c>
      <c r="R1032">
        <f t="shared" si="95"/>
        <v>-1.3705909246786024E-3</v>
      </c>
      <c r="T1032" s="5">
        <v>45596</v>
      </c>
      <c r="U1032" s="1">
        <v>-1.3705909246786024E-3</v>
      </c>
    </row>
    <row r="1033" spans="3:21" x14ac:dyDescent="0.2">
      <c r="C1033" s="5">
        <v>45597</v>
      </c>
      <c r="D1033" s="6">
        <v>0.99983999999999995</v>
      </c>
      <c r="E1033" s="6">
        <v>69461.17</v>
      </c>
      <c r="F1033" s="6">
        <v>69476.5</v>
      </c>
      <c r="G1033" s="6">
        <v>69562.86</v>
      </c>
      <c r="H1033" s="6">
        <v>69439.8</v>
      </c>
      <c r="I1033" s="5">
        <v>45597</v>
      </c>
      <c r="J1033" s="7">
        <f t="shared" si="92"/>
        <v>-3.0765390217290243E-4</v>
      </c>
      <c r="K1033" s="5">
        <v>45597</v>
      </c>
      <c r="L1033" s="8">
        <f t="shared" si="90"/>
        <v>1.2430102264794655E-3</v>
      </c>
      <c r="M1033" s="5">
        <v>45597</v>
      </c>
      <c r="N1033" s="9">
        <f t="shared" si="91"/>
        <v>9.3535632430656308E-4</v>
      </c>
      <c r="O1033" s="5">
        <v>45597</v>
      </c>
      <c r="P1033">
        <f t="shared" si="93"/>
        <v>0.99823095255140459</v>
      </c>
      <c r="Q1033" s="6">
        <f t="shared" si="94"/>
        <v>1.0001600256040968</v>
      </c>
      <c r="R1033">
        <f t="shared" si="95"/>
        <v>-1.9306268622790365E-3</v>
      </c>
      <c r="T1033" s="5">
        <v>45597</v>
      </c>
      <c r="U1033" s="1">
        <v>-1.9306268622790365E-3</v>
      </c>
    </row>
    <row r="1034" spans="3:21" x14ac:dyDescent="0.2">
      <c r="C1034" s="5">
        <v>45598</v>
      </c>
      <c r="D1034" s="6">
        <v>0.99995999999999996</v>
      </c>
      <c r="E1034" s="6">
        <v>69355.990000000005</v>
      </c>
      <c r="F1034" s="6">
        <v>69345</v>
      </c>
      <c r="G1034" s="6">
        <v>69581.91</v>
      </c>
      <c r="H1034" s="6">
        <v>69294.7</v>
      </c>
      <c r="I1034" s="5">
        <v>45598</v>
      </c>
      <c r="J1034" s="7">
        <f t="shared" si="92"/>
        <v>-8.8370160962316518E-4</v>
      </c>
      <c r="K1034" s="5">
        <v>45598</v>
      </c>
      <c r="L1034" s="8">
        <f t="shared" si="90"/>
        <v>3.4163962794722547E-3</v>
      </c>
      <c r="M1034" s="5">
        <v>45598</v>
      </c>
      <c r="N1034" s="9">
        <f t="shared" si="91"/>
        <v>2.5326946698490897E-3</v>
      </c>
      <c r="O1034" s="5">
        <v>45598</v>
      </c>
      <c r="P1034">
        <f t="shared" si="93"/>
        <v>0.99587234670620561</v>
      </c>
      <c r="Q1034" s="6">
        <f t="shared" si="94"/>
        <v>1.0000400016000641</v>
      </c>
      <c r="R1034">
        <f t="shared" si="95"/>
        <v>-4.1761963691433627E-3</v>
      </c>
      <c r="T1034" s="5">
        <v>45598</v>
      </c>
      <c r="U1034" s="1">
        <v>-4.1761963691433627E-3</v>
      </c>
    </row>
    <row r="1035" spans="3:21" x14ac:dyDescent="0.2">
      <c r="C1035" s="5">
        <v>45599</v>
      </c>
      <c r="D1035" s="6">
        <v>0.99983999999999995</v>
      </c>
      <c r="E1035" s="6">
        <v>68744.02</v>
      </c>
      <c r="F1035" s="6">
        <v>68741.5</v>
      </c>
      <c r="G1035" s="6">
        <v>68909.37</v>
      </c>
      <c r="H1035" s="6">
        <v>68711.100000000006</v>
      </c>
      <c r="I1035" s="5">
        <v>45599</v>
      </c>
      <c r="J1035" s="7">
        <f t="shared" si="92"/>
        <v>-4.7887801731697177E-4</v>
      </c>
      <c r="K1035" s="5">
        <v>45599</v>
      </c>
      <c r="L1035" s="8">
        <f t="shared" ref="L1035:L1098" si="96">(G1035-F1035)/F1035</f>
        <v>2.4420473804033275E-3</v>
      </c>
      <c r="M1035" s="5">
        <v>45599</v>
      </c>
      <c r="N1035" s="9">
        <f t="shared" ref="N1035:N1098" si="97">J1035+L1035</f>
        <v>1.9631693630863555E-3</v>
      </c>
      <c r="O1035" s="5">
        <v>45599</v>
      </c>
      <c r="P1035">
        <f t="shared" si="93"/>
        <v>0.99712274252398492</v>
      </c>
      <c r="Q1035" s="6">
        <f t="shared" si="94"/>
        <v>1.0001600256040968</v>
      </c>
      <c r="R1035">
        <f t="shared" si="95"/>
        <v>-3.0414175397438267E-3</v>
      </c>
      <c r="T1035" s="5">
        <v>45599</v>
      </c>
      <c r="U1035" s="1">
        <v>-3.0414175397438267E-3</v>
      </c>
    </row>
    <row r="1036" spans="3:21" x14ac:dyDescent="0.2">
      <c r="C1036" s="5">
        <v>45600</v>
      </c>
      <c r="D1036" s="6">
        <v>0.99992999999999999</v>
      </c>
      <c r="E1036" s="6">
        <v>67812.3</v>
      </c>
      <c r="F1036" s="6">
        <v>67788.5</v>
      </c>
      <c r="G1036" s="6">
        <v>67882.850000000006</v>
      </c>
      <c r="H1036" s="6">
        <v>67797</v>
      </c>
      <c r="I1036" s="5">
        <v>45600</v>
      </c>
      <c r="J1036" s="7">
        <f t="shared" ref="J1036:J1099" si="98">(H1036-E1036)/E1036</f>
        <v>-2.2562278524696714E-4</v>
      </c>
      <c r="K1036" s="5">
        <v>45600</v>
      </c>
      <c r="L1036" s="8">
        <f t="shared" si="96"/>
        <v>1.3918289975439169E-3</v>
      </c>
      <c r="M1036" s="5">
        <v>45600</v>
      </c>
      <c r="N1036" s="9">
        <f t="shared" si="97"/>
        <v>1.1662062122969499E-3</v>
      </c>
      <c r="O1036" s="5">
        <v>45600</v>
      </c>
      <c r="P1036">
        <f t="shared" ref="P1036:P1099" si="99">(1/G1036)*H1036</f>
        <v>0.99873532121883501</v>
      </c>
      <c r="Q1036" s="6">
        <f t="shared" ref="Q1036:Q1099" si="100">1/D1036</f>
        <v>1.000070004900343</v>
      </c>
      <c r="R1036">
        <f t="shared" ref="R1036:R1099" si="101">LN(P1036/Q1036)</f>
        <v>-1.3354816123769602E-3</v>
      </c>
      <c r="T1036" s="5">
        <v>45600</v>
      </c>
      <c r="U1036" s="1">
        <v>-1.3354816123769602E-3</v>
      </c>
    </row>
    <row r="1037" spans="3:21" x14ac:dyDescent="0.2">
      <c r="C1037" s="5">
        <v>45601</v>
      </c>
      <c r="D1037" s="6">
        <v>0.99987000000000004</v>
      </c>
      <c r="E1037" s="6">
        <v>69365.08</v>
      </c>
      <c r="F1037" s="6">
        <v>69336</v>
      </c>
      <c r="G1037" s="6">
        <v>69458.14</v>
      </c>
      <c r="H1037" s="6">
        <v>69277.2</v>
      </c>
      <c r="I1037" s="5">
        <v>45601</v>
      </c>
      <c r="J1037" s="7">
        <f t="shared" si="98"/>
        <v>-1.2669198968703655E-3</v>
      </c>
      <c r="K1037" s="5">
        <v>45601</v>
      </c>
      <c r="L1037" s="8">
        <f t="shared" si="96"/>
        <v>1.7615668628129604E-3</v>
      </c>
      <c r="M1037" s="5">
        <v>45601</v>
      </c>
      <c r="N1037" s="9">
        <f t="shared" si="97"/>
        <v>4.9464696594259485E-4</v>
      </c>
      <c r="O1037" s="5">
        <v>45601</v>
      </c>
      <c r="P1037">
        <f t="shared" si="99"/>
        <v>0.99739497775206765</v>
      </c>
      <c r="Q1037" s="6">
        <f t="shared" si="100"/>
        <v>1.0001300169021972</v>
      </c>
      <c r="R1037">
        <f t="shared" si="101"/>
        <v>-2.7384296733404369E-3</v>
      </c>
      <c r="T1037" s="5">
        <v>45601</v>
      </c>
      <c r="U1037" s="1">
        <v>-2.7384296733404369E-3</v>
      </c>
    </row>
    <row r="1038" spans="3:21" x14ac:dyDescent="0.2">
      <c r="C1038" s="5">
        <v>45602</v>
      </c>
      <c r="D1038" s="6">
        <v>0.99990000000000001</v>
      </c>
      <c r="E1038" s="6">
        <v>75645.61</v>
      </c>
      <c r="F1038" s="6">
        <v>75641.5</v>
      </c>
      <c r="G1038" s="6">
        <v>75179.210000000006</v>
      </c>
      <c r="H1038" s="6">
        <v>75636.600000000006</v>
      </c>
      <c r="I1038" s="5">
        <v>45602</v>
      </c>
      <c r="J1038" s="7">
        <f t="shared" si="98"/>
        <v>-1.1910803548275652E-4</v>
      </c>
      <c r="K1038" s="5">
        <v>45602</v>
      </c>
      <c r="L1038" s="8">
        <f t="shared" si="96"/>
        <v>-6.1115921815404718E-3</v>
      </c>
      <c r="M1038" s="5">
        <v>45602</v>
      </c>
      <c r="N1038" s="9">
        <f t="shared" si="97"/>
        <v>-6.230700217023228E-3</v>
      </c>
      <c r="O1038" s="5">
        <v>45602</v>
      </c>
      <c r="P1038">
        <f t="shared" si="99"/>
        <v>1.0060839958281018</v>
      </c>
      <c r="Q1038" s="6">
        <f t="shared" si="100"/>
        <v>1.000100010001</v>
      </c>
      <c r="R1038">
        <f t="shared" si="101"/>
        <v>5.9655580506606199E-3</v>
      </c>
      <c r="T1038" s="5">
        <v>45602</v>
      </c>
      <c r="U1038" s="1">
        <v>5.9655580506606199E-3</v>
      </c>
    </row>
    <row r="1039" spans="3:21" x14ac:dyDescent="0.2">
      <c r="C1039" s="5">
        <v>45603</v>
      </c>
      <c r="D1039" s="6">
        <v>0.99968000000000001</v>
      </c>
      <c r="E1039" s="6">
        <v>75919.11</v>
      </c>
      <c r="F1039" s="6">
        <v>75905</v>
      </c>
      <c r="G1039" s="6">
        <v>75779.460000000006</v>
      </c>
      <c r="H1039" s="6">
        <v>75875.5</v>
      </c>
      <c r="I1039" s="5">
        <v>45603</v>
      </c>
      <c r="J1039" s="7">
        <f t="shared" si="98"/>
        <v>-5.7442717650405255E-4</v>
      </c>
      <c r="K1039" s="5">
        <v>45603</v>
      </c>
      <c r="L1039" s="8">
        <f t="shared" si="96"/>
        <v>-1.6539094921282338E-3</v>
      </c>
      <c r="M1039" s="5">
        <v>45603</v>
      </c>
      <c r="N1039" s="9">
        <f t="shared" si="97"/>
        <v>-2.2283366686322863E-3</v>
      </c>
      <c r="O1039" s="5">
        <v>45603</v>
      </c>
      <c r="P1039">
        <f t="shared" si="99"/>
        <v>1.0012673618946348</v>
      </c>
      <c r="Q1039" s="6">
        <f t="shared" si="100"/>
        <v>1.0003201024327786</v>
      </c>
      <c r="R1039">
        <f t="shared" si="101"/>
        <v>9.4650825852731673E-4</v>
      </c>
      <c r="T1039" s="5">
        <v>45603</v>
      </c>
      <c r="U1039" s="1">
        <v>9.4650825852731673E-4</v>
      </c>
    </row>
    <row r="1040" spans="3:21" x14ac:dyDescent="0.2">
      <c r="C1040" s="5">
        <v>45604</v>
      </c>
      <c r="D1040" s="6">
        <v>0.99997999999999998</v>
      </c>
      <c r="E1040" s="6">
        <v>76560.5</v>
      </c>
      <c r="F1040" s="6">
        <v>76522.5</v>
      </c>
      <c r="G1040" s="6">
        <v>76470.2</v>
      </c>
      <c r="H1040" s="6">
        <v>76530.7</v>
      </c>
      <c r="I1040" s="5">
        <v>45604</v>
      </c>
      <c r="J1040" s="7">
        <f t="shared" si="98"/>
        <v>-3.8923465755843952E-4</v>
      </c>
      <c r="K1040" s="5">
        <v>45604</v>
      </c>
      <c r="L1040" s="8">
        <f t="shared" si="96"/>
        <v>-6.8345911333271797E-4</v>
      </c>
      <c r="M1040" s="5">
        <v>45604</v>
      </c>
      <c r="N1040" s="9">
        <f t="shared" si="97"/>
        <v>-1.0726937708911575E-3</v>
      </c>
      <c r="O1040" s="5">
        <v>45604</v>
      </c>
      <c r="P1040">
        <f t="shared" si="99"/>
        <v>1.0007911578628015</v>
      </c>
      <c r="Q1040" s="6">
        <f t="shared" si="100"/>
        <v>1.0000200004000079</v>
      </c>
      <c r="R1040">
        <f t="shared" si="101"/>
        <v>7.7084486238912845E-4</v>
      </c>
      <c r="T1040" s="5">
        <v>45604</v>
      </c>
      <c r="U1040" s="1">
        <v>7.7084486238912845E-4</v>
      </c>
    </row>
    <row r="1041" spans="3:21" x14ac:dyDescent="0.2">
      <c r="C1041" s="5">
        <v>45605</v>
      </c>
      <c r="D1041" s="6">
        <v>0.99983</v>
      </c>
      <c r="E1041" s="6">
        <v>76715.990000000005</v>
      </c>
      <c r="F1041" s="6">
        <v>76687</v>
      </c>
      <c r="G1041" s="6">
        <v>76619.12</v>
      </c>
      <c r="H1041" s="6">
        <v>76715.100000000006</v>
      </c>
      <c r="I1041" s="5">
        <v>45605</v>
      </c>
      <c r="J1041" s="7">
        <f t="shared" si="98"/>
        <v>-1.1601232024763258E-5</v>
      </c>
      <c r="K1041" s="5">
        <v>45605</v>
      </c>
      <c r="L1041" s="8">
        <f t="shared" si="96"/>
        <v>-8.8515654543800976E-4</v>
      </c>
      <c r="M1041" s="5">
        <v>45605</v>
      </c>
      <c r="N1041" s="9">
        <f t="shared" si="97"/>
        <v>-8.9675777746277307E-4</v>
      </c>
      <c r="O1041" s="5">
        <v>45605</v>
      </c>
      <c r="P1041">
        <f t="shared" si="99"/>
        <v>1.0012526899290937</v>
      </c>
      <c r="Q1041" s="6">
        <f t="shared" si="100"/>
        <v>1.0001700289049138</v>
      </c>
      <c r="R1041">
        <f t="shared" si="101"/>
        <v>1.0818915160654269E-3</v>
      </c>
      <c r="T1041" s="5">
        <v>45605</v>
      </c>
      <c r="U1041" s="1">
        <v>1.0818915160654269E-3</v>
      </c>
    </row>
    <row r="1042" spans="3:21" x14ac:dyDescent="0.2">
      <c r="C1042" s="5">
        <v>45606</v>
      </c>
      <c r="D1042" s="6">
        <v>0.99987000000000004</v>
      </c>
      <c r="E1042" s="6">
        <v>80415.990000000005</v>
      </c>
      <c r="F1042" s="6">
        <v>80471</v>
      </c>
      <c r="G1042" s="6">
        <v>80152.11</v>
      </c>
      <c r="H1042" s="6">
        <v>80465.7</v>
      </c>
      <c r="I1042" s="5">
        <v>45606</v>
      </c>
      <c r="J1042" s="7">
        <f t="shared" si="98"/>
        <v>6.1816064193193228E-4</v>
      </c>
      <c r="K1042" s="5">
        <v>45606</v>
      </c>
      <c r="L1042" s="8">
        <f t="shared" si="96"/>
        <v>-3.9627940500304385E-3</v>
      </c>
      <c r="M1042" s="5">
        <v>45606</v>
      </c>
      <c r="N1042" s="9">
        <f t="shared" si="97"/>
        <v>-3.344633408098506E-3</v>
      </c>
      <c r="O1042" s="5">
        <v>45606</v>
      </c>
      <c r="P1042">
        <f t="shared" si="99"/>
        <v>1.0039124359920157</v>
      </c>
      <c r="Q1042" s="6">
        <f t="shared" si="100"/>
        <v>1.0001300169021972</v>
      </c>
      <c r="R1042">
        <f t="shared" si="101"/>
        <v>3.7747938679484746E-3</v>
      </c>
      <c r="T1042" s="5">
        <v>45606</v>
      </c>
      <c r="U1042" s="1">
        <v>3.7747938679484746E-3</v>
      </c>
    </row>
    <row r="1043" spans="3:21" x14ac:dyDescent="0.2">
      <c r="C1043" s="5">
        <v>45607</v>
      </c>
      <c r="D1043" s="6">
        <v>1.0000100000000001</v>
      </c>
      <c r="E1043" s="6">
        <v>88762.01</v>
      </c>
      <c r="F1043" s="6">
        <v>88852.5</v>
      </c>
      <c r="G1043" s="6">
        <v>87706.55</v>
      </c>
      <c r="H1043" s="6">
        <v>88853.7</v>
      </c>
      <c r="I1043" s="5">
        <v>45607</v>
      </c>
      <c r="J1043" s="7">
        <f t="shared" si="98"/>
        <v>1.0329869726925104E-3</v>
      </c>
      <c r="K1043" s="5">
        <v>45607</v>
      </c>
      <c r="L1043" s="8">
        <f t="shared" si="96"/>
        <v>-1.2897217298331471E-2</v>
      </c>
      <c r="M1043" s="5">
        <v>45607</v>
      </c>
      <c r="N1043" s="9">
        <f t="shared" si="97"/>
        <v>-1.186423032563896E-2</v>
      </c>
      <c r="O1043" s="5">
        <v>45607</v>
      </c>
      <c r="P1043">
        <f t="shared" si="99"/>
        <v>1.0130794108307759</v>
      </c>
      <c r="Q1043" s="6">
        <f t="shared" si="100"/>
        <v>0.99999000009999894</v>
      </c>
      <c r="R1043">
        <f t="shared" si="101"/>
        <v>1.3004613882254464E-2</v>
      </c>
      <c r="T1043" s="5">
        <v>45607</v>
      </c>
      <c r="U1043" s="1">
        <v>1.3004613882254464E-2</v>
      </c>
    </row>
    <row r="1044" spans="3:21" x14ac:dyDescent="0.2">
      <c r="C1044" s="5">
        <v>45608</v>
      </c>
      <c r="D1044" s="6">
        <v>0.99999000000000005</v>
      </c>
      <c r="E1044" s="6">
        <v>88024.26</v>
      </c>
      <c r="F1044" s="6">
        <v>88053.5</v>
      </c>
      <c r="G1044" s="6">
        <v>87210.14</v>
      </c>
      <c r="H1044" s="6">
        <v>88047.4</v>
      </c>
      <c r="I1044" s="5">
        <v>45608</v>
      </c>
      <c r="J1044" s="7">
        <f t="shared" si="98"/>
        <v>2.6288207364650858E-4</v>
      </c>
      <c r="K1044" s="5">
        <v>45608</v>
      </c>
      <c r="L1044" s="8">
        <f t="shared" si="96"/>
        <v>-9.5778134883905876E-3</v>
      </c>
      <c r="M1044" s="5">
        <v>45608</v>
      </c>
      <c r="N1044" s="9">
        <f t="shared" si="97"/>
        <v>-9.3149314147440796E-3</v>
      </c>
      <c r="O1044" s="5">
        <v>45608</v>
      </c>
      <c r="P1044">
        <f t="shared" si="99"/>
        <v>1.0096004891174353</v>
      </c>
      <c r="Q1044" s="6">
        <f t="shared" si="100"/>
        <v>1.000010000100001</v>
      </c>
      <c r="R1044">
        <f t="shared" si="101"/>
        <v>9.5446972212502659E-3</v>
      </c>
      <c r="T1044" s="5">
        <v>45608</v>
      </c>
      <c r="U1044" s="1">
        <v>9.5446972212502659E-3</v>
      </c>
    </row>
    <row r="1045" spans="3:21" x14ac:dyDescent="0.2">
      <c r="C1045" s="5">
        <v>45609</v>
      </c>
      <c r="D1045" s="6">
        <v>0.99999000000000005</v>
      </c>
      <c r="E1045" s="6">
        <v>90488.01</v>
      </c>
      <c r="F1045" s="6">
        <v>90523</v>
      </c>
      <c r="G1045" s="6">
        <v>90150.68</v>
      </c>
      <c r="H1045" s="6">
        <v>90505.1</v>
      </c>
      <c r="I1045" s="5">
        <v>45609</v>
      </c>
      <c r="J1045" s="7">
        <f t="shared" si="98"/>
        <v>1.888648009831475E-4</v>
      </c>
      <c r="K1045" s="5">
        <v>45609</v>
      </c>
      <c r="L1045" s="8">
        <f t="shared" si="96"/>
        <v>-4.1129878594391147E-3</v>
      </c>
      <c r="M1045" s="5">
        <v>45609</v>
      </c>
      <c r="N1045" s="9">
        <f t="shared" si="97"/>
        <v>-3.9241230584559673E-3</v>
      </c>
      <c r="O1045" s="5">
        <v>45609</v>
      </c>
      <c r="P1045">
        <f t="shared" si="99"/>
        <v>1.0039314179327323</v>
      </c>
      <c r="Q1045" s="6">
        <f t="shared" si="100"/>
        <v>1.000010000100001</v>
      </c>
      <c r="R1045">
        <f t="shared" si="101"/>
        <v>3.9137100544427133E-3</v>
      </c>
      <c r="T1045" s="5">
        <v>45609</v>
      </c>
      <c r="U1045" s="1">
        <v>3.9137100544427133E-3</v>
      </c>
    </row>
    <row r="1046" spans="3:21" x14ac:dyDescent="0.2">
      <c r="C1046" s="5">
        <v>45610</v>
      </c>
      <c r="D1046" s="6">
        <v>0.99999000000000005</v>
      </c>
      <c r="E1046" s="6">
        <v>87324.66</v>
      </c>
      <c r="F1046" s="6">
        <v>87347.5</v>
      </c>
      <c r="G1046" s="6">
        <v>87324.52</v>
      </c>
      <c r="H1046" s="6">
        <v>87342.6</v>
      </c>
      <c r="I1046" s="5">
        <v>45610</v>
      </c>
      <c r="J1046" s="7">
        <f t="shared" si="98"/>
        <v>2.0544025021113541E-4</v>
      </c>
      <c r="K1046" s="5">
        <v>45610</v>
      </c>
      <c r="L1046" s="8">
        <f t="shared" si="96"/>
        <v>-2.6308709465063023E-4</v>
      </c>
      <c r="M1046" s="5">
        <v>45610</v>
      </c>
      <c r="N1046" s="9">
        <f t="shared" si="97"/>
        <v>-5.7646844439494821E-5</v>
      </c>
      <c r="O1046" s="5">
        <v>45610</v>
      </c>
      <c r="P1046">
        <f t="shared" si="99"/>
        <v>1.0002070437948014</v>
      </c>
      <c r="Q1046" s="6">
        <f t="shared" si="100"/>
        <v>1.000010000100001</v>
      </c>
      <c r="R1046">
        <f t="shared" si="101"/>
        <v>1.9702231419265295E-4</v>
      </c>
      <c r="T1046" s="5">
        <v>45610</v>
      </c>
      <c r="U1046" s="1">
        <v>1.9702231419265295E-4</v>
      </c>
    </row>
    <row r="1047" spans="3:21" x14ac:dyDescent="0.2">
      <c r="C1047" s="5">
        <v>45611</v>
      </c>
      <c r="D1047" s="6">
        <v>0.99999000000000005</v>
      </c>
      <c r="E1047" s="6">
        <v>91052.01</v>
      </c>
      <c r="F1047" s="6">
        <v>91102.5</v>
      </c>
      <c r="G1047" s="6">
        <v>90726.99</v>
      </c>
      <c r="H1047" s="6">
        <v>91130.2</v>
      </c>
      <c r="I1047" s="5">
        <v>45611</v>
      </c>
      <c r="J1047" s="7">
        <f t="shared" si="98"/>
        <v>8.5873996631158757E-4</v>
      </c>
      <c r="K1047" s="5">
        <v>45611</v>
      </c>
      <c r="L1047" s="8">
        <f t="shared" si="96"/>
        <v>-4.121840783732551E-3</v>
      </c>
      <c r="M1047" s="5">
        <v>45611</v>
      </c>
      <c r="N1047" s="9">
        <f t="shared" si="97"/>
        <v>-3.2631008174209635E-3</v>
      </c>
      <c r="O1047" s="5">
        <v>45611</v>
      </c>
      <c r="P1047">
        <f t="shared" si="99"/>
        <v>1.004444212245992</v>
      </c>
      <c r="Q1047" s="6">
        <f t="shared" si="100"/>
        <v>1.000010000100001</v>
      </c>
      <c r="R1047">
        <f t="shared" si="101"/>
        <v>4.4243658468130047E-3</v>
      </c>
      <c r="T1047" s="5">
        <v>45611</v>
      </c>
      <c r="U1047" s="1">
        <v>4.4243658468130047E-3</v>
      </c>
    </row>
    <row r="1048" spans="3:21" x14ac:dyDescent="0.2">
      <c r="C1048" s="5">
        <v>45612</v>
      </c>
      <c r="D1048" s="6">
        <v>1.0000100000000001</v>
      </c>
      <c r="E1048" s="6">
        <v>90624.85</v>
      </c>
      <c r="F1048" s="6">
        <v>90668</v>
      </c>
      <c r="G1048" s="6">
        <v>90119.25</v>
      </c>
      <c r="H1048" s="6">
        <v>90672.6</v>
      </c>
      <c r="I1048" s="5">
        <v>45612</v>
      </c>
      <c r="J1048" s="7">
        <f t="shared" si="98"/>
        <v>5.2689742383021877E-4</v>
      </c>
      <c r="K1048" s="5">
        <v>45612</v>
      </c>
      <c r="L1048" s="8">
        <f t="shared" si="96"/>
        <v>-6.0523007014602727E-3</v>
      </c>
      <c r="M1048" s="5">
        <v>45612</v>
      </c>
      <c r="N1048" s="9">
        <f t="shared" si="97"/>
        <v>-5.5254032776300543E-3</v>
      </c>
      <c r="O1048" s="5">
        <v>45612</v>
      </c>
      <c r="P1048">
        <f t="shared" si="99"/>
        <v>1.0061401975715512</v>
      </c>
      <c r="Q1048" s="6">
        <f t="shared" si="100"/>
        <v>0.99999000009999894</v>
      </c>
      <c r="R1048">
        <f t="shared" si="101"/>
        <v>6.1314233207820038E-3</v>
      </c>
      <c r="T1048" s="5">
        <v>45612</v>
      </c>
      <c r="U1048" s="1">
        <v>6.1314233207820038E-3</v>
      </c>
    </row>
    <row r="1049" spans="3:21" x14ac:dyDescent="0.2">
      <c r="C1049" s="5">
        <v>45613</v>
      </c>
      <c r="D1049" s="6">
        <v>0.99999000000000005</v>
      </c>
      <c r="E1049" s="6">
        <v>89864.01</v>
      </c>
      <c r="F1049" s="6">
        <v>89909.5</v>
      </c>
      <c r="G1049" s="6">
        <v>89467.45</v>
      </c>
      <c r="H1049" s="6">
        <v>89925.1</v>
      </c>
      <c r="I1049" s="5">
        <v>45613</v>
      </c>
      <c r="J1049" s="7">
        <f t="shared" si="98"/>
        <v>6.7980496307711025E-4</v>
      </c>
      <c r="K1049" s="5">
        <v>45613</v>
      </c>
      <c r="L1049" s="8">
        <f t="shared" si="96"/>
        <v>-4.9166105917617482E-3</v>
      </c>
      <c r="M1049" s="5">
        <v>45613</v>
      </c>
      <c r="N1049" s="9">
        <f t="shared" si="97"/>
        <v>-4.2368056286846379E-3</v>
      </c>
      <c r="O1049" s="5">
        <v>45613</v>
      </c>
      <c r="P1049">
        <f t="shared" si="99"/>
        <v>1.0051152681785387</v>
      </c>
      <c r="Q1049" s="6">
        <f t="shared" si="100"/>
        <v>1.000010000100001</v>
      </c>
      <c r="R1049">
        <f t="shared" si="101"/>
        <v>5.0922295891176446E-3</v>
      </c>
      <c r="T1049" s="5">
        <v>45613</v>
      </c>
      <c r="U1049" s="1">
        <v>5.0922295891176446E-3</v>
      </c>
    </row>
    <row r="1050" spans="3:21" x14ac:dyDescent="0.2">
      <c r="C1050" s="5">
        <v>45614</v>
      </c>
      <c r="D1050" s="6">
        <v>0.99995999999999996</v>
      </c>
      <c r="E1050" s="6">
        <v>90520.01</v>
      </c>
      <c r="F1050" s="6">
        <v>90594</v>
      </c>
      <c r="G1050" s="6">
        <v>90509.91</v>
      </c>
      <c r="H1050" s="6">
        <v>90606.6</v>
      </c>
      <c r="I1050" s="5">
        <v>45614</v>
      </c>
      <c r="J1050" s="7">
        <f t="shared" si="98"/>
        <v>9.5658407461522666E-4</v>
      </c>
      <c r="K1050" s="5">
        <v>45614</v>
      </c>
      <c r="L1050" s="8">
        <f t="shared" si="96"/>
        <v>-9.2820716603744737E-4</v>
      </c>
      <c r="M1050" s="5">
        <v>45614</v>
      </c>
      <c r="N1050" s="9">
        <f t="shared" si="97"/>
        <v>2.8376908577779298E-5</v>
      </c>
      <c r="O1050" s="5">
        <v>45614</v>
      </c>
      <c r="P1050">
        <f t="shared" si="99"/>
        <v>1.0010682808103555</v>
      </c>
      <c r="Q1050" s="6">
        <f t="shared" si="100"/>
        <v>1.0000400016000641</v>
      </c>
      <c r="R1050">
        <f t="shared" si="101"/>
        <v>1.0277098044462903E-3</v>
      </c>
      <c r="T1050" s="5">
        <v>45614</v>
      </c>
      <c r="U1050" s="1">
        <v>1.0277098044462903E-3</v>
      </c>
    </row>
    <row r="1051" spans="3:21" x14ac:dyDescent="0.2">
      <c r="C1051" s="5">
        <v>45615</v>
      </c>
      <c r="D1051" s="6">
        <v>1.0000100000000001</v>
      </c>
      <c r="E1051" s="6">
        <v>92428</v>
      </c>
      <c r="F1051" s="6">
        <v>92481.5</v>
      </c>
      <c r="G1051" s="6">
        <v>92457.82</v>
      </c>
      <c r="H1051" s="6">
        <v>92449</v>
      </c>
      <c r="I1051" s="5">
        <v>45615</v>
      </c>
      <c r="J1051" s="7">
        <f t="shared" si="98"/>
        <v>2.2720387761284461E-4</v>
      </c>
      <c r="K1051" s="5">
        <v>45615</v>
      </c>
      <c r="L1051" s="8">
        <f t="shared" si="96"/>
        <v>-2.560512102419729E-4</v>
      </c>
      <c r="M1051" s="5">
        <v>45615</v>
      </c>
      <c r="N1051" s="9">
        <f t="shared" si="97"/>
        <v>-2.8847332629128292E-5</v>
      </c>
      <c r="O1051" s="5">
        <v>45615</v>
      </c>
      <c r="P1051">
        <f t="shared" si="99"/>
        <v>0.99990460514859636</v>
      </c>
      <c r="Q1051" s="6">
        <f t="shared" si="100"/>
        <v>0.99999000009999894</v>
      </c>
      <c r="R1051">
        <f t="shared" si="101"/>
        <v>-8.5399451781431452E-5</v>
      </c>
      <c r="T1051" s="5">
        <v>45615</v>
      </c>
      <c r="U1051" s="1">
        <v>-8.5399451781431452E-5</v>
      </c>
    </row>
    <row r="1052" spans="3:21" x14ac:dyDescent="0.2">
      <c r="C1052" s="5">
        <v>45616</v>
      </c>
      <c r="D1052" s="6">
        <v>1.00014</v>
      </c>
      <c r="E1052" s="6">
        <v>94374.080000000002</v>
      </c>
      <c r="F1052" s="6">
        <v>94396</v>
      </c>
      <c r="G1052" s="6">
        <v>94204.91</v>
      </c>
      <c r="H1052" s="6">
        <v>94365.4</v>
      </c>
      <c r="I1052" s="5">
        <v>45616</v>
      </c>
      <c r="J1052" s="7">
        <f t="shared" si="98"/>
        <v>-9.1974406532043188E-5</v>
      </c>
      <c r="K1052" s="5">
        <v>45616</v>
      </c>
      <c r="L1052" s="8">
        <f t="shared" si="96"/>
        <v>-2.0243442518750425E-3</v>
      </c>
      <c r="M1052" s="5">
        <v>45616</v>
      </c>
      <c r="N1052" s="9">
        <f t="shared" si="97"/>
        <v>-2.1163186584070856E-3</v>
      </c>
      <c r="O1052" s="5">
        <v>45616</v>
      </c>
      <c r="P1052">
        <f t="shared" si="99"/>
        <v>1.0017036267005615</v>
      </c>
      <c r="Q1052" s="6">
        <f t="shared" si="100"/>
        <v>0.99986001959725634</v>
      </c>
      <c r="R1052">
        <f t="shared" si="101"/>
        <v>1.8421673755757212E-3</v>
      </c>
      <c r="T1052" s="5">
        <v>45616</v>
      </c>
      <c r="U1052" s="1">
        <v>1.8421673755757212E-3</v>
      </c>
    </row>
    <row r="1053" spans="3:21" x14ac:dyDescent="0.2">
      <c r="C1053" s="5">
        <v>45617</v>
      </c>
      <c r="D1053" s="6">
        <v>0.99999000000000005</v>
      </c>
      <c r="E1053" s="6">
        <v>98432.82</v>
      </c>
      <c r="F1053" s="6">
        <v>98518.5</v>
      </c>
      <c r="G1053" s="6">
        <v>97784.65</v>
      </c>
      <c r="H1053" s="6">
        <v>98495.8</v>
      </c>
      <c r="I1053" s="5">
        <v>45617</v>
      </c>
      <c r="J1053" s="7">
        <f t="shared" si="98"/>
        <v>6.3982724461207066E-4</v>
      </c>
      <c r="K1053" s="5">
        <v>45617</v>
      </c>
      <c r="L1053" s="8">
        <f t="shared" si="96"/>
        <v>-7.448854783619379E-3</v>
      </c>
      <c r="M1053" s="5">
        <v>45617</v>
      </c>
      <c r="N1053" s="9">
        <f t="shared" si="97"/>
        <v>-6.809027539007308E-3</v>
      </c>
      <c r="O1053" s="5">
        <v>45617</v>
      </c>
      <c r="P1053">
        <f t="shared" si="99"/>
        <v>1.0072726138509471</v>
      </c>
      <c r="Q1053" s="6">
        <f t="shared" si="100"/>
        <v>1.000010000100001</v>
      </c>
      <c r="R1053">
        <f t="shared" si="101"/>
        <v>7.2362958679102101E-3</v>
      </c>
      <c r="T1053" s="5">
        <v>45617</v>
      </c>
      <c r="U1053" s="1">
        <v>7.2362958679102101E-3</v>
      </c>
    </row>
    <row r="1054" spans="3:21" x14ac:dyDescent="0.2">
      <c r="C1054" s="5">
        <v>45618</v>
      </c>
      <c r="D1054" s="6">
        <v>1.00021</v>
      </c>
      <c r="E1054" s="6">
        <v>99000</v>
      </c>
      <c r="F1054" s="6">
        <v>99023.5</v>
      </c>
      <c r="G1054" s="6">
        <v>98355.06</v>
      </c>
      <c r="H1054" s="6">
        <v>99038.1</v>
      </c>
      <c r="I1054" s="5">
        <v>45618</v>
      </c>
      <c r="J1054" s="7">
        <f t="shared" si="98"/>
        <v>3.8484848484854366E-4</v>
      </c>
      <c r="K1054" s="5">
        <v>45618</v>
      </c>
      <c r="L1054" s="8">
        <f t="shared" si="96"/>
        <v>-6.7503168439815029E-3</v>
      </c>
      <c r="M1054" s="5">
        <v>45618</v>
      </c>
      <c r="N1054" s="9">
        <f t="shared" si="97"/>
        <v>-6.3654683591329595E-3</v>
      </c>
      <c r="O1054" s="5">
        <v>45618</v>
      </c>
      <c r="P1054">
        <f t="shared" si="99"/>
        <v>1.0069446350802898</v>
      </c>
      <c r="Q1054" s="6">
        <f t="shared" si="100"/>
        <v>0.9997900440907409</v>
      </c>
      <c r="R1054">
        <f t="shared" si="101"/>
        <v>7.1306101187578533E-3</v>
      </c>
      <c r="T1054" s="5">
        <v>45618</v>
      </c>
      <c r="U1054" s="1">
        <v>7.1306101187578533E-3</v>
      </c>
    </row>
    <row r="1055" spans="3:21" x14ac:dyDescent="0.2">
      <c r="C1055" s="5">
        <v>45619</v>
      </c>
      <c r="D1055" s="6">
        <v>0.99999000000000005</v>
      </c>
      <c r="E1055" s="6">
        <v>97762.04</v>
      </c>
      <c r="F1055" s="6">
        <v>97820.5</v>
      </c>
      <c r="G1055" s="6">
        <v>97113.29</v>
      </c>
      <c r="H1055" s="6">
        <v>97835.4</v>
      </c>
      <c r="I1055" s="5">
        <v>45619</v>
      </c>
      <c r="J1055" s="7">
        <f t="shared" si="98"/>
        <v>7.5039350651848701E-4</v>
      </c>
      <c r="K1055" s="5">
        <v>45619</v>
      </c>
      <c r="L1055" s="8">
        <f t="shared" si="96"/>
        <v>-7.2296706723029057E-3</v>
      </c>
      <c r="M1055" s="5">
        <v>45619</v>
      </c>
      <c r="N1055" s="9">
        <f t="shared" si="97"/>
        <v>-6.4792771657844186E-3</v>
      </c>
      <c r="O1055" s="5">
        <v>45619</v>
      </c>
      <c r="P1055">
        <f t="shared" si="99"/>
        <v>1.0074357484953913</v>
      </c>
      <c r="Q1055" s="6">
        <f t="shared" si="100"/>
        <v>1.000010000100001</v>
      </c>
      <c r="R1055">
        <f t="shared" si="101"/>
        <v>7.3982395495364355E-3</v>
      </c>
      <c r="T1055" s="5">
        <v>45619</v>
      </c>
      <c r="U1055" s="1">
        <v>7.3982395495364355E-3</v>
      </c>
    </row>
    <row r="1056" spans="3:21" x14ac:dyDescent="0.2">
      <c r="C1056" s="5">
        <v>45620</v>
      </c>
      <c r="D1056" s="6">
        <v>0.99999000000000005</v>
      </c>
      <c r="E1056" s="6">
        <v>98020</v>
      </c>
      <c r="F1056" s="6">
        <v>98073</v>
      </c>
      <c r="G1056" s="6">
        <v>97891.72</v>
      </c>
      <c r="H1056" s="6">
        <v>98119.6</v>
      </c>
      <c r="I1056" s="5">
        <v>45620</v>
      </c>
      <c r="J1056" s="7">
        <f t="shared" si="98"/>
        <v>1.0161191593552931E-3</v>
      </c>
      <c r="K1056" s="5">
        <v>45620</v>
      </c>
      <c r="L1056" s="8">
        <f t="shared" si="96"/>
        <v>-1.8484190348005958E-3</v>
      </c>
      <c r="M1056" s="5">
        <v>45620</v>
      </c>
      <c r="N1056" s="9">
        <f t="shared" si="97"/>
        <v>-8.3229987544530273E-4</v>
      </c>
      <c r="O1056" s="5">
        <v>45620</v>
      </c>
      <c r="P1056">
        <f t="shared" si="99"/>
        <v>1.0023278781903109</v>
      </c>
      <c r="Q1056" s="6">
        <f t="shared" si="100"/>
        <v>1.000010000100001</v>
      </c>
      <c r="R1056">
        <f t="shared" si="101"/>
        <v>2.3151728294854043E-3</v>
      </c>
      <c r="T1056" s="5">
        <v>45620</v>
      </c>
      <c r="U1056" s="1">
        <v>2.3151728294854043E-3</v>
      </c>
    </row>
    <row r="1057" spans="3:21" x14ac:dyDescent="0.2">
      <c r="C1057" s="5">
        <v>45621</v>
      </c>
      <c r="D1057" s="6">
        <v>1.0000100000000001</v>
      </c>
      <c r="E1057" s="6">
        <v>92986.97</v>
      </c>
      <c r="F1057" s="6">
        <v>93035.5</v>
      </c>
      <c r="G1057" s="6">
        <v>92846.14</v>
      </c>
      <c r="H1057" s="6">
        <v>93063.2</v>
      </c>
      <c r="I1057" s="5">
        <v>45621</v>
      </c>
      <c r="J1057" s="7">
        <f t="shared" si="98"/>
        <v>8.197922784234815E-4</v>
      </c>
      <c r="K1057" s="5">
        <v>45621</v>
      </c>
      <c r="L1057" s="8">
        <f t="shared" si="96"/>
        <v>-2.0353520967802676E-3</v>
      </c>
      <c r="M1057" s="5">
        <v>45621</v>
      </c>
      <c r="N1057" s="9">
        <f t="shared" si="97"/>
        <v>-1.2155598183567862E-3</v>
      </c>
      <c r="O1057" s="5">
        <v>45621</v>
      </c>
      <c r="P1057">
        <f t="shared" si="99"/>
        <v>1.0023378462475661</v>
      </c>
      <c r="Q1057" s="6">
        <f t="shared" si="100"/>
        <v>0.99999000009999894</v>
      </c>
      <c r="R1057">
        <f t="shared" si="101"/>
        <v>2.3451176867595614E-3</v>
      </c>
      <c r="T1057" s="5">
        <v>45621</v>
      </c>
      <c r="U1057" s="1">
        <v>2.3451176867595614E-3</v>
      </c>
    </row>
    <row r="1058" spans="3:21" x14ac:dyDescent="0.2">
      <c r="C1058" s="5">
        <v>45622</v>
      </c>
      <c r="D1058" s="6">
        <v>0.99999000000000005</v>
      </c>
      <c r="E1058" s="6">
        <v>91919.99</v>
      </c>
      <c r="F1058" s="6">
        <v>91952</v>
      </c>
      <c r="G1058" s="6">
        <v>91913.95</v>
      </c>
      <c r="H1058" s="6">
        <v>92011.1</v>
      </c>
      <c r="I1058" s="5">
        <v>45622</v>
      </c>
      <c r="J1058" s="7">
        <f t="shared" si="98"/>
        <v>9.9118809738774527E-4</v>
      </c>
      <c r="K1058" s="5">
        <v>45622</v>
      </c>
      <c r="L1058" s="8">
        <f t="shared" si="96"/>
        <v>-4.1380285366281221E-4</v>
      </c>
      <c r="M1058" s="5">
        <v>45622</v>
      </c>
      <c r="N1058" s="9">
        <f t="shared" si="97"/>
        <v>5.7738524372493306E-4</v>
      </c>
      <c r="O1058" s="5">
        <v>45622</v>
      </c>
      <c r="P1058">
        <f t="shared" si="99"/>
        <v>1.0010569668695557</v>
      </c>
      <c r="Q1058" s="6">
        <f t="shared" si="100"/>
        <v>1.000010000100001</v>
      </c>
      <c r="R1058">
        <f t="shared" si="101"/>
        <v>1.0464086233689213E-3</v>
      </c>
      <c r="T1058" s="5">
        <v>45622</v>
      </c>
      <c r="U1058" s="1">
        <v>1.0464086233689213E-3</v>
      </c>
    </row>
    <row r="1059" spans="3:21" x14ac:dyDescent="0.2">
      <c r="C1059" s="5">
        <v>45623</v>
      </c>
      <c r="D1059" s="6">
        <v>0.99999000000000005</v>
      </c>
      <c r="E1059" s="6">
        <v>95945.02</v>
      </c>
      <c r="F1059" s="6">
        <v>95987.5</v>
      </c>
      <c r="G1059" s="6">
        <v>95883.19</v>
      </c>
      <c r="H1059" s="6">
        <v>96017.7</v>
      </c>
      <c r="I1059" s="5">
        <v>45623</v>
      </c>
      <c r="J1059" s="7">
        <f t="shared" si="98"/>
        <v>7.5751716972900741E-4</v>
      </c>
      <c r="K1059" s="5">
        <v>45623</v>
      </c>
      <c r="L1059" s="8">
        <f t="shared" si="96"/>
        <v>-1.0867039979163711E-3</v>
      </c>
      <c r="M1059" s="5">
        <v>45623</v>
      </c>
      <c r="N1059" s="9">
        <f t="shared" si="97"/>
        <v>-3.2918682818736372E-4</v>
      </c>
      <c r="O1059" s="5">
        <v>45623</v>
      </c>
      <c r="P1059">
        <f t="shared" si="99"/>
        <v>1.0014028527836838</v>
      </c>
      <c r="Q1059" s="6">
        <f t="shared" si="100"/>
        <v>1.000010000100001</v>
      </c>
      <c r="R1059">
        <f t="shared" si="101"/>
        <v>1.3918696550195724E-3</v>
      </c>
      <c r="T1059" s="5">
        <v>45623</v>
      </c>
      <c r="U1059" s="1">
        <v>1.3918696550195724E-3</v>
      </c>
    </row>
    <row r="1060" spans="3:21" x14ac:dyDescent="0.2">
      <c r="C1060" s="5">
        <v>45624</v>
      </c>
      <c r="D1060" s="6">
        <v>1.0000599999999999</v>
      </c>
      <c r="E1060" s="6">
        <v>95663.76</v>
      </c>
      <c r="F1060" s="6">
        <v>95732.5</v>
      </c>
      <c r="G1060" s="6">
        <v>95690.84</v>
      </c>
      <c r="H1060" s="6">
        <v>95720</v>
      </c>
      <c r="I1060" s="5">
        <v>45624</v>
      </c>
      <c r="J1060" s="7">
        <f t="shared" si="98"/>
        <v>5.878924265574053E-4</v>
      </c>
      <c r="K1060" s="5">
        <v>45624</v>
      </c>
      <c r="L1060" s="8">
        <f t="shared" si="96"/>
        <v>-4.3517091896694949E-4</v>
      </c>
      <c r="M1060" s="5">
        <v>45624</v>
      </c>
      <c r="N1060" s="9">
        <f t="shared" si="97"/>
        <v>1.5272150759045581E-4</v>
      </c>
      <c r="O1060" s="5">
        <v>45624</v>
      </c>
      <c r="P1060">
        <f t="shared" si="99"/>
        <v>1.0003047313619569</v>
      </c>
      <c r="Q1060" s="6">
        <f t="shared" si="100"/>
        <v>0.99994000359978408</v>
      </c>
      <c r="R1060">
        <f t="shared" si="101"/>
        <v>3.646831408577645E-4</v>
      </c>
      <c r="T1060" s="5">
        <v>45624</v>
      </c>
      <c r="U1060" s="1">
        <v>3.646831408577645E-4</v>
      </c>
    </row>
    <row r="1061" spans="3:21" x14ac:dyDescent="0.2">
      <c r="C1061" s="5">
        <v>45625</v>
      </c>
      <c r="D1061" s="6">
        <v>1.00013</v>
      </c>
      <c r="E1061" s="6">
        <v>97496</v>
      </c>
      <c r="F1061" s="6">
        <v>97573</v>
      </c>
      <c r="G1061" s="6">
        <v>97374.43</v>
      </c>
      <c r="H1061" s="6">
        <v>97614.1</v>
      </c>
      <c r="I1061" s="5">
        <v>45625</v>
      </c>
      <c r="J1061" s="7">
        <f t="shared" si="98"/>
        <v>1.2113317469435241E-3</v>
      </c>
      <c r="K1061" s="5">
        <v>45625</v>
      </c>
      <c r="L1061" s="8">
        <f t="shared" si="96"/>
        <v>-2.0350916749511338E-3</v>
      </c>
      <c r="M1061" s="5">
        <v>45625</v>
      </c>
      <c r="N1061" s="9">
        <f t="shared" si="97"/>
        <v>-8.2375992800760964E-4</v>
      </c>
      <c r="O1061" s="5">
        <v>45625</v>
      </c>
      <c r="P1061">
        <f t="shared" si="99"/>
        <v>1.0024613237787376</v>
      </c>
      <c r="Q1061" s="6">
        <f t="shared" si="100"/>
        <v>0.9998700168978033</v>
      </c>
      <c r="R1061">
        <f t="shared" si="101"/>
        <v>2.5882912332681443E-3</v>
      </c>
      <c r="T1061" s="5">
        <v>45625</v>
      </c>
      <c r="U1061" s="1">
        <v>2.5882912332681443E-3</v>
      </c>
    </row>
    <row r="1062" spans="3:21" x14ac:dyDescent="0.2">
      <c r="C1062" s="5">
        <v>45626</v>
      </c>
      <c r="D1062" s="6">
        <v>1.0000599999999999</v>
      </c>
      <c r="E1062" s="6">
        <v>96474.93</v>
      </c>
      <c r="F1062" s="6">
        <v>96547.5</v>
      </c>
      <c r="G1062" s="6">
        <v>96263.32</v>
      </c>
      <c r="H1062" s="6">
        <v>96542.5</v>
      </c>
      <c r="I1062" s="5">
        <v>45626</v>
      </c>
      <c r="J1062" s="7">
        <f t="shared" si="98"/>
        <v>7.0038920992227709E-4</v>
      </c>
      <c r="K1062" s="5">
        <v>45626</v>
      </c>
      <c r="L1062" s="8">
        <f t="shared" si="96"/>
        <v>-2.9434216318391777E-3</v>
      </c>
      <c r="M1062" s="5">
        <v>45626</v>
      </c>
      <c r="N1062" s="9">
        <f t="shared" si="97"/>
        <v>-2.2430324219169006E-3</v>
      </c>
      <c r="O1062" s="5">
        <v>45626</v>
      </c>
      <c r="P1062">
        <f t="shared" si="99"/>
        <v>1.0029001700751645</v>
      </c>
      <c r="Q1062" s="6">
        <f t="shared" si="100"/>
        <v>0.99994000359978408</v>
      </c>
      <c r="R1062">
        <f t="shared" si="101"/>
        <v>2.9559708954558298E-3</v>
      </c>
      <c r="T1062" s="5">
        <v>45626</v>
      </c>
      <c r="U1062" s="1">
        <v>2.9559708954558298E-3</v>
      </c>
    </row>
    <row r="1063" spans="3:21" x14ac:dyDescent="0.2">
      <c r="C1063" s="5">
        <v>45627</v>
      </c>
      <c r="D1063" s="6">
        <v>1</v>
      </c>
      <c r="E1063" s="6">
        <v>97268.04</v>
      </c>
      <c r="F1063" s="6">
        <v>97348.5</v>
      </c>
      <c r="G1063" s="6">
        <v>97026.18</v>
      </c>
      <c r="H1063" s="6">
        <v>97375.3</v>
      </c>
      <c r="I1063" s="5">
        <v>45627</v>
      </c>
      <c r="J1063" s="7">
        <f t="shared" si="98"/>
        <v>1.102726034163013E-3</v>
      </c>
      <c r="K1063" s="5">
        <v>45627</v>
      </c>
      <c r="L1063" s="8">
        <f t="shared" si="96"/>
        <v>-3.3109909243594611E-3</v>
      </c>
      <c r="M1063" s="5">
        <v>45627</v>
      </c>
      <c r="N1063" s="9">
        <f t="shared" si="97"/>
        <v>-2.2082648901964484E-3</v>
      </c>
      <c r="O1063" s="5">
        <v>45627</v>
      </c>
      <c r="P1063">
        <f t="shared" si="99"/>
        <v>1.0035982041135703</v>
      </c>
      <c r="Q1063" s="6">
        <f t="shared" si="100"/>
        <v>1</v>
      </c>
      <c r="R1063">
        <f t="shared" si="101"/>
        <v>3.5917460640993186E-3</v>
      </c>
      <c r="T1063" s="5">
        <v>45627</v>
      </c>
      <c r="U1063" s="1">
        <v>3.5917460640993186E-3</v>
      </c>
    </row>
    <row r="1064" spans="3:21" x14ac:dyDescent="0.2">
      <c r="C1064" s="5">
        <v>45628</v>
      </c>
      <c r="D1064" s="6">
        <v>1.0000100000000001</v>
      </c>
      <c r="E1064" s="6">
        <v>95854.99</v>
      </c>
      <c r="F1064" s="6">
        <v>95931.5</v>
      </c>
      <c r="G1064" s="6">
        <v>95815.67</v>
      </c>
      <c r="H1064" s="6">
        <v>95936.8</v>
      </c>
      <c r="I1064" s="5">
        <v>45628</v>
      </c>
      <c r="J1064" s="7">
        <f t="shared" si="98"/>
        <v>8.5347669432752184E-4</v>
      </c>
      <c r="K1064" s="5">
        <v>45628</v>
      </c>
      <c r="L1064" s="8">
        <f t="shared" si="96"/>
        <v>-1.20742404736715E-3</v>
      </c>
      <c r="M1064" s="5">
        <v>45628</v>
      </c>
      <c r="N1064" s="9">
        <f t="shared" si="97"/>
        <v>-3.539473530396282E-4</v>
      </c>
      <c r="O1064" s="5">
        <v>45628</v>
      </c>
      <c r="P1064">
        <f t="shared" si="99"/>
        <v>1.0012641982256139</v>
      </c>
      <c r="Q1064" s="6">
        <f t="shared" si="100"/>
        <v>0.99999000009999894</v>
      </c>
      <c r="R1064">
        <f t="shared" si="101"/>
        <v>1.2733997498789466E-3</v>
      </c>
      <c r="T1064" s="5">
        <v>45628</v>
      </c>
      <c r="U1064" s="1">
        <v>1.2733997498789466E-3</v>
      </c>
    </row>
    <row r="1065" spans="3:21" x14ac:dyDescent="0.2">
      <c r="C1065" s="5">
        <v>45629</v>
      </c>
      <c r="D1065" s="6">
        <v>1</v>
      </c>
      <c r="E1065" s="6">
        <v>95915.59</v>
      </c>
      <c r="F1065" s="6">
        <v>96003</v>
      </c>
      <c r="G1065" s="6">
        <v>95750.94</v>
      </c>
      <c r="H1065" s="6">
        <v>96000.1</v>
      </c>
      <c r="I1065" s="5">
        <v>45629</v>
      </c>
      <c r="J1065" s="7">
        <f t="shared" si="98"/>
        <v>8.8108721428924446E-4</v>
      </c>
      <c r="K1065" s="5">
        <v>45629</v>
      </c>
      <c r="L1065" s="8">
        <f t="shared" si="96"/>
        <v>-2.6255429517827327E-3</v>
      </c>
      <c r="M1065" s="5">
        <v>45629</v>
      </c>
      <c r="N1065" s="9">
        <f t="shared" si="97"/>
        <v>-1.7444557374934884E-3</v>
      </c>
      <c r="O1065" s="5">
        <v>45629</v>
      </c>
      <c r="P1065">
        <f t="shared" si="99"/>
        <v>1.0026021676654036</v>
      </c>
      <c r="Q1065" s="6">
        <f t="shared" si="100"/>
        <v>1</v>
      </c>
      <c r="R1065">
        <f t="shared" si="101"/>
        <v>2.5987878890176871E-3</v>
      </c>
      <c r="T1065" s="5">
        <v>45629</v>
      </c>
      <c r="U1065" s="1">
        <v>2.5987878890176871E-3</v>
      </c>
    </row>
    <row r="1066" spans="3:21" x14ac:dyDescent="0.2">
      <c r="C1066" s="5">
        <v>45630</v>
      </c>
      <c r="D1066" s="6">
        <v>0.99999000000000005</v>
      </c>
      <c r="E1066" s="6">
        <v>98720</v>
      </c>
      <c r="F1066" s="6">
        <v>98822</v>
      </c>
      <c r="G1066" s="6">
        <v>98581.58</v>
      </c>
      <c r="H1066" s="6">
        <v>98819.7</v>
      </c>
      <c r="I1066" s="5">
        <v>45630</v>
      </c>
      <c r="J1066" s="7">
        <f t="shared" si="98"/>
        <v>1.0099270664505379E-3</v>
      </c>
      <c r="K1066" s="5">
        <v>45630</v>
      </c>
      <c r="L1066" s="8">
        <f t="shared" si="96"/>
        <v>-2.4328590799619341E-3</v>
      </c>
      <c r="M1066" s="5">
        <v>45630</v>
      </c>
      <c r="N1066" s="9">
        <f t="shared" si="97"/>
        <v>-1.4229320135113962E-3</v>
      </c>
      <c r="O1066" s="5">
        <v>45630</v>
      </c>
      <c r="P1066">
        <f t="shared" si="99"/>
        <v>1.0024154613874112</v>
      </c>
      <c r="Q1066" s="6">
        <f t="shared" si="100"/>
        <v>1.000010000100001</v>
      </c>
      <c r="R1066">
        <f t="shared" si="101"/>
        <v>2.4025487996925492E-3</v>
      </c>
      <c r="T1066" s="5">
        <v>45630</v>
      </c>
      <c r="U1066" s="1">
        <v>2.4025487996925492E-3</v>
      </c>
    </row>
    <row r="1067" spans="3:21" x14ac:dyDescent="0.2">
      <c r="C1067" s="5">
        <v>45631</v>
      </c>
      <c r="D1067" s="6">
        <v>0.99997999999999998</v>
      </c>
      <c r="E1067" s="6">
        <v>97036.62</v>
      </c>
      <c r="F1067" s="6">
        <v>97109</v>
      </c>
      <c r="G1067" s="6">
        <v>97094.16</v>
      </c>
      <c r="H1067" s="6">
        <v>97097.600000000006</v>
      </c>
      <c r="I1067" s="5">
        <v>45631</v>
      </c>
      <c r="J1067" s="7">
        <f t="shared" si="98"/>
        <v>6.2842254810617352E-4</v>
      </c>
      <c r="K1067" s="5">
        <v>45631</v>
      </c>
      <c r="L1067" s="8">
        <f t="shared" si="96"/>
        <v>-1.5281796743861543E-4</v>
      </c>
      <c r="M1067" s="5">
        <v>45631</v>
      </c>
      <c r="N1067" s="9">
        <f t="shared" si="97"/>
        <v>4.7560458066755811E-4</v>
      </c>
      <c r="O1067" s="5">
        <v>45631</v>
      </c>
      <c r="P1067">
        <f t="shared" si="99"/>
        <v>1.0000354295253187</v>
      </c>
      <c r="Q1067" s="6">
        <f t="shared" si="100"/>
        <v>1.0000200004000079</v>
      </c>
      <c r="R1067">
        <f t="shared" si="101"/>
        <v>1.5428697705256043E-5</v>
      </c>
      <c r="T1067" s="5">
        <v>45631</v>
      </c>
      <c r="U1067" s="1">
        <v>1.5428697705256043E-5</v>
      </c>
    </row>
    <row r="1068" spans="3:21" x14ac:dyDescent="0.2">
      <c r="C1068" s="5">
        <v>45632</v>
      </c>
      <c r="D1068" s="6">
        <v>0.99973000000000001</v>
      </c>
      <c r="E1068" s="6">
        <v>99895.54</v>
      </c>
      <c r="F1068" s="6">
        <v>99944</v>
      </c>
      <c r="G1068" s="6">
        <v>99695.25</v>
      </c>
      <c r="H1068" s="6">
        <v>99984.2</v>
      </c>
      <c r="I1068" s="5">
        <v>45632</v>
      </c>
      <c r="J1068" s="7">
        <f t="shared" si="98"/>
        <v>8.8752711081999754E-4</v>
      </c>
      <c r="K1068" s="5">
        <v>45632</v>
      </c>
      <c r="L1068" s="8">
        <f t="shared" si="96"/>
        <v>-2.4888937805170896E-3</v>
      </c>
      <c r="M1068" s="5">
        <v>45632</v>
      </c>
      <c r="N1068" s="9">
        <f t="shared" si="97"/>
        <v>-1.601366669697092E-3</v>
      </c>
      <c r="O1068" s="5">
        <v>45632</v>
      </c>
      <c r="P1068">
        <f t="shared" si="99"/>
        <v>1.0028983326688081</v>
      </c>
      <c r="Q1068" s="6">
        <f t="shared" si="100"/>
        <v>1.0002700729196883</v>
      </c>
      <c r="R1068">
        <f t="shared" si="101"/>
        <v>2.6241041441682229E-3</v>
      </c>
      <c r="T1068" s="5">
        <v>45632</v>
      </c>
      <c r="U1068" s="1">
        <v>2.6241041441682229E-3</v>
      </c>
    </row>
    <row r="1069" spans="3:21" x14ac:dyDescent="0.2">
      <c r="C1069" s="5">
        <v>45633</v>
      </c>
      <c r="D1069" s="6">
        <v>0.99999000000000005</v>
      </c>
      <c r="E1069" s="6">
        <v>99934.61</v>
      </c>
      <c r="F1069" s="6">
        <v>100020</v>
      </c>
      <c r="G1069" s="6">
        <v>99728.31</v>
      </c>
      <c r="H1069" s="6">
        <v>100024.2</v>
      </c>
      <c r="I1069" s="5">
        <v>45633</v>
      </c>
      <c r="J1069" s="7">
        <f t="shared" si="98"/>
        <v>8.9648621233421038E-4</v>
      </c>
      <c r="K1069" s="5">
        <v>45633</v>
      </c>
      <c r="L1069" s="8">
        <f t="shared" si="96"/>
        <v>-2.9163167366526928E-3</v>
      </c>
      <c r="M1069" s="5">
        <v>45633</v>
      </c>
      <c r="N1069" s="9">
        <f t="shared" si="97"/>
        <v>-2.0198305243184825E-3</v>
      </c>
      <c r="O1069" s="5">
        <v>45633</v>
      </c>
      <c r="P1069">
        <f t="shared" si="99"/>
        <v>1.0029669609361676</v>
      </c>
      <c r="Q1069" s="6">
        <f t="shared" si="100"/>
        <v>1.000010000100001</v>
      </c>
      <c r="R1069">
        <f t="shared" si="101"/>
        <v>2.9525681441533655E-3</v>
      </c>
      <c r="T1069" s="5">
        <v>45633</v>
      </c>
      <c r="U1069" s="1">
        <v>2.9525681441533655E-3</v>
      </c>
    </row>
    <row r="1070" spans="3:21" x14ac:dyDescent="0.2">
      <c r="C1070" s="5">
        <v>45634</v>
      </c>
      <c r="D1070" s="6">
        <v>0.99995000000000001</v>
      </c>
      <c r="E1070" s="6">
        <v>101184</v>
      </c>
      <c r="F1070" s="6">
        <v>101288</v>
      </c>
      <c r="G1070" s="6">
        <v>101043.67</v>
      </c>
      <c r="H1070" s="6">
        <v>101297.5</v>
      </c>
      <c r="I1070" s="5">
        <v>45634</v>
      </c>
      <c r="J1070" s="7">
        <f t="shared" si="98"/>
        <v>1.1217188488298546E-3</v>
      </c>
      <c r="K1070" s="5">
        <v>45634</v>
      </c>
      <c r="L1070" s="8">
        <f t="shared" si="96"/>
        <v>-2.412230471526753E-3</v>
      </c>
      <c r="M1070" s="5">
        <v>45634</v>
      </c>
      <c r="N1070" s="9">
        <f t="shared" si="97"/>
        <v>-1.2905116226968984E-3</v>
      </c>
      <c r="O1070" s="5">
        <v>45634</v>
      </c>
      <c r="P1070">
        <f t="shared" si="99"/>
        <v>1.0025120821522022</v>
      </c>
      <c r="Q1070" s="6">
        <f t="shared" si="100"/>
        <v>1.0000500025001251</v>
      </c>
      <c r="R1070">
        <f t="shared" si="101"/>
        <v>2.4589308980672957E-3</v>
      </c>
      <c r="T1070" s="5">
        <v>45634</v>
      </c>
      <c r="U1070" s="1">
        <v>2.4589308980672957E-3</v>
      </c>
    </row>
    <row r="1071" spans="3:21" x14ac:dyDescent="0.2">
      <c r="C1071" s="5">
        <v>45635</v>
      </c>
      <c r="D1071" s="6">
        <v>0.99992999999999999</v>
      </c>
      <c r="E1071" s="6">
        <v>97324.06</v>
      </c>
      <c r="F1071" s="6">
        <v>97397</v>
      </c>
      <c r="G1071" s="6">
        <v>97434.39</v>
      </c>
      <c r="H1071" s="6">
        <v>97403.9</v>
      </c>
      <c r="I1071" s="5">
        <v>45635</v>
      </c>
      <c r="J1071" s="7">
        <f t="shared" si="98"/>
        <v>8.2035213080913912E-4</v>
      </c>
      <c r="K1071" s="5">
        <v>45635</v>
      </c>
      <c r="L1071" s="8">
        <f t="shared" si="96"/>
        <v>3.838927277020793E-4</v>
      </c>
      <c r="M1071" s="5">
        <v>45635</v>
      </c>
      <c r="N1071" s="9">
        <f t="shared" si="97"/>
        <v>1.2042448585112184E-3</v>
      </c>
      <c r="O1071" s="5">
        <v>45635</v>
      </c>
      <c r="P1071">
        <f t="shared" si="99"/>
        <v>0.99968707147445579</v>
      </c>
      <c r="Q1071" s="6">
        <f t="shared" si="100"/>
        <v>1.000070004900343</v>
      </c>
      <c r="R1071">
        <f t="shared" si="101"/>
        <v>-3.8297994800641402E-4</v>
      </c>
      <c r="T1071" s="5">
        <v>45635</v>
      </c>
      <c r="U1071" s="1">
        <v>-3.8297994800641402E-4</v>
      </c>
    </row>
    <row r="1072" spans="3:21" x14ac:dyDescent="0.2">
      <c r="C1072" s="5">
        <v>45636</v>
      </c>
      <c r="D1072" s="6">
        <v>0.99995000000000001</v>
      </c>
      <c r="E1072" s="6">
        <v>96653.01</v>
      </c>
      <c r="F1072" s="6">
        <v>96672</v>
      </c>
      <c r="G1072" s="6">
        <v>96912.13</v>
      </c>
      <c r="H1072" s="6">
        <v>96663.8</v>
      </c>
      <c r="I1072" s="5">
        <v>45636</v>
      </c>
      <c r="J1072" s="7">
        <f t="shared" si="98"/>
        <v>1.1163646119255002E-4</v>
      </c>
      <c r="K1072" s="5">
        <v>45636</v>
      </c>
      <c r="L1072" s="8">
        <f t="shared" si="96"/>
        <v>2.4839664018537389E-3</v>
      </c>
      <c r="M1072" s="5">
        <v>45636</v>
      </c>
      <c r="N1072" s="9">
        <f t="shared" si="97"/>
        <v>2.5956028630462888E-3</v>
      </c>
      <c r="O1072" s="5">
        <v>45636</v>
      </c>
      <c r="P1072">
        <f t="shared" si="99"/>
        <v>0.99743757566777247</v>
      </c>
      <c r="Q1072" s="6">
        <f t="shared" si="100"/>
        <v>1.0000500025001251</v>
      </c>
      <c r="R1072">
        <f t="shared" si="101"/>
        <v>-2.6157142106072555E-3</v>
      </c>
      <c r="T1072" s="5">
        <v>45636</v>
      </c>
      <c r="U1072" s="1">
        <v>-2.6157142106072555E-3</v>
      </c>
    </row>
    <row r="1073" spans="3:21" x14ac:dyDescent="0.2">
      <c r="C1073" s="5">
        <v>45637</v>
      </c>
      <c r="D1073" s="6">
        <v>0.99999000000000005</v>
      </c>
      <c r="E1073" s="6">
        <v>101204.71</v>
      </c>
      <c r="F1073" s="6">
        <v>101207.5</v>
      </c>
      <c r="G1073" s="6">
        <v>100900.57</v>
      </c>
      <c r="H1073" s="6">
        <v>101212.6</v>
      </c>
      <c r="I1073" s="5">
        <v>45637</v>
      </c>
      <c r="J1073" s="7">
        <f t="shared" si="98"/>
        <v>7.7960798464808776E-5</v>
      </c>
      <c r="K1073" s="5">
        <v>45637</v>
      </c>
      <c r="L1073" s="8">
        <f t="shared" si="96"/>
        <v>-3.0326803843587977E-3</v>
      </c>
      <c r="M1073" s="5">
        <v>45637</v>
      </c>
      <c r="N1073" s="9">
        <f t="shared" si="97"/>
        <v>-2.9547195858939889E-3</v>
      </c>
      <c r="O1073" s="5">
        <v>45637</v>
      </c>
      <c r="P1073">
        <f t="shared" si="99"/>
        <v>1.0030924503201519</v>
      </c>
      <c r="Q1073" s="6">
        <f t="shared" si="100"/>
        <v>1.000010000100001</v>
      </c>
      <c r="R1073">
        <f t="shared" si="101"/>
        <v>3.0776784808101932E-3</v>
      </c>
      <c r="T1073" s="5">
        <v>45637</v>
      </c>
      <c r="U1073" s="1">
        <v>3.0776784808101932E-3</v>
      </c>
    </row>
    <row r="1074" spans="3:21" x14ac:dyDescent="0.2">
      <c r="C1074" s="5">
        <v>45638</v>
      </c>
      <c r="D1074" s="6">
        <v>1.0000100000000001</v>
      </c>
      <c r="E1074" s="6">
        <v>100029.01</v>
      </c>
      <c r="F1074" s="6">
        <v>100055</v>
      </c>
      <c r="G1074" s="6">
        <v>99923.68</v>
      </c>
      <c r="H1074" s="6">
        <v>100046</v>
      </c>
      <c r="I1074" s="5">
        <v>45638</v>
      </c>
      <c r="J1074" s="7">
        <f t="shared" si="98"/>
        <v>1.698507263043515E-4</v>
      </c>
      <c r="K1074" s="5">
        <v>45638</v>
      </c>
      <c r="L1074" s="8">
        <f t="shared" si="96"/>
        <v>-1.3124781370247062E-3</v>
      </c>
      <c r="M1074" s="5">
        <v>45638</v>
      </c>
      <c r="N1074" s="9">
        <f t="shared" si="97"/>
        <v>-1.1426274107203547E-3</v>
      </c>
      <c r="O1074" s="5">
        <v>45638</v>
      </c>
      <c r="P1074">
        <f t="shared" si="99"/>
        <v>1.0012241342592667</v>
      </c>
      <c r="Q1074" s="6">
        <f t="shared" si="100"/>
        <v>0.99999000009999894</v>
      </c>
      <c r="R1074">
        <f t="shared" si="101"/>
        <v>1.2333855678209084E-3</v>
      </c>
      <c r="T1074" s="5">
        <v>45638</v>
      </c>
      <c r="U1074" s="1">
        <v>1.2333855678209084E-3</v>
      </c>
    </row>
    <row r="1075" spans="3:21" x14ac:dyDescent="0.2">
      <c r="C1075" s="5">
        <v>45639</v>
      </c>
      <c r="D1075" s="6">
        <v>0.99999000000000005</v>
      </c>
      <c r="E1075" s="6">
        <v>101434.31</v>
      </c>
      <c r="F1075" s="6">
        <v>101463</v>
      </c>
      <c r="G1075" s="6">
        <v>101394.34</v>
      </c>
      <c r="H1075" s="6">
        <v>101448</v>
      </c>
      <c r="I1075" s="5">
        <v>45639</v>
      </c>
      <c r="J1075" s="7">
        <f t="shared" si="98"/>
        <v>1.3496419505394506E-4</v>
      </c>
      <c r="K1075" s="5">
        <v>45639</v>
      </c>
      <c r="L1075" s="8">
        <f t="shared" si="96"/>
        <v>-6.7669988074473941E-4</v>
      </c>
      <c r="M1075" s="5">
        <v>45639</v>
      </c>
      <c r="N1075" s="9">
        <f t="shared" si="97"/>
        <v>-5.4173568569079429E-4</v>
      </c>
      <c r="O1075" s="5">
        <v>45639</v>
      </c>
      <c r="P1075">
        <f t="shared" si="99"/>
        <v>1.0005292208618353</v>
      </c>
      <c r="Q1075" s="6">
        <f t="shared" si="100"/>
        <v>1.000010000100001</v>
      </c>
      <c r="R1075">
        <f t="shared" si="101"/>
        <v>5.1908082386226226E-4</v>
      </c>
      <c r="T1075" s="5">
        <v>45639</v>
      </c>
      <c r="U1075" s="1">
        <v>5.1908082386226226E-4</v>
      </c>
    </row>
    <row r="1076" spans="3:21" x14ac:dyDescent="0.2">
      <c r="C1076" s="5">
        <v>45640</v>
      </c>
      <c r="D1076" s="6">
        <v>0.99985999999999997</v>
      </c>
      <c r="E1076" s="6">
        <v>101402.83</v>
      </c>
      <c r="F1076" s="6">
        <v>101435.5</v>
      </c>
      <c r="G1076" s="6">
        <v>101261.05</v>
      </c>
      <c r="H1076" s="6">
        <v>101459.1</v>
      </c>
      <c r="I1076" s="5">
        <v>45640</v>
      </c>
      <c r="J1076" s="7">
        <f t="shared" si="98"/>
        <v>5.5491547918341203E-4</v>
      </c>
      <c r="K1076" s="5">
        <v>45640</v>
      </c>
      <c r="L1076" s="8">
        <f t="shared" si="96"/>
        <v>-1.7198120973426177E-3</v>
      </c>
      <c r="M1076" s="5">
        <v>45640</v>
      </c>
      <c r="N1076" s="9">
        <f t="shared" si="97"/>
        <v>-1.1648966181592056E-3</v>
      </c>
      <c r="O1076" s="5">
        <v>45640</v>
      </c>
      <c r="P1076">
        <f t="shared" si="99"/>
        <v>1.0019558359309921</v>
      </c>
      <c r="Q1076" s="6">
        <f t="shared" si="100"/>
        <v>1.0001400196027443</v>
      </c>
      <c r="R1076">
        <f t="shared" si="101"/>
        <v>1.8139159732131426E-3</v>
      </c>
      <c r="T1076" s="5">
        <v>45640</v>
      </c>
      <c r="U1076" s="1">
        <v>1.8139159732131426E-3</v>
      </c>
    </row>
    <row r="1077" spans="3:21" x14ac:dyDescent="0.2">
      <c r="C1077" s="5">
        <v>45641</v>
      </c>
      <c r="D1077" s="6">
        <v>0.99978999999999996</v>
      </c>
      <c r="E1077" s="6">
        <v>104440.37</v>
      </c>
      <c r="F1077" s="6">
        <v>104534</v>
      </c>
      <c r="G1077" s="6">
        <v>104181.49</v>
      </c>
      <c r="H1077" s="6">
        <v>104524.6</v>
      </c>
      <c r="I1077" s="5">
        <v>45641</v>
      </c>
      <c r="J1077" s="7">
        <f t="shared" si="98"/>
        <v>8.0648890845571003E-4</v>
      </c>
      <c r="K1077" s="5">
        <v>45641</v>
      </c>
      <c r="L1077" s="8">
        <f t="shared" si="96"/>
        <v>-3.3722042589013602E-3</v>
      </c>
      <c r="M1077" s="5">
        <v>45641</v>
      </c>
      <c r="N1077" s="9">
        <f t="shared" si="97"/>
        <v>-2.56571535044565E-3</v>
      </c>
      <c r="O1077" s="5">
        <v>45641</v>
      </c>
      <c r="P1077">
        <f t="shared" si="99"/>
        <v>1.0032933873378083</v>
      </c>
      <c r="Q1077" s="6">
        <f t="shared" si="100"/>
        <v>1.000210044109263</v>
      </c>
      <c r="R1077">
        <f t="shared" si="101"/>
        <v>3.0779539624408814E-3</v>
      </c>
      <c r="T1077" s="5">
        <v>45641</v>
      </c>
      <c r="U1077" s="1">
        <v>3.0779539624408814E-3</v>
      </c>
    </row>
    <row r="1078" spans="3:21" x14ac:dyDescent="0.2">
      <c r="C1078" s="5">
        <v>45642</v>
      </c>
      <c r="D1078" s="6">
        <v>0.99988999999999995</v>
      </c>
      <c r="E1078" s="6">
        <v>106097.32</v>
      </c>
      <c r="F1078" s="6">
        <v>106146.5</v>
      </c>
      <c r="G1078" s="6">
        <v>105746.04</v>
      </c>
      <c r="H1078" s="6">
        <v>106130.7</v>
      </c>
      <c r="I1078" s="5">
        <v>45642</v>
      </c>
      <c r="J1078" s="7">
        <f t="shared" si="98"/>
        <v>3.1461680653187187E-4</v>
      </c>
      <c r="K1078" s="5">
        <v>45642</v>
      </c>
      <c r="L1078" s="8">
        <f t="shared" si="96"/>
        <v>-3.7727103578545349E-3</v>
      </c>
      <c r="M1078" s="5">
        <v>45642</v>
      </c>
      <c r="N1078" s="9">
        <f t="shared" si="97"/>
        <v>-3.4580935513226631E-3</v>
      </c>
      <c r="O1078" s="5">
        <v>45642</v>
      </c>
      <c r="P1078">
        <f t="shared" si="99"/>
        <v>1.0036375830243855</v>
      </c>
      <c r="Q1078" s="6">
        <f t="shared" si="100"/>
        <v>1.0001100121013311</v>
      </c>
      <c r="R1078">
        <f t="shared" si="101"/>
        <v>3.5209769693464316E-3</v>
      </c>
      <c r="T1078" s="5">
        <v>45642</v>
      </c>
      <c r="U1078" s="1">
        <v>3.5209769693464316E-3</v>
      </c>
    </row>
    <row r="1079" spans="3:21" x14ac:dyDescent="0.2">
      <c r="C1079" s="5">
        <v>45643</v>
      </c>
      <c r="D1079" s="6">
        <v>0.99999000000000005</v>
      </c>
      <c r="E1079" s="6">
        <v>106140</v>
      </c>
      <c r="F1079" s="6">
        <v>106172</v>
      </c>
      <c r="G1079" s="6">
        <v>106142.79</v>
      </c>
      <c r="H1079" s="6">
        <v>106205.5</v>
      </c>
      <c r="I1079" s="5">
        <v>45643</v>
      </c>
      <c r="J1079" s="7">
        <f t="shared" si="98"/>
        <v>6.171094780478613E-4</v>
      </c>
      <c r="K1079" s="5">
        <v>45643</v>
      </c>
      <c r="L1079" s="8">
        <f t="shared" si="96"/>
        <v>-2.7511961722494069E-4</v>
      </c>
      <c r="M1079" s="5">
        <v>45643</v>
      </c>
      <c r="N1079" s="9">
        <f t="shared" si="97"/>
        <v>3.419898608229206E-4</v>
      </c>
      <c r="O1079" s="5">
        <v>45643</v>
      </c>
      <c r="P1079">
        <f t="shared" si="99"/>
        <v>1.00059080791074</v>
      </c>
      <c r="Q1079" s="6">
        <f t="shared" si="100"/>
        <v>1.000010000100001</v>
      </c>
      <c r="R1079">
        <f t="shared" si="101"/>
        <v>5.8063340245689181E-4</v>
      </c>
      <c r="T1079" s="5">
        <v>45643</v>
      </c>
      <c r="U1079" s="1">
        <v>5.8063340245689181E-4</v>
      </c>
    </row>
    <row r="1080" spans="3:21" x14ac:dyDescent="0.2">
      <c r="C1080" s="5">
        <v>45644</v>
      </c>
      <c r="D1080" s="6">
        <v>1</v>
      </c>
      <c r="E1080" s="6">
        <v>100161</v>
      </c>
      <c r="F1080" s="6">
        <v>100156</v>
      </c>
      <c r="G1080" s="6">
        <v>100195.8</v>
      </c>
      <c r="H1080" s="6">
        <v>100172.9</v>
      </c>
      <c r="I1080" s="5">
        <v>45644</v>
      </c>
      <c r="J1080" s="7">
        <f t="shared" si="98"/>
        <v>1.1880871796401972E-4</v>
      </c>
      <c r="K1080" s="5">
        <v>45644</v>
      </c>
      <c r="L1080" s="8">
        <f t="shared" si="96"/>
        <v>3.9738008706420894E-4</v>
      </c>
      <c r="M1080" s="5">
        <v>45644</v>
      </c>
      <c r="N1080" s="9">
        <f t="shared" si="97"/>
        <v>5.1618880502822865E-4</v>
      </c>
      <c r="O1080" s="5">
        <v>45644</v>
      </c>
      <c r="P1080">
        <f t="shared" si="99"/>
        <v>0.99977144750578362</v>
      </c>
      <c r="Q1080" s="6">
        <f t="shared" si="100"/>
        <v>1</v>
      </c>
      <c r="R1080">
        <f t="shared" si="101"/>
        <v>-2.2857861631794607E-4</v>
      </c>
      <c r="T1080" s="5">
        <v>45644</v>
      </c>
      <c r="U1080" s="1">
        <v>-2.2857861631794607E-4</v>
      </c>
    </row>
    <row r="1081" spans="3:21" x14ac:dyDescent="0.2">
      <c r="C1081" s="5">
        <v>45645</v>
      </c>
      <c r="D1081" s="6">
        <v>1</v>
      </c>
      <c r="E1081" s="6">
        <v>97373.03</v>
      </c>
      <c r="F1081" s="6">
        <v>97369</v>
      </c>
      <c r="G1081" s="6">
        <v>97703.97</v>
      </c>
      <c r="H1081" s="6">
        <v>97391.9</v>
      </c>
      <c r="I1081" s="5">
        <v>45645</v>
      </c>
      <c r="J1081" s="7">
        <f t="shared" si="98"/>
        <v>1.9379082688497363E-4</v>
      </c>
      <c r="K1081" s="5">
        <v>45645</v>
      </c>
      <c r="L1081" s="8">
        <f t="shared" si="96"/>
        <v>3.4402119771179858E-3</v>
      </c>
      <c r="M1081" s="5">
        <v>45645</v>
      </c>
      <c r="N1081" s="9">
        <f t="shared" si="97"/>
        <v>3.6340028040029596E-3</v>
      </c>
      <c r="O1081" s="5">
        <v>45645</v>
      </c>
      <c r="P1081">
        <f t="shared" si="99"/>
        <v>0.99680596397464705</v>
      </c>
      <c r="Q1081" s="6">
        <f t="shared" si="100"/>
        <v>1</v>
      </c>
      <c r="R1081">
        <f t="shared" si="101"/>
        <v>-3.1991478462140774E-3</v>
      </c>
      <c r="T1081" s="5">
        <v>45645</v>
      </c>
      <c r="U1081" s="1">
        <v>-3.1991478462140774E-3</v>
      </c>
    </row>
    <row r="1082" spans="3:21" x14ac:dyDescent="0.2">
      <c r="C1082" s="5">
        <v>45646</v>
      </c>
      <c r="D1082" s="6">
        <v>1.0000100000000001</v>
      </c>
      <c r="E1082" s="6">
        <v>97760.58</v>
      </c>
      <c r="F1082" s="6">
        <v>97734</v>
      </c>
      <c r="G1082" s="6">
        <v>98124.17</v>
      </c>
      <c r="H1082" s="6">
        <v>97762.6</v>
      </c>
      <c r="I1082" s="5">
        <v>45646</v>
      </c>
      <c r="J1082" s="7">
        <f t="shared" si="98"/>
        <v>2.0662725200730955E-5</v>
      </c>
      <c r="K1082" s="5">
        <v>45646</v>
      </c>
      <c r="L1082" s="8">
        <f t="shared" si="96"/>
        <v>3.992162399983611E-3</v>
      </c>
      <c r="M1082" s="5">
        <v>45646</v>
      </c>
      <c r="N1082" s="9">
        <f t="shared" si="97"/>
        <v>4.0128251251843423E-3</v>
      </c>
      <c r="O1082" s="5">
        <v>45646</v>
      </c>
      <c r="P1082">
        <f t="shared" si="99"/>
        <v>0.99631517902266087</v>
      </c>
      <c r="Q1082" s="6">
        <f t="shared" si="100"/>
        <v>0.99999000009999894</v>
      </c>
      <c r="R1082">
        <f t="shared" si="101"/>
        <v>-3.6816267037662982E-3</v>
      </c>
      <c r="T1082" s="5">
        <v>45646</v>
      </c>
      <c r="U1082" s="1">
        <v>-3.6816267037662982E-3</v>
      </c>
    </row>
    <row r="1083" spans="3:21" x14ac:dyDescent="0.2">
      <c r="C1083" s="5">
        <v>45647</v>
      </c>
      <c r="D1083" s="6">
        <v>1</v>
      </c>
      <c r="E1083" s="6">
        <v>97228.35</v>
      </c>
      <c r="F1083" s="6">
        <v>97187</v>
      </c>
      <c r="G1083" s="6">
        <v>97505.18</v>
      </c>
      <c r="H1083" s="6">
        <v>97165.2</v>
      </c>
      <c r="I1083" s="5">
        <v>45647</v>
      </c>
      <c r="J1083" s="7">
        <f t="shared" si="98"/>
        <v>-6.4950191996479144E-4</v>
      </c>
      <c r="K1083" s="5">
        <v>45647</v>
      </c>
      <c r="L1083" s="8">
        <f t="shared" si="96"/>
        <v>3.2738946566926957E-3</v>
      </c>
      <c r="M1083" s="5">
        <v>45647</v>
      </c>
      <c r="N1083" s="9">
        <f t="shared" si="97"/>
        <v>2.6243927367279041E-3</v>
      </c>
      <c r="O1083" s="5">
        <v>45647</v>
      </c>
      <c r="P1083">
        <f t="shared" si="99"/>
        <v>0.99651321088787281</v>
      </c>
      <c r="Q1083" s="6">
        <f t="shared" si="100"/>
        <v>1</v>
      </c>
      <c r="R1083">
        <f t="shared" si="101"/>
        <v>-3.4928821287825628E-3</v>
      </c>
      <c r="T1083" s="5">
        <v>45647</v>
      </c>
      <c r="U1083" s="1">
        <v>-3.4928821287825628E-3</v>
      </c>
    </row>
    <row r="1084" spans="3:21" x14ac:dyDescent="0.2">
      <c r="C1084" s="5">
        <v>45648</v>
      </c>
      <c r="D1084" s="6">
        <v>0.99999000000000005</v>
      </c>
      <c r="E1084" s="6">
        <v>95090.08</v>
      </c>
      <c r="F1084" s="6">
        <v>95081.5</v>
      </c>
      <c r="G1084" s="6">
        <v>95310.76</v>
      </c>
      <c r="H1084" s="6">
        <v>95077.5</v>
      </c>
      <c r="I1084" s="5">
        <v>45648</v>
      </c>
      <c r="J1084" s="7">
        <f t="shared" si="98"/>
        <v>-1.3229560854299152E-4</v>
      </c>
      <c r="K1084" s="5">
        <v>45648</v>
      </c>
      <c r="L1084" s="8">
        <f t="shared" si="96"/>
        <v>2.4111946067320641E-3</v>
      </c>
      <c r="M1084" s="5">
        <v>45648</v>
      </c>
      <c r="N1084" s="9">
        <f t="shared" si="97"/>
        <v>2.2788989981890728E-3</v>
      </c>
      <c r="O1084" s="5">
        <v>45648</v>
      </c>
      <c r="P1084">
        <f t="shared" si="99"/>
        <v>0.99755263728880139</v>
      </c>
      <c r="Q1084" s="6">
        <f t="shared" si="100"/>
        <v>1.000010000100001</v>
      </c>
      <c r="R1084">
        <f t="shared" si="101"/>
        <v>-2.4603624485337165E-3</v>
      </c>
      <c r="T1084" s="5">
        <v>45648</v>
      </c>
      <c r="U1084" s="1">
        <v>-2.4603624485337165E-3</v>
      </c>
    </row>
    <row r="1085" spans="3:21" x14ac:dyDescent="0.2">
      <c r="C1085" s="5">
        <v>45649</v>
      </c>
      <c r="D1085" s="6">
        <v>0.99999000000000005</v>
      </c>
      <c r="E1085" s="6">
        <v>94773.62</v>
      </c>
      <c r="F1085" s="6">
        <v>94762</v>
      </c>
      <c r="G1085" s="6">
        <v>94827.12</v>
      </c>
      <c r="H1085" s="6">
        <v>94773.5</v>
      </c>
      <c r="I1085" s="5">
        <v>45649</v>
      </c>
      <c r="J1085" s="7">
        <f t="shared" si="98"/>
        <v>-1.2661751233660105E-6</v>
      </c>
      <c r="K1085" s="5">
        <v>45649</v>
      </c>
      <c r="L1085" s="8">
        <f t="shared" si="96"/>
        <v>6.8719528925091644E-4</v>
      </c>
      <c r="M1085" s="5">
        <v>45649</v>
      </c>
      <c r="N1085" s="9">
        <f t="shared" si="97"/>
        <v>6.8592911412755045E-4</v>
      </c>
      <c r="O1085" s="5">
        <v>45649</v>
      </c>
      <c r="P1085">
        <f t="shared" si="99"/>
        <v>0.99943454994731462</v>
      </c>
      <c r="Q1085" s="6">
        <f t="shared" si="100"/>
        <v>1.000010000100001</v>
      </c>
      <c r="R1085">
        <f t="shared" si="101"/>
        <v>-5.7561002985675991E-4</v>
      </c>
      <c r="T1085" s="5">
        <v>45649</v>
      </c>
      <c r="U1085" s="1">
        <v>-5.7561002985675991E-4</v>
      </c>
    </row>
    <row r="1086" spans="3:21" x14ac:dyDescent="0.2">
      <c r="C1086" s="5">
        <v>45650</v>
      </c>
      <c r="D1086" s="6">
        <v>1.0000100000000001</v>
      </c>
      <c r="E1086" s="6">
        <v>98590.24</v>
      </c>
      <c r="F1086" s="6">
        <v>98610</v>
      </c>
      <c r="G1086" s="6">
        <v>98687.21</v>
      </c>
      <c r="H1086" s="6">
        <v>98591.3</v>
      </c>
      <c r="I1086" s="5">
        <v>45650</v>
      </c>
      <c r="J1086" s="7">
        <f t="shared" si="98"/>
        <v>1.0751571352272513E-5</v>
      </c>
      <c r="K1086" s="5">
        <v>45650</v>
      </c>
      <c r="L1086" s="8">
        <f t="shared" si="96"/>
        <v>7.8298347023634932E-4</v>
      </c>
      <c r="M1086" s="5">
        <v>45650</v>
      </c>
      <c r="N1086" s="9">
        <f t="shared" si="97"/>
        <v>7.9373504158862182E-4</v>
      </c>
      <c r="O1086" s="5">
        <v>45650</v>
      </c>
      <c r="P1086">
        <f t="shared" si="99"/>
        <v>0.99902814153931385</v>
      </c>
      <c r="Q1086" s="6">
        <f t="shared" si="100"/>
        <v>0.99999000009999894</v>
      </c>
      <c r="R1086">
        <f t="shared" si="101"/>
        <v>-9.6233107131905881E-4</v>
      </c>
      <c r="T1086" s="5">
        <v>45650</v>
      </c>
      <c r="U1086" s="1">
        <v>-9.6233107131905881E-4</v>
      </c>
    </row>
    <row r="1087" spans="3:21" x14ac:dyDescent="0.2">
      <c r="C1087" s="5">
        <v>45651</v>
      </c>
      <c r="D1087" s="6">
        <v>1</v>
      </c>
      <c r="E1087" s="6">
        <v>99357.64</v>
      </c>
      <c r="F1087" s="6">
        <v>99360</v>
      </c>
      <c r="G1087" s="6">
        <v>99409.19</v>
      </c>
      <c r="H1087" s="6">
        <v>99366.399999999994</v>
      </c>
      <c r="I1087" s="5">
        <v>45651</v>
      </c>
      <c r="J1087" s="7">
        <f t="shared" si="98"/>
        <v>8.8166345335846964E-5</v>
      </c>
      <c r="K1087" s="5">
        <v>45651</v>
      </c>
      <c r="L1087" s="8">
        <f t="shared" si="96"/>
        <v>4.9506843800324401E-4</v>
      </c>
      <c r="M1087" s="5">
        <v>45651</v>
      </c>
      <c r="N1087" s="9">
        <f t="shared" si="97"/>
        <v>5.8323478333909093E-4</v>
      </c>
      <c r="O1087" s="5">
        <v>45651</v>
      </c>
      <c r="P1087">
        <f t="shared" si="99"/>
        <v>0.99956955689911553</v>
      </c>
      <c r="Q1087" s="6">
        <f t="shared" si="100"/>
        <v>1</v>
      </c>
      <c r="R1087">
        <f t="shared" si="101"/>
        <v>-4.3053576810895194E-4</v>
      </c>
      <c r="T1087" s="5">
        <v>45651</v>
      </c>
      <c r="U1087" s="1">
        <v>-4.3053576810895194E-4</v>
      </c>
    </row>
    <row r="1088" spans="3:21" x14ac:dyDescent="0.2">
      <c r="C1088" s="5">
        <v>45652</v>
      </c>
      <c r="D1088" s="6">
        <v>1.0000100000000001</v>
      </c>
      <c r="E1088" s="6">
        <v>95667.99</v>
      </c>
      <c r="F1088" s="6">
        <v>95643.5</v>
      </c>
      <c r="G1088" s="6">
        <v>95691.66</v>
      </c>
      <c r="H1088" s="6">
        <v>95712.4</v>
      </c>
      <c r="I1088" s="5">
        <v>45652</v>
      </c>
      <c r="J1088" s="7">
        <f t="shared" si="98"/>
        <v>4.6420960657780034E-4</v>
      </c>
      <c r="K1088" s="5">
        <v>45652</v>
      </c>
      <c r="L1088" s="8">
        <f t="shared" si="96"/>
        <v>5.0353657070269795E-4</v>
      </c>
      <c r="M1088" s="5">
        <v>45652</v>
      </c>
      <c r="N1088" s="9">
        <f t="shared" si="97"/>
        <v>9.6774617728049824E-4</v>
      </c>
      <c r="O1088" s="5">
        <v>45652</v>
      </c>
      <c r="P1088">
        <f t="shared" si="99"/>
        <v>1.0002167378013924</v>
      </c>
      <c r="Q1088" s="6">
        <f t="shared" si="100"/>
        <v>0.99999000009999894</v>
      </c>
      <c r="R1088">
        <f t="shared" si="101"/>
        <v>2.2671426714880377E-4</v>
      </c>
      <c r="T1088" s="5">
        <v>45652</v>
      </c>
      <c r="U1088" s="1">
        <v>2.2671426714880377E-4</v>
      </c>
    </row>
    <row r="1089" spans="3:21" x14ac:dyDescent="0.2">
      <c r="C1089" s="5">
        <v>45653</v>
      </c>
      <c r="D1089" s="6">
        <v>0.99999000000000005</v>
      </c>
      <c r="E1089" s="6">
        <v>94159.54</v>
      </c>
      <c r="F1089" s="6">
        <v>94159.5</v>
      </c>
      <c r="G1089" s="6">
        <v>94241.46</v>
      </c>
      <c r="H1089" s="6">
        <v>94116.800000000003</v>
      </c>
      <c r="I1089" s="5">
        <v>45653</v>
      </c>
      <c r="J1089" s="7">
        <f t="shared" si="98"/>
        <v>-4.5391045878081702E-4</v>
      </c>
      <c r="K1089" s="5">
        <v>45653</v>
      </c>
      <c r="L1089" s="8">
        <f t="shared" si="96"/>
        <v>8.7043792713434548E-4</v>
      </c>
      <c r="M1089" s="5">
        <v>45653</v>
      </c>
      <c r="N1089" s="9">
        <f t="shared" si="97"/>
        <v>4.1652746835352846E-4</v>
      </c>
      <c r="O1089" s="5">
        <v>45653</v>
      </c>
      <c r="P1089">
        <f t="shared" si="99"/>
        <v>0.99867722762359579</v>
      </c>
      <c r="Q1089" s="6">
        <f t="shared" si="100"/>
        <v>1.000010000100001</v>
      </c>
      <c r="R1089">
        <f t="shared" si="101"/>
        <v>-1.333648062047287E-3</v>
      </c>
      <c r="T1089" s="5">
        <v>45653</v>
      </c>
      <c r="U1089" s="1">
        <v>-1.333648062047287E-3</v>
      </c>
    </row>
    <row r="1090" spans="3:21" x14ac:dyDescent="0.2">
      <c r="C1090" s="5">
        <v>45654</v>
      </c>
      <c r="D1090" s="6">
        <v>0.99999000000000005</v>
      </c>
      <c r="E1090" s="6">
        <v>95127.63</v>
      </c>
      <c r="F1090" s="6">
        <v>95131.5</v>
      </c>
      <c r="G1090" s="6">
        <v>95077.77</v>
      </c>
      <c r="H1090" s="6">
        <v>95169.2</v>
      </c>
      <c r="I1090" s="5">
        <v>45654</v>
      </c>
      <c r="J1090" s="7">
        <f t="shared" si="98"/>
        <v>4.36991860303809E-4</v>
      </c>
      <c r="K1090" s="5">
        <v>45654</v>
      </c>
      <c r="L1090" s="8">
        <f t="shared" si="96"/>
        <v>-5.6479714920920968E-4</v>
      </c>
      <c r="M1090" s="5">
        <v>45654</v>
      </c>
      <c r="N1090" s="9">
        <f t="shared" si="97"/>
        <v>-1.2780528890540067E-4</v>
      </c>
      <c r="O1090" s="5">
        <v>45654</v>
      </c>
      <c r="P1090">
        <f t="shared" si="99"/>
        <v>1.0009616338288119</v>
      </c>
      <c r="Q1090" s="6">
        <f t="shared" si="100"/>
        <v>1.000010000100001</v>
      </c>
      <c r="R1090">
        <f t="shared" si="101"/>
        <v>9.511717052079103E-4</v>
      </c>
      <c r="T1090" s="5">
        <v>45654</v>
      </c>
      <c r="U1090" s="1">
        <v>9.511717052079103E-4</v>
      </c>
    </row>
    <row r="1091" spans="3:21" x14ac:dyDescent="0.2">
      <c r="C1091" s="5">
        <v>45655</v>
      </c>
      <c r="D1091" s="6">
        <v>1</v>
      </c>
      <c r="E1091" s="6">
        <v>93561.03</v>
      </c>
      <c r="F1091" s="6">
        <v>93547.5</v>
      </c>
      <c r="G1091" s="6">
        <v>93477.25</v>
      </c>
      <c r="H1091" s="6">
        <v>93569.1</v>
      </c>
      <c r="I1091" s="5">
        <v>45655</v>
      </c>
      <c r="J1091" s="7">
        <f t="shared" si="98"/>
        <v>8.6253860180964071E-5</v>
      </c>
      <c r="K1091" s="5">
        <v>45655</v>
      </c>
      <c r="L1091" s="8">
        <f t="shared" si="96"/>
        <v>-7.5095539699083353E-4</v>
      </c>
      <c r="M1091" s="5">
        <v>45655</v>
      </c>
      <c r="N1091" s="9">
        <f t="shared" si="97"/>
        <v>-6.6470153680986941E-4</v>
      </c>
      <c r="O1091" s="5">
        <v>45655</v>
      </c>
      <c r="P1091">
        <f t="shared" si="99"/>
        <v>1.0009825920210533</v>
      </c>
      <c r="Q1091" s="6">
        <f t="shared" si="100"/>
        <v>1</v>
      </c>
      <c r="R1091">
        <f t="shared" si="101"/>
        <v>9.8210959350718665E-4</v>
      </c>
      <c r="T1091" s="5">
        <v>45655</v>
      </c>
      <c r="U1091" s="1">
        <v>9.8210959350718665E-4</v>
      </c>
    </row>
    <row r="1092" spans="3:21" x14ac:dyDescent="0.2">
      <c r="C1092" s="5">
        <v>45656</v>
      </c>
      <c r="D1092" s="6">
        <v>0.99999000000000005</v>
      </c>
      <c r="E1092" s="6">
        <v>92633.01</v>
      </c>
      <c r="F1092" s="6">
        <v>92611</v>
      </c>
      <c r="G1092" s="6">
        <v>92624.17</v>
      </c>
      <c r="H1092" s="6">
        <v>92654.5</v>
      </c>
      <c r="I1092" s="5">
        <v>45656</v>
      </c>
      <c r="J1092" s="7">
        <f t="shared" si="98"/>
        <v>2.3199073418865736E-4</v>
      </c>
      <c r="K1092" s="5">
        <v>45656</v>
      </c>
      <c r="L1092" s="8">
        <f t="shared" si="96"/>
        <v>1.4220772910343538E-4</v>
      </c>
      <c r="M1092" s="5">
        <v>45656</v>
      </c>
      <c r="N1092" s="9">
        <f t="shared" si="97"/>
        <v>3.7419846329209274E-4</v>
      </c>
      <c r="O1092" s="5">
        <v>45656</v>
      </c>
      <c r="P1092">
        <f t="shared" si="99"/>
        <v>1.0003274523269683</v>
      </c>
      <c r="Q1092" s="6">
        <f t="shared" si="100"/>
        <v>1.000010000100001</v>
      </c>
      <c r="R1092">
        <f t="shared" si="101"/>
        <v>3.1739867615566812E-4</v>
      </c>
      <c r="T1092" s="5">
        <v>45656</v>
      </c>
      <c r="U1092" s="1">
        <v>3.1739867615566812E-4</v>
      </c>
    </row>
    <row r="1093" spans="3:21" x14ac:dyDescent="0.2">
      <c r="C1093" s="5">
        <v>45657</v>
      </c>
      <c r="D1093" s="6">
        <v>0.99999000000000005</v>
      </c>
      <c r="E1093" s="6">
        <v>93384</v>
      </c>
      <c r="F1093" s="6">
        <v>93371.5</v>
      </c>
      <c r="G1093" s="6">
        <v>93383.06</v>
      </c>
      <c r="H1093" s="6">
        <v>93387.199999999997</v>
      </c>
      <c r="I1093" s="5">
        <v>45657</v>
      </c>
      <c r="J1093" s="7">
        <f t="shared" si="98"/>
        <v>3.4267112139093309E-5</v>
      </c>
      <c r="K1093" s="5">
        <v>45657</v>
      </c>
      <c r="L1093" s="8">
        <f t="shared" si="96"/>
        <v>1.2380651483587252E-4</v>
      </c>
      <c r="M1093" s="5">
        <v>45657</v>
      </c>
      <c r="N1093" s="9">
        <f t="shared" si="97"/>
        <v>1.5807362697496582E-4</v>
      </c>
      <c r="O1093" s="5">
        <v>45657</v>
      </c>
      <c r="P1093">
        <f t="shared" si="99"/>
        <v>1.0000443335225897</v>
      </c>
      <c r="Q1093" s="6">
        <f t="shared" si="100"/>
        <v>1.000010000100001</v>
      </c>
      <c r="R1093">
        <f t="shared" si="101"/>
        <v>3.4332489887813627E-5</v>
      </c>
      <c r="T1093" s="5">
        <v>45657</v>
      </c>
      <c r="U1093" s="1">
        <v>3.4332489887813627E-5</v>
      </c>
    </row>
    <row r="1094" spans="3:21" x14ac:dyDescent="0.2">
      <c r="C1094" s="5">
        <v>45658</v>
      </c>
      <c r="D1094" s="6">
        <v>0.99995000000000001</v>
      </c>
      <c r="E1094" s="6">
        <v>94401.600000000006</v>
      </c>
      <c r="F1094" s="6">
        <v>94413</v>
      </c>
      <c r="G1094" s="6">
        <v>94376.78</v>
      </c>
      <c r="H1094" s="6">
        <v>94398.5</v>
      </c>
      <c r="I1094" s="5">
        <v>45658</v>
      </c>
      <c r="J1094" s="7">
        <f t="shared" si="98"/>
        <v>-3.2838426467409672E-5</v>
      </c>
      <c r="K1094" s="5">
        <v>45658</v>
      </c>
      <c r="L1094" s="8">
        <f t="shared" si="96"/>
        <v>-3.8363360977832677E-4</v>
      </c>
      <c r="M1094" s="5">
        <v>45658</v>
      </c>
      <c r="N1094" s="9">
        <f t="shared" si="97"/>
        <v>-4.1647203624573643E-4</v>
      </c>
      <c r="O1094" s="5">
        <v>45658</v>
      </c>
      <c r="P1094">
        <f t="shared" si="99"/>
        <v>1.000230141354685</v>
      </c>
      <c r="Q1094" s="6">
        <f t="shared" si="100"/>
        <v>1.0000500025001251</v>
      </c>
      <c r="R1094">
        <f t="shared" si="101"/>
        <v>1.8011362618411763E-4</v>
      </c>
      <c r="T1094" s="5">
        <v>45658</v>
      </c>
      <c r="U1094" s="1">
        <v>1.8011362618411763E-4</v>
      </c>
    </row>
    <row r="1095" spans="3:21" x14ac:dyDescent="0.2">
      <c r="C1095" s="5">
        <v>45659</v>
      </c>
      <c r="D1095" s="6">
        <v>0.99977000000000005</v>
      </c>
      <c r="E1095" s="6">
        <v>96900</v>
      </c>
      <c r="F1095" s="6">
        <v>96920.5</v>
      </c>
      <c r="G1095" s="6">
        <v>96822.22</v>
      </c>
      <c r="H1095" s="6">
        <v>96913.8</v>
      </c>
      <c r="I1095" s="5">
        <v>45659</v>
      </c>
      <c r="J1095" s="7">
        <f t="shared" si="98"/>
        <v>1.424148606811446E-4</v>
      </c>
      <c r="K1095" s="5">
        <v>45659</v>
      </c>
      <c r="L1095" s="8">
        <f t="shared" si="96"/>
        <v>-1.0140269602405977E-3</v>
      </c>
      <c r="M1095" s="5">
        <v>45659</v>
      </c>
      <c r="N1095" s="9">
        <f t="shared" si="97"/>
        <v>-8.7161209955945304E-4</v>
      </c>
      <c r="O1095" s="5">
        <v>45659</v>
      </c>
      <c r="P1095">
        <f t="shared" si="99"/>
        <v>1.0009458572629299</v>
      </c>
      <c r="Q1095" s="6">
        <f t="shared" si="100"/>
        <v>1.0002300529121697</v>
      </c>
      <c r="R1095">
        <f t="shared" si="101"/>
        <v>7.1538376776186655E-4</v>
      </c>
      <c r="T1095" s="5">
        <v>45659</v>
      </c>
      <c r="U1095" s="1">
        <v>7.1538376776186655E-4</v>
      </c>
    </row>
    <row r="1096" spans="3:21" x14ac:dyDescent="0.2">
      <c r="C1096" s="5">
        <v>45660</v>
      </c>
      <c r="D1096" s="6">
        <v>1</v>
      </c>
      <c r="E1096" s="6">
        <v>98127.96</v>
      </c>
      <c r="F1096" s="6">
        <v>98143.5</v>
      </c>
      <c r="G1096" s="6">
        <v>97878.29</v>
      </c>
      <c r="H1096" s="6">
        <v>98091.1</v>
      </c>
      <c r="I1096" s="5">
        <v>45660</v>
      </c>
      <c r="J1096" s="7">
        <f t="shared" si="98"/>
        <v>-3.7563198093591856E-4</v>
      </c>
      <c r="K1096" s="5">
        <v>45660</v>
      </c>
      <c r="L1096" s="8">
        <f t="shared" si="96"/>
        <v>-2.7022675979561195E-3</v>
      </c>
      <c r="M1096" s="5">
        <v>45660</v>
      </c>
      <c r="N1096" s="9">
        <f t="shared" si="97"/>
        <v>-3.0778995788920379E-3</v>
      </c>
      <c r="O1096" s="5">
        <v>45660</v>
      </c>
      <c r="P1096">
        <f t="shared" si="99"/>
        <v>1.0021742308738741</v>
      </c>
      <c r="Q1096" s="6">
        <f t="shared" si="100"/>
        <v>1</v>
      </c>
      <c r="R1096">
        <f t="shared" si="101"/>
        <v>2.1718706544165555E-3</v>
      </c>
      <c r="T1096" s="5">
        <v>45660</v>
      </c>
      <c r="U1096" s="1">
        <v>2.1718706544165555E-3</v>
      </c>
    </row>
    <row r="1097" spans="3:21" x14ac:dyDescent="0.2">
      <c r="C1097" s="5">
        <v>45661</v>
      </c>
      <c r="D1097" s="6">
        <v>1.0000500000000001</v>
      </c>
      <c r="E1097" s="6">
        <v>98208.35</v>
      </c>
      <c r="F1097" s="6">
        <v>98203</v>
      </c>
      <c r="G1097" s="6">
        <v>98081.36</v>
      </c>
      <c r="H1097" s="6">
        <v>98196.7</v>
      </c>
      <c r="I1097" s="5">
        <v>45661</v>
      </c>
      <c r="J1097" s="7">
        <f t="shared" si="98"/>
        <v>-1.1862535110312647E-4</v>
      </c>
      <c r="K1097" s="5">
        <v>45661</v>
      </c>
      <c r="L1097" s="8">
        <f t="shared" si="96"/>
        <v>-1.2386586967811516E-3</v>
      </c>
      <c r="M1097" s="5">
        <v>45661</v>
      </c>
      <c r="N1097" s="9">
        <f t="shared" si="97"/>
        <v>-1.357284047884278E-3</v>
      </c>
      <c r="O1097" s="5">
        <v>45661</v>
      </c>
      <c r="P1097">
        <f t="shared" si="99"/>
        <v>1.0011759624866539</v>
      </c>
      <c r="Q1097" s="6">
        <f t="shared" si="100"/>
        <v>0.99995000249987487</v>
      </c>
      <c r="R1097">
        <f t="shared" si="101"/>
        <v>1.2252703344077256E-3</v>
      </c>
      <c r="T1097" s="5">
        <v>45661</v>
      </c>
      <c r="U1097" s="1">
        <v>1.2252703344077256E-3</v>
      </c>
    </row>
    <row r="1098" spans="3:21" x14ac:dyDescent="0.2">
      <c r="C1098" s="5">
        <v>45662</v>
      </c>
      <c r="D1098" s="6">
        <v>0.99983</v>
      </c>
      <c r="E1098" s="6">
        <v>98353.01</v>
      </c>
      <c r="F1098" s="6">
        <v>98331.5</v>
      </c>
      <c r="G1098" s="6">
        <v>98309.02</v>
      </c>
      <c r="H1098" s="6">
        <v>98327.6</v>
      </c>
      <c r="I1098" s="5">
        <v>45662</v>
      </c>
      <c r="J1098" s="7">
        <f t="shared" si="98"/>
        <v>-2.5835508237103208E-4</v>
      </c>
      <c r="K1098" s="5">
        <v>45662</v>
      </c>
      <c r="L1098" s="8">
        <f t="shared" si="96"/>
        <v>-2.2861443179444965E-4</v>
      </c>
      <c r="M1098" s="5">
        <v>45662</v>
      </c>
      <c r="N1098" s="9">
        <f t="shared" si="97"/>
        <v>-4.8696951416548175E-4</v>
      </c>
      <c r="O1098" s="5">
        <v>45662</v>
      </c>
      <c r="P1098">
        <f t="shared" si="99"/>
        <v>1.0001889958825751</v>
      </c>
      <c r="Q1098" s="6">
        <f t="shared" si="100"/>
        <v>1.0001700289049138</v>
      </c>
      <c r="R1098">
        <f t="shared" si="101"/>
        <v>1.8963573465562554E-5</v>
      </c>
      <c r="T1098" s="5">
        <v>45662</v>
      </c>
      <c r="U1098" s="1">
        <v>1.8963573465562554E-5</v>
      </c>
    </row>
    <row r="1099" spans="3:21" x14ac:dyDescent="0.2">
      <c r="C1099" s="5">
        <v>45663</v>
      </c>
      <c r="D1099" s="6">
        <v>0.99980000000000002</v>
      </c>
      <c r="E1099" s="6">
        <v>102268.92</v>
      </c>
      <c r="F1099" s="6">
        <v>102255.5</v>
      </c>
      <c r="G1099" s="6">
        <v>102228.37</v>
      </c>
      <c r="H1099" s="6">
        <v>102227.1</v>
      </c>
      <c r="I1099" s="5">
        <v>45663</v>
      </c>
      <c r="J1099" s="7">
        <f t="shared" si="98"/>
        <v>-4.0892188946546452E-4</v>
      </c>
      <c r="K1099" s="5">
        <v>45663</v>
      </c>
      <c r="L1099" s="8">
        <f t="shared" ref="L1099:L1162" si="102">(G1099-F1099)/F1099</f>
        <v>-2.6531580208404102E-4</v>
      </c>
      <c r="M1099" s="5">
        <v>45663</v>
      </c>
      <c r="N1099" s="9">
        <f t="shared" ref="N1099:N1162" si="103">J1099+L1099</f>
        <v>-6.7423769154950554E-4</v>
      </c>
      <c r="O1099" s="5">
        <v>45663</v>
      </c>
      <c r="P1099">
        <f t="shared" si="99"/>
        <v>0.999987576834102</v>
      </c>
      <c r="Q1099" s="6">
        <f t="shared" si="100"/>
        <v>1.0002000400080016</v>
      </c>
      <c r="R1099">
        <f t="shared" si="101"/>
        <v>-2.124432457332242E-4</v>
      </c>
      <c r="T1099" s="5">
        <v>45663</v>
      </c>
      <c r="U1099" s="1">
        <v>-2.124432457332242E-4</v>
      </c>
    </row>
    <row r="1100" spans="3:21" x14ac:dyDescent="0.2">
      <c r="C1100" s="5">
        <v>45664</v>
      </c>
      <c r="D1100" s="6">
        <v>1</v>
      </c>
      <c r="E1100" s="6">
        <v>96948.02</v>
      </c>
      <c r="F1100" s="6">
        <v>96916.5</v>
      </c>
      <c r="G1100" s="6">
        <v>97019.27</v>
      </c>
      <c r="H1100" s="6">
        <v>96899</v>
      </c>
      <c r="I1100" s="5">
        <v>45664</v>
      </c>
      <c r="J1100" s="7">
        <f t="shared" ref="J1100:J1163" si="104">(H1100-E1100)/E1100</f>
        <v>-5.0563178082444664E-4</v>
      </c>
      <c r="K1100" s="5">
        <v>45664</v>
      </c>
      <c r="L1100" s="8">
        <f t="shared" si="102"/>
        <v>1.0603973523600633E-3</v>
      </c>
      <c r="M1100" s="5">
        <v>45664</v>
      </c>
      <c r="N1100" s="9">
        <f t="shared" si="103"/>
        <v>5.5476557153561661E-4</v>
      </c>
      <c r="O1100" s="5">
        <v>45664</v>
      </c>
      <c r="P1100">
        <f t="shared" ref="P1100:P1163" si="105">(1/G1100)*H1100</f>
        <v>0.99876034936152369</v>
      </c>
      <c r="Q1100" s="6">
        <f t="shared" ref="Q1100:Q1163" si="106">1/D1100</f>
        <v>1</v>
      </c>
      <c r="R1100">
        <f t="shared" ref="R1100:R1163" si="107">LN(P1100/Q1100)</f>
        <v>-1.240419640924326E-3</v>
      </c>
      <c r="T1100" s="5">
        <v>45664</v>
      </c>
      <c r="U1100" s="1">
        <v>-1.240419640924326E-3</v>
      </c>
    </row>
    <row r="1101" spans="3:21" x14ac:dyDescent="0.2">
      <c r="C1101" s="5">
        <v>45665</v>
      </c>
      <c r="D1101" s="6">
        <v>1.0000100000000001</v>
      </c>
      <c r="E1101" s="6">
        <v>95028</v>
      </c>
      <c r="F1101" s="6">
        <v>95020</v>
      </c>
      <c r="G1101" s="6">
        <v>95116.800000000003</v>
      </c>
      <c r="H1101" s="6">
        <v>95014.1</v>
      </c>
      <c r="I1101" s="5">
        <v>45665</v>
      </c>
      <c r="J1101" s="7">
        <f t="shared" si="104"/>
        <v>-1.4627267752656247E-4</v>
      </c>
      <c r="K1101" s="5">
        <v>45665</v>
      </c>
      <c r="L1101" s="8">
        <f t="shared" si="102"/>
        <v>1.0187328983372228E-3</v>
      </c>
      <c r="M1101" s="5">
        <v>45665</v>
      </c>
      <c r="N1101" s="9">
        <f t="shared" si="103"/>
        <v>8.7246022081066037E-4</v>
      </c>
      <c r="O1101" s="5">
        <v>45665</v>
      </c>
      <c r="P1101">
        <f t="shared" si="105"/>
        <v>0.99892027486206436</v>
      </c>
      <c r="Q1101" s="6">
        <f t="shared" si="106"/>
        <v>0.99999000009999894</v>
      </c>
      <c r="R1101">
        <f t="shared" si="107"/>
        <v>-1.0703085110455842E-3</v>
      </c>
      <c r="T1101" s="5">
        <v>45665</v>
      </c>
      <c r="U1101" s="1">
        <v>-1.0703085110455842E-3</v>
      </c>
    </row>
    <row r="1102" spans="3:21" x14ac:dyDescent="0.2">
      <c r="C1102" s="5">
        <v>45666</v>
      </c>
      <c r="D1102" s="6">
        <v>0.99999000000000005</v>
      </c>
      <c r="E1102" s="6">
        <v>92548.01</v>
      </c>
      <c r="F1102" s="6">
        <v>92506.5</v>
      </c>
      <c r="G1102" s="6">
        <v>92709.24</v>
      </c>
      <c r="H1102" s="6">
        <v>92502.8</v>
      </c>
      <c r="I1102" s="5">
        <v>45666</v>
      </c>
      <c r="J1102" s="7">
        <f t="shared" si="104"/>
        <v>-4.8850321038768801E-4</v>
      </c>
      <c r="K1102" s="5">
        <v>45666</v>
      </c>
      <c r="L1102" s="8">
        <f t="shared" si="102"/>
        <v>2.1916297773670523E-3</v>
      </c>
      <c r="M1102" s="5">
        <v>45666</v>
      </c>
      <c r="N1102" s="9">
        <f t="shared" si="103"/>
        <v>1.7031265669793642E-3</v>
      </c>
      <c r="O1102" s="5">
        <v>45666</v>
      </c>
      <c r="P1102">
        <f t="shared" si="105"/>
        <v>0.99777325323775701</v>
      </c>
      <c r="Q1102" s="6">
        <f t="shared" si="106"/>
        <v>1.000010000100001</v>
      </c>
      <c r="R1102">
        <f t="shared" si="107"/>
        <v>-2.2392296993401371E-3</v>
      </c>
      <c r="T1102" s="5">
        <v>45666</v>
      </c>
      <c r="U1102" s="1">
        <v>-2.2392296993401371E-3</v>
      </c>
    </row>
    <row r="1103" spans="3:21" x14ac:dyDescent="0.2">
      <c r="C1103" s="5">
        <v>45667</v>
      </c>
      <c r="D1103" s="6">
        <v>1.0000100000000001</v>
      </c>
      <c r="E1103" s="6">
        <v>94707.87</v>
      </c>
      <c r="F1103" s="6">
        <v>94678.5</v>
      </c>
      <c r="G1103" s="6">
        <v>94818.02</v>
      </c>
      <c r="H1103" s="6">
        <v>94676.5</v>
      </c>
      <c r="I1103" s="5">
        <v>45667</v>
      </c>
      <c r="J1103" s="7">
        <f t="shared" si="104"/>
        <v>-3.3122907314878211E-4</v>
      </c>
      <c r="K1103" s="5">
        <v>45667</v>
      </c>
      <c r="L1103" s="8">
        <f t="shared" si="102"/>
        <v>1.4736186145746296E-3</v>
      </c>
      <c r="M1103" s="5">
        <v>45667</v>
      </c>
      <c r="N1103" s="9">
        <f t="shared" si="103"/>
        <v>1.1423895414258475E-3</v>
      </c>
      <c r="O1103" s="5">
        <v>45667</v>
      </c>
      <c r="P1103">
        <f t="shared" si="105"/>
        <v>0.99850745670495966</v>
      </c>
      <c r="Q1103" s="6">
        <f t="shared" si="106"/>
        <v>0.99999000009999894</v>
      </c>
      <c r="R1103">
        <f t="shared" si="107"/>
        <v>-1.4836582973315829E-3</v>
      </c>
      <c r="T1103" s="5">
        <v>45667</v>
      </c>
      <c r="U1103" s="1">
        <v>-1.4836582973315829E-3</v>
      </c>
    </row>
    <row r="1104" spans="3:21" x14ac:dyDescent="0.2">
      <c r="C1104" s="5">
        <v>45668</v>
      </c>
      <c r="D1104" s="6">
        <v>0.99995999999999996</v>
      </c>
      <c r="E1104" s="6">
        <v>94576.01</v>
      </c>
      <c r="F1104" s="6">
        <v>94533</v>
      </c>
      <c r="G1104" s="6">
        <v>94542.6</v>
      </c>
      <c r="H1104" s="6">
        <v>94520</v>
      </c>
      <c r="I1104" s="5">
        <v>45668</v>
      </c>
      <c r="J1104" s="7">
        <f t="shared" si="104"/>
        <v>-5.9222206561679606E-4</v>
      </c>
      <c r="K1104" s="5">
        <v>45668</v>
      </c>
      <c r="L1104" s="8">
        <f t="shared" si="102"/>
        <v>1.0155183904039669E-4</v>
      </c>
      <c r="M1104" s="5">
        <v>45668</v>
      </c>
      <c r="N1104" s="9">
        <f t="shared" si="103"/>
        <v>-4.9067022657639937E-4</v>
      </c>
      <c r="O1104" s="5">
        <v>45668</v>
      </c>
      <c r="P1104">
        <f t="shared" si="105"/>
        <v>0.99976095432112089</v>
      </c>
      <c r="Q1104" s="6">
        <f t="shared" si="106"/>
        <v>1.0000400016000641</v>
      </c>
      <c r="R1104">
        <f t="shared" si="107"/>
        <v>-2.7907505487289545E-4</v>
      </c>
      <c r="T1104" s="5">
        <v>45668</v>
      </c>
      <c r="U1104" s="1">
        <v>-2.7907505487289545E-4</v>
      </c>
    </row>
    <row r="1105" spans="3:21" x14ac:dyDescent="0.2">
      <c r="C1105" s="5">
        <v>45669</v>
      </c>
      <c r="D1105" s="6">
        <v>0.99999000000000005</v>
      </c>
      <c r="E1105" s="6">
        <v>94503</v>
      </c>
      <c r="F1105" s="6">
        <v>94474</v>
      </c>
      <c r="G1105" s="6">
        <v>94585.41</v>
      </c>
      <c r="H1105" s="6">
        <v>94450.2</v>
      </c>
      <c r="I1105" s="5">
        <v>45669</v>
      </c>
      <c r="J1105" s="7">
        <f t="shared" si="104"/>
        <v>-5.5871242182790925E-4</v>
      </c>
      <c r="K1105" s="5">
        <v>45669</v>
      </c>
      <c r="L1105" s="8">
        <f t="shared" si="102"/>
        <v>1.1792662531490514E-3</v>
      </c>
      <c r="M1105" s="5">
        <v>45669</v>
      </c>
      <c r="N1105" s="9">
        <f t="shared" si="103"/>
        <v>6.2055383132114217E-4</v>
      </c>
      <c r="O1105" s="5">
        <v>45669</v>
      </c>
      <c r="P1105">
        <f t="shared" si="105"/>
        <v>0.99857049834641498</v>
      </c>
      <c r="Q1105" s="6">
        <f t="shared" si="106"/>
        <v>1.000010000100001</v>
      </c>
      <c r="R1105">
        <f t="shared" si="107"/>
        <v>-1.440524415836236E-3</v>
      </c>
      <c r="T1105" s="5">
        <v>45669</v>
      </c>
      <c r="U1105" s="1">
        <v>-1.440524415836236E-3</v>
      </c>
    </row>
    <row r="1106" spans="3:21" x14ac:dyDescent="0.2">
      <c r="C1106" s="5">
        <v>45670</v>
      </c>
      <c r="D1106" s="6">
        <v>1</v>
      </c>
      <c r="E1106" s="6">
        <v>94506</v>
      </c>
      <c r="F1106" s="6">
        <v>94482.5</v>
      </c>
      <c r="G1106" s="6">
        <v>94492.88</v>
      </c>
      <c r="H1106" s="6">
        <v>94488.6</v>
      </c>
      <c r="I1106" s="5">
        <v>45670</v>
      </c>
      <c r="J1106" s="7">
        <f t="shared" si="104"/>
        <v>-1.8411529426696908E-4</v>
      </c>
      <c r="K1106" s="5">
        <v>45670</v>
      </c>
      <c r="L1106" s="8">
        <f t="shared" si="102"/>
        <v>1.0986161458476074E-4</v>
      </c>
      <c r="M1106" s="5">
        <v>45670</v>
      </c>
      <c r="N1106" s="9">
        <f t="shared" si="103"/>
        <v>-7.4253679682208338E-5</v>
      </c>
      <c r="O1106" s="5">
        <v>45670</v>
      </c>
      <c r="P1106">
        <f t="shared" si="105"/>
        <v>0.99995470558205024</v>
      </c>
      <c r="Q1106" s="6">
        <f t="shared" si="106"/>
        <v>1</v>
      </c>
      <c r="R1106">
        <f t="shared" si="107"/>
        <v>-4.5295443772884277E-5</v>
      </c>
      <c r="T1106" s="5">
        <v>45670</v>
      </c>
      <c r="U1106" s="1">
        <v>-4.5295443772884277E-5</v>
      </c>
    </row>
    <row r="1107" spans="3:21" x14ac:dyDescent="0.2">
      <c r="C1107" s="5">
        <v>45671</v>
      </c>
      <c r="D1107" s="6">
        <v>1.0000100000000001</v>
      </c>
      <c r="E1107" s="6">
        <v>96527</v>
      </c>
      <c r="F1107" s="6">
        <v>96479.5</v>
      </c>
      <c r="G1107" s="6">
        <v>96566.17</v>
      </c>
      <c r="H1107" s="6">
        <v>96470.399999999994</v>
      </c>
      <c r="I1107" s="5">
        <v>45671</v>
      </c>
      <c r="J1107" s="7">
        <f t="shared" si="104"/>
        <v>-5.8636443689336472E-4</v>
      </c>
      <c r="K1107" s="5">
        <v>45671</v>
      </c>
      <c r="L1107" s="8">
        <f t="shared" si="102"/>
        <v>8.9832555102377452E-4</v>
      </c>
      <c r="M1107" s="5">
        <v>45671</v>
      </c>
      <c r="N1107" s="9">
        <f t="shared" si="103"/>
        <v>3.119611141304098E-4</v>
      </c>
      <c r="O1107" s="5">
        <v>45671</v>
      </c>
      <c r="P1107">
        <f t="shared" si="105"/>
        <v>0.99900824481285733</v>
      </c>
      <c r="Q1107" s="6">
        <f t="shared" si="106"/>
        <v>0.99999000009999894</v>
      </c>
      <c r="R1107">
        <f t="shared" si="107"/>
        <v>-9.8224735171626516E-4</v>
      </c>
      <c r="T1107" s="5">
        <v>45671</v>
      </c>
      <c r="U1107" s="1">
        <v>-9.8224735171626516E-4</v>
      </c>
    </row>
    <row r="1108" spans="3:21" x14ac:dyDescent="0.2">
      <c r="C1108" s="5">
        <v>45672</v>
      </c>
      <c r="D1108" s="6">
        <v>1.0000100000000001</v>
      </c>
      <c r="E1108" s="6">
        <v>100508.01</v>
      </c>
      <c r="F1108" s="6">
        <v>100486</v>
      </c>
      <c r="G1108" s="6">
        <v>100051.25</v>
      </c>
      <c r="H1108" s="6">
        <v>100466.4</v>
      </c>
      <c r="I1108" s="5">
        <v>45672</v>
      </c>
      <c r="J1108" s="7">
        <f t="shared" si="104"/>
        <v>-4.1399685457905875E-4</v>
      </c>
      <c r="K1108" s="5">
        <v>45672</v>
      </c>
      <c r="L1108" s="8">
        <f t="shared" si="102"/>
        <v>-4.3264733395696909E-3</v>
      </c>
      <c r="M1108" s="5">
        <v>45672</v>
      </c>
      <c r="N1108" s="9">
        <f t="shared" si="103"/>
        <v>-4.7404701941487493E-3</v>
      </c>
      <c r="O1108" s="5">
        <v>45672</v>
      </c>
      <c r="P1108">
        <f t="shared" si="105"/>
        <v>1.0041493734461089</v>
      </c>
      <c r="Q1108" s="6">
        <f t="shared" si="106"/>
        <v>0.99999000009999894</v>
      </c>
      <c r="R1108">
        <f t="shared" si="107"/>
        <v>4.1507884859170729E-3</v>
      </c>
      <c r="T1108" s="5">
        <v>45672</v>
      </c>
      <c r="U1108" s="1">
        <v>4.1507884859170729E-3</v>
      </c>
    </row>
    <row r="1109" spans="3:21" x14ac:dyDescent="0.2">
      <c r="C1109" s="5">
        <v>45673</v>
      </c>
      <c r="D1109" s="6">
        <v>0.99992000000000003</v>
      </c>
      <c r="E1109" s="6">
        <v>99977.01</v>
      </c>
      <c r="F1109" s="6">
        <v>99949</v>
      </c>
      <c r="G1109" s="6">
        <v>99798.62</v>
      </c>
      <c r="H1109" s="6">
        <v>99989.8</v>
      </c>
      <c r="I1109" s="5">
        <v>45673</v>
      </c>
      <c r="J1109" s="7">
        <f t="shared" si="104"/>
        <v>1.2792941097166389E-4</v>
      </c>
      <c r="K1109" s="5">
        <v>45673</v>
      </c>
      <c r="L1109" s="8">
        <f t="shared" si="102"/>
        <v>-1.504567329338009E-3</v>
      </c>
      <c r="M1109" s="5">
        <v>45673</v>
      </c>
      <c r="N1109" s="9">
        <f t="shared" si="103"/>
        <v>-1.376637918366345E-3</v>
      </c>
      <c r="O1109" s="5">
        <v>45673</v>
      </c>
      <c r="P1109">
        <f t="shared" si="105"/>
        <v>1.0019156577515802</v>
      </c>
      <c r="Q1109" s="6">
        <f t="shared" si="106"/>
        <v>1.000080006400512</v>
      </c>
      <c r="R1109">
        <f t="shared" si="107"/>
        <v>1.8338220190623538E-3</v>
      </c>
      <c r="T1109" s="5">
        <v>45673</v>
      </c>
      <c r="U1109" s="1">
        <v>1.8338220190623538E-3</v>
      </c>
    </row>
    <row r="1110" spans="3:21" x14ac:dyDescent="0.2">
      <c r="C1110" s="5">
        <v>45674</v>
      </c>
      <c r="D1110" s="6">
        <v>0.99997999999999998</v>
      </c>
      <c r="E1110" s="6">
        <v>104123.6</v>
      </c>
      <c r="F1110" s="6">
        <v>104100</v>
      </c>
      <c r="G1110" s="6">
        <v>103732.99</v>
      </c>
      <c r="H1110" s="6">
        <v>104096.1</v>
      </c>
      <c r="I1110" s="5">
        <v>45674</v>
      </c>
      <c r="J1110" s="7">
        <f t="shared" si="104"/>
        <v>-2.6410919330487997E-4</v>
      </c>
      <c r="K1110" s="5">
        <v>45674</v>
      </c>
      <c r="L1110" s="8">
        <f t="shared" si="102"/>
        <v>-3.5255523535061939E-3</v>
      </c>
      <c r="M1110" s="5">
        <v>45674</v>
      </c>
      <c r="N1110" s="9">
        <f t="shared" si="103"/>
        <v>-3.789661546811074E-3</v>
      </c>
      <c r="O1110" s="5">
        <v>45674</v>
      </c>
      <c r="P1110">
        <f t="shared" si="105"/>
        <v>1.0035004293234004</v>
      </c>
      <c r="Q1110" s="6">
        <f t="shared" si="106"/>
        <v>1.0000200004000079</v>
      </c>
      <c r="R1110">
        <f t="shared" si="107"/>
        <v>3.4743168801710826E-3</v>
      </c>
      <c r="T1110" s="5">
        <v>45674</v>
      </c>
      <c r="U1110" s="1">
        <v>3.4743168801710826E-3</v>
      </c>
    </row>
    <row r="1111" spans="3:21" x14ac:dyDescent="0.2">
      <c r="C1111" s="5">
        <v>45675</v>
      </c>
      <c r="D1111" s="6">
        <v>1.0002</v>
      </c>
      <c r="E1111" s="6">
        <v>104446.88</v>
      </c>
      <c r="F1111" s="6">
        <v>104467.5</v>
      </c>
      <c r="G1111" s="6">
        <v>103579.91</v>
      </c>
      <c r="H1111" s="6">
        <v>104464.1</v>
      </c>
      <c r="I1111" s="5">
        <v>45675</v>
      </c>
      <c r="J1111" s="7">
        <f t="shared" si="104"/>
        <v>1.6486849583253387E-4</v>
      </c>
      <c r="K1111" s="5">
        <v>45675</v>
      </c>
      <c r="L1111" s="8">
        <f t="shared" si="102"/>
        <v>-8.4963266087538861E-3</v>
      </c>
      <c r="M1111" s="5">
        <v>45675</v>
      </c>
      <c r="N1111" s="9">
        <f t="shared" si="103"/>
        <v>-8.3314581129213527E-3</v>
      </c>
      <c r="O1111" s="5">
        <v>45675</v>
      </c>
      <c r="P1111">
        <f t="shared" si="105"/>
        <v>1.0085363078612444</v>
      </c>
      <c r="Q1111" s="6">
        <f t="shared" si="106"/>
        <v>0.99980003999200162</v>
      </c>
      <c r="R1111">
        <f t="shared" si="107"/>
        <v>8.7000596123019934E-3</v>
      </c>
      <c r="T1111" s="5">
        <v>45675</v>
      </c>
      <c r="U1111" s="1">
        <v>8.7000596123019934E-3</v>
      </c>
    </row>
    <row r="1112" spans="3:21" x14ac:dyDescent="0.2">
      <c r="C1112" s="5">
        <v>45676</v>
      </c>
      <c r="D1112" s="6">
        <v>0.99995999999999996</v>
      </c>
      <c r="E1112" s="6">
        <v>101186.99</v>
      </c>
      <c r="F1112" s="6">
        <v>101290</v>
      </c>
      <c r="G1112" s="6">
        <v>101434.68</v>
      </c>
      <c r="H1112" s="6">
        <v>101251.7</v>
      </c>
      <c r="I1112" s="5">
        <v>45676</v>
      </c>
      <c r="J1112" s="7">
        <f t="shared" si="104"/>
        <v>6.3950909104018062E-4</v>
      </c>
      <c r="K1112" s="5">
        <v>45676</v>
      </c>
      <c r="L1112" s="8">
        <f t="shared" si="102"/>
        <v>1.4283739757132295E-3</v>
      </c>
      <c r="M1112" s="5">
        <v>45676</v>
      </c>
      <c r="N1112" s="9">
        <f t="shared" si="103"/>
        <v>2.0678830667534101E-3</v>
      </c>
      <c r="O1112" s="5">
        <v>45676</v>
      </c>
      <c r="P1112">
        <f t="shared" si="105"/>
        <v>0.99819608047267461</v>
      </c>
      <c r="Q1112" s="6">
        <f t="shared" si="106"/>
        <v>1.0000400016000641</v>
      </c>
      <c r="R1112">
        <f t="shared" si="107"/>
        <v>-1.8455493495554993E-3</v>
      </c>
      <c r="T1112" s="5">
        <v>45676</v>
      </c>
      <c r="U1112" s="1">
        <v>-1.8455493495554993E-3</v>
      </c>
    </row>
    <row r="1113" spans="3:21" x14ac:dyDescent="0.2">
      <c r="C1113" s="5">
        <v>45677</v>
      </c>
      <c r="D1113" s="6">
        <v>0.99973999999999996</v>
      </c>
      <c r="E1113" s="6">
        <v>102157</v>
      </c>
      <c r="F1113" s="6">
        <v>102183.5</v>
      </c>
      <c r="G1113" s="6">
        <v>102408.35</v>
      </c>
      <c r="H1113" s="6">
        <v>102192.5</v>
      </c>
      <c r="I1113" s="5">
        <v>45677</v>
      </c>
      <c r="J1113" s="7">
        <f t="shared" si="104"/>
        <v>3.475043315680766E-4</v>
      </c>
      <c r="K1113" s="5">
        <v>45677</v>
      </c>
      <c r="L1113" s="8">
        <f t="shared" si="102"/>
        <v>2.2004531064213481E-3</v>
      </c>
      <c r="M1113" s="5">
        <v>45677</v>
      </c>
      <c r="N1113" s="9">
        <f t="shared" si="103"/>
        <v>2.5479574379894247E-3</v>
      </c>
      <c r="O1113" s="5">
        <v>45677</v>
      </c>
      <c r="P1113">
        <f t="shared" si="105"/>
        <v>0.99789226171498702</v>
      </c>
      <c r="Q1113" s="6">
        <f t="shared" si="106"/>
        <v>1.0002600676175806</v>
      </c>
      <c r="R1113">
        <f t="shared" si="107"/>
        <v>-2.3699964974060023E-3</v>
      </c>
      <c r="T1113" s="5">
        <v>45677</v>
      </c>
      <c r="U1113" s="1">
        <v>-2.3699964974060023E-3</v>
      </c>
    </row>
    <row r="1114" spans="3:21" x14ac:dyDescent="0.2">
      <c r="C1114" s="5">
        <v>45678</v>
      </c>
      <c r="D1114" s="6">
        <v>0.99999000000000005</v>
      </c>
      <c r="E1114" s="6">
        <v>106169.99</v>
      </c>
      <c r="F1114" s="6">
        <v>106158.5</v>
      </c>
      <c r="G1114" s="6">
        <v>106059.71</v>
      </c>
      <c r="H1114" s="6">
        <v>106134.7</v>
      </c>
      <c r="I1114" s="5">
        <v>45678</v>
      </c>
      <c r="J1114" s="7">
        <f t="shared" si="104"/>
        <v>-3.323914789858052E-4</v>
      </c>
      <c r="K1114" s="5">
        <v>45678</v>
      </c>
      <c r="L1114" s="8">
        <f t="shared" si="102"/>
        <v>-9.3058963719338161E-4</v>
      </c>
      <c r="M1114" s="5">
        <v>45678</v>
      </c>
      <c r="N1114" s="9">
        <f t="shared" si="103"/>
        <v>-1.2629811161791868E-3</v>
      </c>
      <c r="O1114" s="5">
        <v>45678</v>
      </c>
      <c r="P1114">
        <f t="shared" si="105"/>
        <v>1.0007070545450294</v>
      </c>
      <c r="Q1114" s="6">
        <f t="shared" si="106"/>
        <v>1.000010000100001</v>
      </c>
      <c r="R1114">
        <f t="shared" si="107"/>
        <v>6.9680464972693066E-4</v>
      </c>
      <c r="T1114" s="5">
        <v>45678</v>
      </c>
      <c r="U1114" s="1">
        <v>6.9680464972693066E-4</v>
      </c>
    </row>
    <row r="1115" spans="3:21" x14ac:dyDescent="0.2">
      <c r="C1115" s="5">
        <v>45679</v>
      </c>
      <c r="D1115" s="6">
        <v>1</v>
      </c>
      <c r="E1115" s="6">
        <v>103657</v>
      </c>
      <c r="F1115" s="6">
        <v>103648.5</v>
      </c>
      <c r="G1115" s="6">
        <v>103715.68</v>
      </c>
      <c r="H1115" s="6">
        <v>103620.4</v>
      </c>
      <c r="I1115" s="5">
        <v>45679</v>
      </c>
      <c r="J1115" s="7">
        <f t="shared" si="104"/>
        <v>-3.5308758694546264E-4</v>
      </c>
      <c r="K1115" s="5">
        <v>45679</v>
      </c>
      <c r="L1115" s="8">
        <f t="shared" si="102"/>
        <v>6.481521681451542E-4</v>
      </c>
      <c r="M1115" s="5">
        <v>45679</v>
      </c>
      <c r="N1115" s="9">
        <f t="shared" si="103"/>
        <v>2.9506458119969156E-4</v>
      </c>
      <c r="O1115" s="5">
        <v>45679</v>
      </c>
      <c r="P1115">
        <f t="shared" si="105"/>
        <v>0.99908133466415106</v>
      </c>
      <c r="Q1115" s="6">
        <f t="shared" si="106"/>
        <v>1</v>
      </c>
      <c r="R1115">
        <f t="shared" si="107"/>
        <v>-9.1908756746142731E-4</v>
      </c>
      <c r="T1115" s="5">
        <v>45679</v>
      </c>
      <c r="U1115" s="1">
        <v>-9.1908756746142731E-4</v>
      </c>
    </row>
    <row r="1116" spans="3:21" x14ac:dyDescent="0.2">
      <c r="C1116" s="5">
        <v>45680</v>
      </c>
      <c r="D1116" s="6">
        <v>1</v>
      </c>
      <c r="E1116" s="6">
        <v>103929.1</v>
      </c>
      <c r="F1116" s="6">
        <v>103881</v>
      </c>
      <c r="G1116" s="6">
        <v>104004.5</v>
      </c>
      <c r="H1116" s="6">
        <v>103886.39999999999</v>
      </c>
      <c r="I1116" s="5">
        <v>45680</v>
      </c>
      <c r="J1116" s="7">
        <f t="shared" si="104"/>
        <v>-4.1085701694724232E-4</v>
      </c>
      <c r="K1116" s="5">
        <v>45680</v>
      </c>
      <c r="L1116" s="8">
        <f t="shared" si="102"/>
        <v>1.1888603305705567E-3</v>
      </c>
      <c r="M1116" s="5">
        <v>45680</v>
      </c>
      <c r="N1116" s="9">
        <f t="shared" si="103"/>
        <v>7.7800331362331437E-4</v>
      </c>
      <c r="O1116" s="5">
        <v>45680</v>
      </c>
      <c r="P1116">
        <f t="shared" si="105"/>
        <v>0.99886447221033703</v>
      </c>
      <c r="Q1116" s="6">
        <f t="shared" si="106"/>
        <v>1</v>
      </c>
      <c r="R1116">
        <f t="shared" si="107"/>
        <v>-1.1361729898182371E-3</v>
      </c>
      <c r="T1116" s="5">
        <v>45680</v>
      </c>
      <c r="U1116" s="1">
        <v>-1.1361729898182371E-3</v>
      </c>
    </row>
    <row r="1117" spans="3:21" x14ac:dyDescent="0.2">
      <c r="C1117" s="5">
        <v>45681</v>
      </c>
      <c r="D1117" s="6">
        <v>1.00003</v>
      </c>
      <c r="E1117" s="6">
        <v>104854</v>
      </c>
      <c r="F1117" s="6">
        <v>104815</v>
      </c>
      <c r="G1117" s="6">
        <v>104874.93</v>
      </c>
      <c r="H1117" s="6">
        <v>104824.2</v>
      </c>
      <c r="I1117" s="5">
        <v>45681</v>
      </c>
      <c r="J1117" s="7">
        <f t="shared" si="104"/>
        <v>-2.8420470368324441E-4</v>
      </c>
      <c r="K1117" s="5">
        <v>45681</v>
      </c>
      <c r="L1117" s="8">
        <f t="shared" si="102"/>
        <v>5.7176930782801142E-4</v>
      </c>
      <c r="M1117" s="5">
        <v>45681</v>
      </c>
      <c r="N1117" s="9">
        <f t="shared" si="103"/>
        <v>2.8756460414476701E-4</v>
      </c>
      <c r="O1117" s="5">
        <v>45681</v>
      </c>
      <c r="P1117">
        <f t="shared" si="105"/>
        <v>0.99951628096438305</v>
      </c>
      <c r="Q1117" s="6">
        <f t="shared" si="106"/>
        <v>0.99997000089997301</v>
      </c>
      <c r="R1117">
        <f t="shared" si="107"/>
        <v>-4.5383651540188398E-4</v>
      </c>
      <c r="T1117" s="5">
        <v>45681</v>
      </c>
      <c r="U1117" s="1">
        <v>-4.5383651540188398E-4</v>
      </c>
    </row>
    <row r="1118" spans="3:21" x14ac:dyDescent="0.2">
      <c r="C1118" s="5">
        <v>45682</v>
      </c>
      <c r="D1118" s="6">
        <v>1.0000100000000001</v>
      </c>
      <c r="E1118" s="6">
        <v>104736</v>
      </c>
      <c r="F1118" s="6">
        <v>104687.5</v>
      </c>
      <c r="G1118" s="6">
        <v>104851.8</v>
      </c>
      <c r="H1118" s="6">
        <v>104703</v>
      </c>
      <c r="I1118" s="5">
        <v>45682</v>
      </c>
      <c r="J1118" s="7">
        <f t="shared" si="104"/>
        <v>-3.1507791017415217E-4</v>
      </c>
      <c r="K1118" s="5">
        <v>45682</v>
      </c>
      <c r="L1118" s="8">
        <f t="shared" si="102"/>
        <v>1.5694328358209233E-3</v>
      </c>
      <c r="M1118" s="5">
        <v>45682</v>
      </c>
      <c r="N1118" s="9">
        <f t="shared" si="103"/>
        <v>1.2543549256467711E-3</v>
      </c>
      <c r="O1118" s="5">
        <v>45682</v>
      </c>
      <c r="P1118">
        <f t="shared" si="105"/>
        <v>0.9985808541198149</v>
      </c>
      <c r="Q1118" s="6">
        <f t="shared" si="106"/>
        <v>0.99999000009999894</v>
      </c>
      <c r="R1118">
        <f t="shared" si="107"/>
        <v>-1.4101538714226085E-3</v>
      </c>
      <c r="T1118" s="5">
        <v>45682</v>
      </c>
      <c r="U1118" s="1">
        <v>-1.4101538714226085E-3</v>
      </c>
    </row>
    <row r="1119" spans="3:21" x14ac:dyDescent="0.2">
      <c r="C1119" s="5">
        <v>45683</v>
      </c>
      <c r="D1119" s="6">
        <v>0.99999000000000005</v>
      </c>
      <c r="E1119" s="6">
        <v>102580</v>
      </c>
      <c r="F1119" s="6">
        <v>102506</v>
      </c>
      <c r="G1119" s="6">
        <v>102655.93</v>
      </c>
      <c r="H1119" s="6">
        <v>102567.3</v>
      </c>
      <c r="I1119" s="5">
        <v>45683</v>
      </c>
      <c r="J1119" s="7">
        <f t="shared" si="104"/>
        <v>-1.2380581009940623E-4</v>
      </c>
      <c r="K1119" s="5">
        <v>45683</v>
      </c>
      <c r="L1119" s="8">
        <f t="shared" si="102"/>
        <v>1.4626460890093556E-3</v>
      </c>
      <c r="M1119" s="5">
        <v>45683</v>
      </c>
      <c r="N1119" s="9">
        <f t="shared" si="103"/>
        <v>1.3388402789099494E-3</v>
      </c>
      <c r="O1119" s="5">
        <v>45683</v>
      </c>
      <c r="P1119">
        <f t="shared" si="105"/>
        <v>0.99913663048983148</v>
      </c>
      <c r="Q1119" s="6">
        <f t="shared" si="106"/>
        <v>1.000010000100001</v>
      </c>
      <c r="R1119">
        <f t="shared" si="107"/>
        <v>-8.7374247828389995E-4</v>
      </c>
      <c r="T1119" s="5">
        <v>45683</v>
      </c>
      <c r="U1119" s="1">
        <v>-8.7374247828389995E-4</v>
      </c>
    </row>
    <row r="1120" spans="3:21" x14ac:dyDescent="0.2">
      <c r="C1120" s="5">
        <v>45684</v>
      </c>
      <c r="D1120" s="6">
        <v>0.99999000000000005</v>
      </c>
      <c r="E1120" s="6">
        <v>102099</v>
      </c>
      <c r="F1120" s="6">
        <v>102021.5</v>
      </c>
      <c r="G1120" s="6">
        <v>102064.14</v>
      </c>
      <c r="H1120" s="6">
        <v>102059.8</v>
      </c>
      <c r="I1120" s="5">
        <v>45684</v>
      </c>
      <c r="J1120" s="7">
        <f t="shared" si="104"/>
        <v>-3.8394107679798128E-4</v>
      </c>
      <c r="K1120" s="5">
        <v>45684</v>
      </c>
      <c r="L1120" s="8">
        <f t="shared" si="102"/>
        <v>4.1795111814665946E-4</v>
      </c>
      <c r="M1120" s="5">
        <v>45684</v>
      </c>
      <c r="N1120" s="9">
        <f t="shared" si="103"/>
        <v>3.4010041348678179E-5</v>
      </c>
      <c r="O1120" s="5">
        <v>45684</v>
      </c>
      <c r="P1120">
        <f t="shared" si="105"/>
        <v>0.99995747771940269</v>
      </c>
      <c r="Q1120" s="6">
        <f t="shared" si="106"/>
        <v>1.000010000100001</v>
      </c>
      <c r="R1120">
        <f t="shared" si="107"/>
        <v>-5.2523234695463562E-5</v>
      </c>
      <c r="T1120" s="5">
        <v>45684</v>
      </c>
      <c r="U1120" s="1">
        <v>-5.2523234695463562E-5</v>
      </c>
    </row>
    <row r="1121" spans="3:21" x14ac:dyDescent="0.2">
      <c r="C1121" s="5">
        <v>45685</v>
      </c>
      <c r="D1121" s="6">
        <v>1</v>
      </c>
      <c r="E1121" s="6">
        <v>101289.87</v>
      </c>
      <c r="F1121" s="6">
        <v>101259.5</v>
      </c>
      <c r="G1121" s="6">
        <v>101362.87</v>
      </c>
      <c r="H1121" s="6">
        <v>101268.4</v>
      </c>
      <c r="I1121" s="5">
        <v>45685</v>
      </c>
      <c r="J1121" s="7">
        <f t="shared" si="104"/>
        <v>-2.1196591524898952E-4</v>
      </c>
      <c r="K1121" s="5">
        <v>45685</v>
      </c>
      <c r="L1121" s="8">
        <f t="shared" si="102"/>
        <v>1.0208424888528517E-3</v>
      </c>
      <c r="M1121" s="5">
        <v>45685</v>
      </c>
      <c r="N1121" s="9">
        <f t="shared" si="103"/>
        <v>8.0887657360386226E-4</v>
      </c>
      <c r="O1121" s="5">
        <v>45685</v>
      </c>
      <c r="P1121">
        <f t="shared" si="105"/>
        <v>0.99906800192220291</v>
      </c>
      <c r="Q1121" s="6">
        <f t="shared" si="106"/>
        <v>1</v>
      </c>
      <c r="R1121">
        <f t="shared" si="107"/>
        <v>-9.3243265804521941E-4</v>
      </c>
      <c r="T1121" s="5">
        <v>45685</v>
      </c>
      <c r="U1121" s="1">
        <v>-9.3243265804521941E-4</v>
      </c>
    </row>
    <row r="1122" spans="3:21" x14ac:dyDescent="0.2">
      <c r="C1122" s="5">
        <v>45686</v>
      </c>
      <c r="D1122" s="6">
        <v>0.99999000000000005</v>
      </c>
      <c r="E1122" s="6">
        <v>103733</v>
      </c>
      <c r="F1122" s="6">
        <v>103714.5</v>
      </c>
      <c r="G1122" s="6">
        <v>103663.98</v>
      </c>
      <c r="H1122" s="6">
        <v>103707.5</v>
      </c>
      <c r="I1122" s="5">
        <v>45686</v>
      </c>
      <c r="J1122" s="7">
        <f t="shared" si="104"/>
        <v>-2.4582341202895896E-4</v>
      </c>
      <c r="K1122" s="5">
        <v>45686</v>
      </c>
      <c r="L1122" s="8">
        <f t="shared" si="102"/>
        <v>-4.8710643159832111E-4</v>
      </c>
      <c r="M1122" s="5">
        <v>45686</v>
      </c>
      <c r="N1122" s="9">
        <f t="shared" si="103"/>
        <v>-7.3292984362728002E-4</v>
      </c>
      <c r="O1122" s="5">
        <v>45686</v>
      </c>
      <c r="P1122">
        <f t="shared" si="105"/>
        <v>1.0004198179541244</v>
      </c>
      <c r="Q1122" s="6">
        <f t="shared" si="106"/>
        <v>1.000010000100001</v>
      </c>
      <c r="R1122">
        <f t="shared" si="107"/>
        <v>4.0972980522299755E-4</v>
      </c>
      <c r="T1122" s="5">
        <v>45686</v>
      </c>
      <c r="U1122" s="1">
        <v>4.0972980522299755E-4</v>
      </c>
    </row>
    <row r="1123" spans="3:21" x14ac:dyDescent="0.2">
      <c r="C1123" s="5">
        <v>45687</v>
      </c>
      <c r="D1123" s="6">
        <v>0.99975999999999998</v>
      </c>
      <c r="E1123" s="6">
        <v>104739.16</v>
      </c>
      <c r="F1123" s="6">
        <v>104694</v>
      </c>
      <c r="G1123" s="6">
        <v>104553.09</v>
      </c>
      <c r="H1123" s="6">
        <v>104682.7</v>
      </c>
      <c r="I1123" s="5">
        <v>45687</v>
      </c>
      <c r="J1123" s="7">
        <f t="shared" si="104"/>
        <v>-5.3905339702940529E-4</v>
      </c>
      <c r="K1123" s="5">
        <v>45687</v>
      </c>
      <c r="L1123" s="8">
        <f t="shared" si="102"/>
        <v>-1.345922402429972E-3</v>
      </c>
      <c r="M1123" s="5">
        <v>45687</v>
      </c>
      <c r="N1123" s="9">
        <f t="shared" si="103"/>
        <v>-1.8849757994593773E-3</v>
      </c>
      <c r="O1123" s="5">
        <v>45687</v>
      </c>
      <c r="P1123">
        <f t="shared" si="105"/>
        <v>1.0012396572879865</v>
      </c>
      <c r="Q1123" s="6">
        <f t="shared" si="106"/>
        <v>1.0002400576138273</v>
      </c>
      <c r="R1123">
        <f t="shared" si="107"/>
        <v>9.9886074270651918E-4</v>
      </c>
      <c r="T1123" s="5">
        <v>45687</v>
      </c>
      <c r="U1123" s="1">
        <v>9.9886074270651918E-4</v>
      </c>
    </row>
    <row r="1124" spans="3:21" x14ac:dyDescent="0.2">
      <c r="C1124" s="5">
        <v>45688</v>
      </c>
      <c r="D1124" s="6">
        <v>0.99999000000000005</v>
      </c>
      <c r="E1124" s="6">
        <v>102388.5</v>
      </c>
      <c r="F1124" s="6">
        <v>102362</v>
      </c>
      <c r="G1124" s="6">
        <v>102616.96000000001</v>
      </c>
      <c r="H1124" s="6">
        <v>102329.8</v>
      </c>
      <c r="I1124" s="5">
        <v>45688</v>
      </c>
      <c r="J1124" s="7">
        <f t="shared" si="104"/>
        <v>-5.7330657251543967E-4</v>
      </c>
      <c r="K1124" s="5">
        <v>45688</v>
      </c>
      <c r="L1124" s="8">
        <f t="shared" si="102"/>
        <v>2.4907680584592565E-3</v>
      </c>
      <c r="M1124" s="5">
        <v>45688</v>
      </c>
      <c r="N1124" s="9">
        <f t="shared" si="103"/>
        <v>1.9174614859438169E-3</v>
      </c>
      <c r="O1124" s="5">
        <v>45688</v>
      </c>
      <c r="P1124">
        <f t="shared" si="105"/>
        <v>0.99720163216684654</v>
      </c>
      <c r="Q1124" s="6">
        <f t="shared" si="106"/>
        <v>1.000010000100001</v>
      </c>
      <c r="R1124">
        <f t="shared" si="107"/>
        <v>-2.8122906343281233E-3</v>
      </c>
      <c r="T1124" s="5">
        <v>45688</v>
      </c>
      <c r="U1124" s="1">
        <v>-2.8122906343281233E-3</v>
      </c>
    </row>
    <row r="1125" spans="3:21" x14ac:dyDescent="0.2">
      <c r="C1125" s="5">
        <v>45689</v>
      </c>
      <c r="D1125" s="6">
        <v>0.99997000000000003</v>
      </c>
      <c r="E1125" s="6">
        <v>100611</v>
      </c>
      <c r="F1125" s="6">
        <v>100580.5</v>
      </c>
      <c r="G1125" s="6">
        <v>101041.09</v>
      </c>
      <c r="H1125" s="6">
        <v>100585.7</v>
      </c>
      <c r="I1125" s="5">
        <v>45689</v>
      </c>
      <c r="J1125" s="7">
        <f t="shared" si="104"/>
        <v>-2.5146355766270996E-4</v>
      </c>
      <c r="K1125" s="5">
        <v>45689</v>
      </c>
      <c r="L1125" s="8">
        <f t="shared" si="102"/>
        <v>4.5793170644408861E-3</v>
      </c>
      <c r="M1125" s="5">
        <v>45689</v>
      </c>
      <c r="N1125" s="9">
        <f t="shared" si="103"/>
        <v>4.3278535067781763E-3</v>
      </c>
      <c r="O1125" s="5">
        <v>45689</v>
      </c>
      <c r="P1125">
        <f t="shared" si="105"/>
        <v>0.99549302170037957</v>
      </c>
      <c r="Q1125" s="6">
        <f t="shared" si="106"/>
        <v>1.0000300009000269</v>
      </c>
      <c r="R1125">
        <f t="shared" si="107"/>
        <v>-4.5471657963821197E-3</v>
      </c>
      <c r="T1125" s="5">
        <v>45689</v>
      </c>
      <c r="U1125" s="1">
        <v>-4.5471657963821197E-3</v>
      </c>
    </row>
    <row r="1126" spans="3:21" x14ac:dyDescent="0.2">
      <c r="C1126" s="5">
        <v>45690</v>
      </c>
      <c r="D1126" s="6">
        <v>0.99999000000000005</v>
      </c>
      <c r="E1126" s="6">
        <v>97651.05</v>
      </c>
      <c r="F1126" s="6">
        <v>97634</v>
      </c>
      <c r="G1126" s="6">
        <v>97881.12</v>
      </c>
      <c r="H1126" s="6">
        <v>97627.7</v>
      </c>
      <c r="I1126" s="5">
        <v>45690</v>
      </c>
      <c r="J1126" s="7">
        <f t="shared" si="104"/>
        <v>-2.391167324878311E-4</v>
      </c>
      <c r="K1126" s="5">
        <v>45690</v>
      </c>
      <c r="L1126" s="8">
        <f t="shared" si="102"/>
        <v>2.5310854825162888E-3</v>
      </c>
      <c r="M1126" s="5">
        <v>45690</v>
      </c>
      <c r="N1126" s="9">
        <f t="shared" si="103"/>
        <v>2.2919687500284579E-3</v>
      </c>
      <c r="O1126" s="5">
        <v>45690</v>
      </c>
      <c r="P1126">
        <f t="shared" si="105"/>
        <v>0.9974109409455062</v>
      </c>
      <c r="Q1126" s="6">
        <f t="shared" si="106"/>
        <v>1.000010000100001</v>
      </c>
      <c r="R1126">
        <f t="shared" si="107"/>
        <v>-2.6024165141612025E-3</v>
      </c>
      <c r="T1126" s="5">
        <v>45690</v>
      </c>
      <c r="U1126" s="1">
        <v>-2.6024165141612025E-3</v>
      </c>
    </row>
    <row r="1127" spans="3:21" x14ac:dyDescent="0.2">
      <c r="C1127" s="5">
        <v>45691</v>
      </c>
      <c r="D1127" s="6">
        <v>1.0000100000000001</v>
      </c>
      <c r="E1127" s="6">
        <v>101441.44</v>
      </c>
      <c r="F1127" s="6">
        <v>101375</v>
      </c>
      <c r="G1127" s="6">
        <v>101579.71</v>
      </c>
      <c r="H1127" s="6">
        <v>101384.9</v>
      </c>
      <c r="I1127" s="5">
        <v>45691</v>
      </c>
      <c r="J1127" s="7">
        <f t="shared" si="104"/>
        <v>-5.5736590490048396E-4</v>
      </c>
      <c r="K1127" s="5">
        <v>45691</v>
      </c>
      <c r="L1127" s="8">
        <f t="shared" si="102"/>
        <v>2.0193341553638115E-3</v>
      </c>
      <c r="M1127" s="5">
        <v>45691</v>
      </c>
      <c r="N1127" s="9">
        <f t="shared" si="103"/>
        <v>1.4619682504633275E-3</v>
      </c>
      <c r="O1127" s="5">
        <v>45691</v>
      </c>
      <c r="P1127">
        <f t="shared" si="105"/>
        <v>0.99808219574558732</v>
      </c>
      <c r="Q1127" s="6">
        <f t="shared" si="106"/>
        <v>0.99999000009999894</v>
      </c>
      <c r="R1127">
        <f t="shared" si="107"/>
        <v>-1.9096456455893831E-3</v>
      </c>
      <c r="T1127" s="5">
        <v>45691</v>
      </c>
      <c r="U1127" s="1">
        <v>-1.9096456455893831E-3</v>
      </c>
    </row>
    <row r="1128" spans="3:21" x14ac:dyDescent="0.2">
      <c r="C1128" s="5">
        <v>45692</v>
      </c>
      <c r="D1128" s="6">
        <v>1</v>
      </c>
      <c r="E1128" s="6">
        <v>97795.47</v>
      </c>
      <c r="F1128" s="6">
        <v>97734.5</v>
      </c>
      <c r="G1128" s="6">
        <v>97983.79</v>
      </c>
      <c r="H1128" s="6">
        <v>97742</v>
      </c>
      <c r="I1128" s="5">
        <v>45692</v>
      </c>
      <c r="J1128" s="7">
        <f t="shared" si="104"/>
        <v>-5.467533414380151E-4</v>
      </c>
      <c r="K1128" s="5">
        <v>45692</v>
      </c>
      <c r="L1128" s="8">
        <f t="shared" si="102"/>
        <v>2.5506857864929333E-3</v>
      </c>
      <c r="M1128" s="5">
        <v>45692</v>
      </c>
      <c r="N1128" s="9">
        <f t="shared" si="103"/>
        <v>2.0039324450549182E-3</v>
      </c>
      <c r="O1128" s="5">
        <v>45692</v>
      </c>
      <c r="P1128">
        <f t="shared" si="105"/>
        <v>0.99753234693207926</v>
      </c>
      <c r="Q1128" s="6">
        <f t="shared" si="106"/>
        <v>1</v>
      </c>
      <c r="R1128">
        <f t="shared" si="107"/>
        <v>-2.470702741810351E-3</v>
      </c>
      <c r="T1128" s="5">
        <v>45692</v>
      </c>
      <c r="U1128" s="1">
        <v>-2.470702741810351E-3</v>
      </c>
    </row>
    <row r="1129" spans="3:21" x14ac:dyDescent="0.2">
      <c r="C1129" s="5">
        <v>45693</v>
      </c>
      <c r="D1129" s="6">
        <v>1.00004</v>
      </c>
      <c r="E1129" s="6">
        <v>96623</v>
      </c>
      <c r="F1129" s="6">
        <v>96571.5</v>
      </c>
      <c r="G1129" s="6">
        <v>96668.44</v>
      </c>
      <c r="H1129" s="6">
        <v>96560</v>
      </c>
      <c r="I1129" s="5">
        <v>45693</v>
      </c>
      <c r="J1129" s="7">
        <f t="shared" si="104"/>
        <v>-6.5201867050288236E-4</v>
      </c>
      <c r="K1129" s="5">
        <v>45693</v>
      </c>
      <c r="L1129" s="8">
        <f t="shared" si="102"/>
        <v>1.0038158255800348E-3</v>
      </c>
      <c r="M1129" s="5">
        <v>45693</v>
      </c>
      <c r="N1129" s="9">
        <f t="shared" si="103"/>
        <v>3.5179715507715245E-4</v>
      </c>
      <c r="O1129" s="5">
        <v>45693</v>
      </c>
      <c r="P1129">
        <f t="shared" si="105"/>
        <v>0.99887822747527533</v>
      </c>
      <c r="Q1129" s="6">
        <f t="shared" si="106"/>
        <v>0.99996000159993592</v>
      </c>
      <c r="R1129">
        <f t="shared" si="107"/>
        <v>-1.0824029824344609E-3</v>
      </c>
      <c r="T1129" s="5">
        <v>45693</v>
      </c>
      <c r="U1129" s="1">
        <v>-1.0824029824344609E-3</v>
      </c>
    </row>
    <row r="1130" spans="3:21" x14ac:dyDescent="0.2">
      <c r="C1130" s="5">
        <v>45694</v>
      </c>
      <c r="D1130" s="6">
        <v>1</v>
      </c>
      <c r="E1130" s="6">
        <v>96564</v>
      </c>
      <c r="F1130" s="6">
        <v>96526</v>
      </c>
      <c r="G1130" s="6">
        <v>96641.68</v>
      </c>
      <c r="H1130" s="6">
        <v>96517.5</v>
      </c>
      <c r="I1130" s="5">
        <v>45694</v>
      </c>
      <c r="J1130" s="7">
        <f t="shared" si="104"/>
        <v>-4.8154591773331675E-4</v>
      </c>
      <c r="K1130" s="5">
        <v>45694</v>
      </c>
      <c r="L1130" s="8">
        <f t="shared" si="102"/>
        <v>1.1984335826615939E-3</v>
      </c>
      <c r="M1130" s="5">
        <v>45694</v>
      </c>
      <c r="N1130" s="9">
        <f t="shared" si="103"/>
        <v>7.1688766492827719E-4</v>
      </c>
      <c r="O1130" s="5">
        <v>45694</v>
      </c>
      <c r="P1130">
        <f t="shared" si="105"/>
        <v>0.99871504717219328</v>
      </c>
      <c r="Q1130" s="6">
        <f t="shared" si="106"/>
        <v>1</v>
      </c>
      <c r="R1130">
        <f t="shared" si="107"/>
        <v>-1.2857790875706186E-3</v>
      </c>
      <c r="T1130" s="5">
        <v>45694</v>
      </c>
      <c r="U1130" s="1">
        <v>-1.2857790875706186E-3</v>
      </c>
    </row>
    <row r="1131" spans="3:21" x14ac:dyDescent="0.2">
      <c r="C1131" s="5">
        <v>45695</v>
      </c>
      <c r="D1131" s="6">
        <v>1</v>
      </c>
      <c r="E1131" s="6">
        <v>96529.99</v>
      </c>
      <c r="F1131" s="6">
        <v>96466.5</v>
      </c>
      <c r="G1131" s="6">
        <v>96634.96</v>
      </c>
      <c r="H1131" s="6">
        <v>96460</v>
      </c>
      <c r="I1131" s="5">
        <v>45695</v>
      </c>
      <c r="J1131" s="7">
        <f t="shared" si="104"/>
        <v>-7.2505964208641519E-4</v>
      </c>
      <c r="K1131" s="5">
        <v>45695</v>
      </c>
      <c r="L1131" s="8">
        <f t="shared" si="102"/>
        <v>1.7463057123458031E-3</v>
      </c>
      <c r="M1131" s="5">
        <v>45695</v>
      </c>
      <c r="N1131" s="9">
        <f t="shared" si="103"/>
        <v>1.0212460702593879E-3</v>
      </c>
      <c r="O1131" s="5">
        <v>45695</v>
      </c>
      <c r="P1131">
        <f t="shared" si="105"/>
        <v>0.99818947511335443</v>
      </c>
      <c r="Q1131" s="6">
        <f t="shared" si="106"/>
        <v>1</v>
      </c>
      <c r="R1131">
        <f t="shared" si="107"/>
        <v>-1.8121658678187833E-3</v>
      </c>
      <c r="T1131" s="5">
        <v>45695</v>
      </c>
      <c r="U1131" s="1">
        <v>-1.8121658678187833E-3</v>
      </c>
    </row>
    <row r="1132" spans="3:21" x14ac:dyDescent="0.2">
      <c r="C1132" s="5">
        <v>45696</v>
      </c>
      <c r="D1132" s="6">
        <v>0.99999000000000005</v>
      </c>
      <c r="E1132" s="6">
        <v>96460.51</v>
      </c>
      <c r="F1132" s="6">
        <v>96438.5</v>
      </c>
      <c r="G1132" s="6">
        <v>96654.16</v>
      </c>
      <c r="H1132" s="6">
        <v>96406.9</v>
      </c>
      <c r="I1132" s="5">
        <v>45696</v>
      </c>
      <c r="J1132" s="7">
        <f t="shared" si="104"/>
        <v>-5.5577147580912218E-4</v>
      </c>
      <c r="K1132" s="5">
        <v>45696</v>
      </c>
      <c r="L1132" s="8">
        <f t="shared" si="102"/>
        <v>2.2362438237841058E-3</v>
      </c>
      <c r="M1132" s="5">
        <v>45696</v>
      </c>
      <c r="N1132" s="9">
        <f t="shared" si="103"/>
        <v>1.6804723479749836E-3</v>
      </c>
      <c r="O1132" s="5">
        <v>45696</v>
      </c>
      <c r="P1132">
        <f t="shared" si="105"/>
        <v>0.99744180695378226</v>
      </c>
      <c r="Q1132" s="6">
        <f t="shared" si="106"/>
        <v>1.000010000100001</v>
      </c>
      <c r="R1132">
        <f t="shared" si="107"/>
        <v>-2.5714708633496155E-3</v>
      </c>
      <c r="T1132" s="5">
        <v>45696</v>
      </c>
      <c r="U1132" s="1">
        <v>-2.5714708633496155E-3</v>
      </c>
    </row>
    <row r="1133" spans="3:21" x14ac:dyDescent="0.2">
      <c r="C1133" s="5">
        <v>45697</v>
      </c>
      <c r="D1133" s="6">
        <v>1</v>
      </c>
      <c r="E1133" s="6">
        <v>96485</v>
      </c>
      <c r="F1133" s="6">
        <v>96453.5</v>
      </c>
      <c r="G1133" s="6">
        <v>96526.42</v>
      </c>
      <c r="H1133" s="6">
        <v>96425.600000000006</v>
      </c>
      <c r="I1133" s="5">
        <v>45697</v>
      </c>
      <c r="J1133" s="7">
        <f t="shared" si="104"/>
        <v>-6.1563973674658428E-4</v>
      </c>
      <c r="K1133" s="5">
        <v>45697</v>
      </c>
      <c r="L1133" s="8">
        <f t="shared" si="102"/>
        <v>7.5601196431439245E-4</v>
      </c>
      <c r="M1133" s="5">
        <v>45697</v>
      </c>
      <c r="N1133" s="9">
        <f t="shared" si="103"/>
        <v>1.4037222756780818E-4</v>
      </c>
      <c r="O1133" s="5">
        <v>45697</v>
      </c>
      <c r="P1133">
        <f t="shared" si="105"/>
        <v>0.99895551912108638</v>
      </c>
      <c r="Q1133" s="6">
        <f t="shared" si="106"/>
        <v>1</v>
      </c>
      <c r="R1133">
        <f t="shared" si="107"/>
        <v>-1.0450267291867142E-3</v>
      </c>
      <c r="T1133" s="5">
        <v>45697</v>
      </c>
      <c r="U1133" s="1">
        <v>-1.0450267291867142E-3</v>
      </c>
    </row>
    <row r="1134" spans="3:21" x14ac:dyDescent="0.2">
      <c r="C1134" s="5">
        <v>45698</v>
      </c>
      <c r="D1134" s="6">
        <v>1.0000100000000001</v>
      </c>
      <c r="E1134" s="6">
        <v>97459.01</v>
      </c>
      <c r="F1134" s="6">
        <v>97418</v>
      </c>
      <c r="G1134" s="6">
        <v>97468.479999999996</v>
      </c>
      <c r="H1134" s="6">
        <v>97383.9</v>
      </c>
      <c r="I1134" s="5">
        <v>45698</v>
      </c>
      <c r="J1134" s="7">
        <f t="shared" si="104"/>
        <v>-7.7068297738711467E-4</v>
      </c>
      <c r="K1134" s="5">
        <v>45698</v>
      </c>
      <c r="L1134" s="8">
        <f t="shared" si="102"/>
        <v>5.181793918987859E-4</v>
      </c>
      <c r="M1134" s="5">
        <v>45698</v>
      </c>
      <c r="N1134" s="9">
        <f t="shared" si="103"/>
        <v>-2.5250358548832878E-4</v>
      </c>
      <c r="O1134" s="5">
        <v>45698</v>
      </c>
      <c r="P1134">
        <f t="shared" si="105"/>
        <v>0.99913223228678638</v>
      </c>
      <c r="Q1134" s="6">
        <f t="shared" si="106"/>
        <v>0.99999000009999894</v>
      </c>
      <c r="R1134">
        <f t="shared" si="107"/>
        <v>-8.5814449157284019E-4</v>
      </c>
      <c r="T1134" s="5">
        <v>45698</v>
      </c>
      <c r="U1134" s="1">
        <v>-8.5814449157284019E-4</v>
      </c>
    </row>
    <row r="1135" spans="3:21" x14ac:dyDescent="0.2">
      <c r="C1135" s="5">
        <v>45699</v>
      </c>
      <c r="D1135" s="6">
        <v>1</v>
      </c>
      <c r="E1135" s="6">
        <v>95760</v>
      </c>
      <c r="F1135" s="6">
        <v>95734</v>
      </c>
      <c r="G1135" s="6">
        <v>95800.66</v>
      </c>
      <c r="H1135" s="6">
        <v>95703.2</v>
      </c>
      <c r="I1135" s="5">
        <v>45699</v>
      </c>
      <c r="J1135" s="7">
        <f t="shared" si="104"/>
        <v>-5.9314954051799197E-4</v>
      </c>
      <c r="K1135" s="5">
        <v>45699</v>
      </c>
      <c r="L1135" s="8">
        <f t="shared" si="102"/>
        <v>6.9630434328455401E-4</v>
      </c>
      <c r="M1135" s="5">
        <v>45699</v>
      </c>
      <c r="N1135" s="9">
        <f t="shared" si="103"/>
        <v>1.0315480276656204E-4</v>
      </c>
      <c r="O1135" s="5">
        <v>45699</v>
      </c>
      <c r="P1135">
        <f t="shared" si="105"/>
        <v>0.99898267924250195</v>
      </c>
      <c r="Q1135" s="6">
        <f t="shared" si="106"/>
        <v>1</v>
      </c>
      <c r="R1135">
        <f t="shared" si="107"/>
        <v>-1.0178385794836963E-3</v>
      </c>
      <c r="T1135" s="5">
        <v>45699</v>
      </c>
      <c r="U1135" s="1">
        <v>-1.0178385794836963E-3</v>
      </c>
    </row>
    <row r="1136" spans="3:21" x14ac:dyDescent="0.2">
      <c r="C1136" s="5">
        <v>45700</v>
      </c>
      <c r="D1136" s="6">
        <v>1</v>
      </c>
      <c r="E1136" s="6">
        <v>97880.99</v>
      </c>
      <c r="F1136" s="6">
        <v>97836.5</v>
      </c>
      <c r="G1136" s="6">
        <v>97881.12</v>
      </c>
      <c r="H1136" s="6">
        <v>97836.9</v>
      </c>
      <c r="I1136" s="5">
        <v>45700</v>
      </c>
      <c r="J1136" s="7">
        <f t="shared" si="104"/>
        <v>-4.5044497404461334E-4</v>
      </c>
      <c r="K1136" s="5">
        <v>45700</v>
      </c>
      <c r="L1136" s="8">
        <f t="shared" si="102"/>
        <v>4.5606700975602503E-4</v>
      </c>
      <c r="M1136" s="5">
        <v>45700</v>
      </c>
      <c r="N1136" s="9">
        <f t="shared" si="103"/>
        <v>5.622035711411687E-6</v>
      </c>
      <c r="O1136" s="5">
        <v>45700</v>
      </c>
      <c r="P1136">
        <f t="shared" si="105"/>
        <v>0.99954822748248084</v>
      </c>
      <c r="Q1136" s="6">
        <f t="shared" si="106"/>
        <v>1</v>
      </c>
      <c r="R1136">
        <f t="shared" si="107"/>
        <v>-4.5187459746871665E-4</v>
      </c>
      <c r="T1136" s="5">
        <v>45700</v>
      </c>
      <c r="U1136" s="1">
        <v>-4.5187459746871665E-4</v>
      </c>
    </row>
    <row r="1137" spans="3:21" x14ac:dyDescent="0.2">
      <c r="C1137" s="5">
        <v>45701</v>
      </c>
      <c r="D1137" s="6">
        <v>0.99997999999999998</v>
      </c>
      <c r="E1137" s="6">
        <v>96630</v>
      </c>
      <c r="F1137" s="6">
        <v>96584</v>
      </c>
      <c r="G1137" s="6">
        <v>96661.64</v>
      </c>
      <c r="H1137" s="6">
        <v>96566.399999999994</v>
      </c>
      <c r="I1137" s="5">
        <v>45701</v>
      </c>
      <c r="J1137" s="7">
        <f t="shared" si="104"/>
        <v>-6.5818068922700844E-4</v>
      </c>
      <c r="K1137" s="5">
        <v>45701</v>
      </c>
      <c r="L1137" s="8">
        <f t="shared" si="102"/>
        <v>8.0385985256356562E-4</v>
      </c>
      <c r="M1137" s="5">
        <v>45701</v>
      </c>
      <c r="N1137" s="9">
        <f t="shared" si="103"/>
        <v>1.4567916333655718E-4</v>
      </c>
      <c r="O1137" s="5">
        <v>45701</v>
      </c>
      <c r="P1137">
        <f t="shared" si="105"/>
        <v>0.9990147073854736</v>
      </c>
      <c r="Q1137" s="6">
        <f t="shared" si="106"/>
        <v>1.0000200004000079</v>
      </c>
      <c r="R1137">
        <f t="shared" si="107"/>
        <v>-1.0057785343740981E-3</v>
      </c>
      <c r="T1137" s="5">
        <v>45701</v>
      </c>
      <c r="U1137" s="1">
        <v>-1.0057785343740981E-3</v>
      </c>
    </row>
    <row r="1138" spans="3:21" x14ac:dyDescent="0.2">
      <c r="C1138" s="5">
        <v>45702</v>
      </c>
      <c r="D1138" s="6">
        <v>0.99995999999999996</v>
      </c>
      <c r="E1138" s="6">
        <v>97518</v>
      </c>
      <c r="F1138" s="6">
        <v>97468.5</v>
      </c>
      <c r="G1138" s="6">
        <v>97566.57</v>
      </c>
      <c r="H1138" s="6">
        <v>97461.7</v>
      </c>
      <c r="I1138" s="5">
        <v>45702</v>
      </c>
      <c r="J1138" s="7">
        <f t="shared" si="104"/>
        <v>-5.7732931356265416E-4</v>
      </c>
      <c r="K1138" s="5">
        <v>45702</v>
      </c>
      <c r="L1138" s="8">
        <f t="shared" si="102"/>
        <v>1.0061712245495414E-3</v>
      </c>
      <c r="M1138" s="5">
        <v>45702</v>
      </c>
      <c r="N1138" s="9">
        <f t="shared" si="103"/>
        <v>4.2884191098688728E-4</v>
      </c>
      <c r="O1138" s="5">
        <v>45702</v>
      </c>
      <c r="P1138">
        <f t="shared" si="105"/>
        <v>0.99892514413492239</v>
      </c>
      <c r="Q1138" s="6">
        <f t="shared" si="106"/>
        <v>1.0000400016000641</v>
      </c>
      <c r="R1138">
        <f t="shared" si="107"/>
        <v>-1.1154347369308137E-3</v>
      </c>
      <c r="T1138" s="5">
        <v>45702</v>
      </c>
      <c r="U1138" s="1">
        <v>-1.1154347369308137E-3</v>
      </c>
    </row>
    <row r="1139" spans="3:21" x14ac:dyDescent="0.2">
      <c r="C1139" s="5">
        <v>45703</v>
      </c>
      <c r="D1139" s="6">
        <v>0.99994000000000005</v>
      </c>
      <c r="E1139" s="6">
        <v>97606</v>
      </c>
      <c r="F1139" s="6">
        <v>97554.5</v>
      </c>
      <c r="G1139" s="6">
        <v>97705.47</v>
      </c>
      <c r="H1139" s="6">
        <v>97522.5</v>
      </c>
      <c r="I1139" s="5">
        <v>45703</v>
      </c>
      <c r="J1139" s="7">
        <f t="shared" si="104"/>
        <v>-8.554801958895969E-4</v>
      </c>
      <c r="K1139" s="5">
        <v>45703</v>
      </c>
      <c r="L1139" s="8">
        <f t="shared" si="102"/>
        <v>1.5475452183138776E-3</v>
      </c>
      <c r="M1139" s="5">
        <v>45703</v>
      </c>
      <c r="N1139" s="9">
        <f t="shared" si="103"/>
        <v>6.920650224242807E-4</v>
      </c>
      <c r="O1139" s="5">
        <v>45703</v>
      </c>
      <c r="P1139">
        <f t="shared" si="105"/>
        <v>0.99812733104912144</v>
      </c>
      <c r="Q1139" s="6">
        <f t="shared" si="106"/>
        <v>1.0000600036002159</v>
      </c>
      <c r="R1139">
        <f t="shared" si="107"/>
        <v>-1.9344263876100623E-3</v>
      </c>
      <c r="T1139" s="5">
        <v>45703</v>
      </c>
      <c r="U1139" s="1">
        <v>-1.9344263876100623E-3</v>
      </c>
    </row>
    <row r="1140" spans="3:21" x14ac:dyDescent="0.2">
      <c r="C1140" s="5">
        <v>45704</v>
      </c>
      <c r="D1140" s="6">
        <v>0.99988999999999995</v>
      </c>
      <c r="E1140" s="6">
        <v>96118</v>
      </c>
      <c r="F1140" s="6">
        <v>96079</v>
      </c>
      <c r="G1140" s="6">
        <v>96225.36</v>
      </c>
      <c r="H1140" s="6">
        <v>96152.8</v>
      </c>
      <c r="I1140" s="5">
        <v>45704</v>
      </c>
      <c r="J1140" s="7">
        <f t="shared" si="104"/>
        <v>3.6205497409437265E-4</v>
      </c>
      <c r="K1140" s="5">
        <v>45704</v>
      </c>
      <c r="L1140" s="8">
        <f t="shared" si="102"/>
        <v>1.5233297598851007E-3</v>
      </c>
      <c r="M1140" s="5">
        <v>45704</v>
      </c>
      <c r="N1140" s="9">
        <f t="shared" si="103"/>
        <v>1.8853847339794735E-3</v>
      </c>
      <c r="O1140" s="5">
        <v>45704</v>
      </c>
      <c r="P1140">
        <f t="shared" si="105"/>
        <v>0.99924593682995844</v>
      </c>
      <c r="Q1140" s="6">
        <f t="shared" si="106"/>
        <v>1.0001100121013311</v>
      </c>
      <c r="R1140">
        <f t="shared" si="107"/>
        <v>-8.6435366912129439E-4</v>
      </c>
      <c r="T1140" s="5">
        <v>45704</v>
      </c>
      <c r="U1140" s="1">
        <v>-8.6435366912129439E-4</v>
      </c>
    </row>
    <row r="1141" spans="3:21" x14ac:dyDescent="0.2">
      <c r="C1141" s="5">
        <v>45705</v>
      </c>
      <c r="D1141" s="6">
        <v>0.99999000000000005</v>
      </c>
      <c r="E1141" s="6">
        <v>95786.01</v>
      </c>
      <c r="F1141" s="6">
        <v>95758</v>
      </c>
      <c r="G1141" s="6">
        <v>95765.87</v>
      </c>
      <c r="H1141" s="6">
        <v>95723.3</v>
      </c>
      <c r="I1141" s="5">
        <v>45705</v>
      </c>
      <c r="J1141" s="7">
        <f t="shared" si="104"/>
        <v>-6.5468850826954641E-4</v>
      </c>
      <c r="K1141" s="5">
        <v>45705</v>
      </c>
      <c r="L1141" s="8">
        <f t="shared" si="102"/>
        <v>8.2186344743993649E-5</v>
      </c>
      <c r="M1141" s="5">
        <v>45705</v>
      </c>
      <c r="N1141" s="9">
        <f t="shared" si="103"/>
        <v>-5.7250216352555281E-4</v>
      </c>
      <c r="O1141" s="5">
        <v>45705</v>
      </c>
      <c r="P1141">
        <f t="shared" si="105"/>
        <v>0.99955547837658654</v>
      </c>
      <c r="Q1141" s="6">
        <f t="shared" si="106"/>
        <v>1.000010000100001</v>
      </c>
      <c r="R1141">
        <f t="shared" si="107"/>
        <v>-4.5462050243947537E-4</v>
      </c>
      <c r="T1141" s="5">
        <v>45705</v>
      </c>
      <c r="U1141" s="1">
        <v>-4.5462050243947537E-4</v>
      </c>
    </row>
    <row r="1142" spans="3:21" x14ac:dyDescent="0.2">
      <c r="C1142" s="5">
        <v>45706</v>
      </c>
      <c r="D1142" s="6">
        <v>0.99983999999999995</v>
      </c>
      <c r="E1142" s="6">
        <v>95624.42</v>
      </c>
      <c r="F1142" s="6">
        <v>95577.5</v>
      </c>
      <c r="G1142" s="6">
        <v>95634.880000000005</v>
      </c>
      <c r="H1142" s="6">
        <v>95559</v>
      </c>
      <c r="I1142" s="5">
        <v>45706</v>
      </c>
      <c r="J1142" s="7">
        <f t="shared" si="104"/>
        <v>-6.8413486847813823E-4</v>
      </c>
      <c r="K1142" s="5">
        <v>45706</v>
      </c>
      <c r="L1142" s="8">
        <f t="shared" si="102"/>
        <v>6.0035050090245779E-4</v>
      </c>
      <c r="M1142" s="5">
        <v>45706</v>
      </c>
      <c r="N1142" s="9">
        <f t="shared" si="103"/>
        <v>-8.3784367575680447E-5</v>
      </c>
      <c r="O1142" s="5">
        <v>45706</v>
      </c>
      <c r="P1142">
        <f t="shared" si="105"/>
        <v>0.9992065656379765</v>
      </c>
      <c r="Q1142" s="6">
        <f t="shared" si="106"/>
        <v>1.0001600256040968</v>
      </c>
      <c r="R1142">
        <f t="shared" si="107"/>
        <v>-9.5376209903078361E-4</v>
      </c>
      <c r="T1142" s="5">
        <v>45706</v>
      </c>
      <c r="U1142" s="1">
        <v>-9.5376209903078361E-4</v>
      </c>
    </row>
    <row r="1143" spans="3:21" x14ac:dyDescent="0.2">
      <c r="C1143" s="5">
        <v>45707</v>
      </c>
      <c r="D1143" s="6">
        <v>0.99997000000000003</v>
      </c>
      <c r="E1143" s="6">
        <v>96646</v>
      </c>
      <c r="F1143" s="6">
        <v>96610</v>
      </c>
      <c r="G1143" s="6">
        <v>96386.97</v>
      </c>
      <c r="H1143" s="6">
        <v>96585.600000000006</v>
      </c>
      <c r="I1143" s="5">
        <v>45707</v>
      </c>
      <c r="J1143" s="7">
        <f t="shared" si="104"/>
        <v>-6.2496119860102001E-4</v>
      </c>
      <c r="K1143" s="5">
        <v>45707</v>
      </c>
      <c r="L1143" s="8">
        <f t="shared" si="102"/>
        <v>-2.3085601904564625E-3</v>
      </c>
      <c r="M1143" s="5">
        <v>45707</v>
      </c>
      <c r="N1143" s="9">
        <f t="shared" si="103"/>
        <v>-2.9335213890574825E-3</v>
      </c>
      <c r="O1143" s="5">
        <v>45707</v>
      </c>
      <c r="P1143">
        <f t="shared" si="105"/>
        <v>1.0020607557224799</v>
      </c>
      <c r="Q1143" s="6">
        <f t="shared" si="106"/>
        <v>1.0000300009000269</v>
      </c>
      <c r="R1143">
        <f t="shared" si="107"/>
        <v>2.0286348280426653E-3</v>
      </c>
      <c r="T1143" s="5">
        <v>45707</v>
      </c>
      <c r="U1143" s="1">
        <v>2.0286348280426653E-3</v>
      </c>
    </row>
    <row r="1144" spans="3:21" x14ac:dyDescent="0.2">
      <c r="C1144" s="5">
        <v>45708</v>
      </c>
      <c r="D1144" s="6">
        <v>0.99995999999999996</v>
      </c>
      <c r="E1144" s="6">
        <v>98330.01</v>
      </c>
      <c r="F1144" s="6">
        <v>98300</v>
      </c>
      <c r="G1144" s="6">
        <v>98251.05</v>
      </c>
      <c r="H1144" s="6">
        <v>98345.7</v>
      </c>
      <c r="I1144" s="5">
        <v>45708</v>
      </c>
      <c r="J1144" s="7">
        <f t="shared" si="104"/>
        <v>1.5956471478038422E-4</v>
      </c>
      <c r="K1144" s="5">
        <v>45708</v>
      </c>
      <c r="L1144" s="8">
        <f t="shared" si="102"/>
        <v>-4.9796541200403956E-4</v>
      </c>
      <c r="M1144" s="5">
        <v>45708</v>
      </c>
      <c r="N1144" s="9">
        <f t="shared" si="103"/>
        <v>-3.3840069722365532E-4</v>
      </c>
      <c r="O1144" s="5">
        <v>45708</v>
      </c>
      <c r="P1144">
        <f t="shared" si="105"/>
        <v>1.0009633484832985</v>
      </c>
      <c r="Q1144" s="6">
        <f t="shared" si="106"/>
        <v>1.0000400016000641</v>
      </c>
      <c r="R1144">
        <f t="shared" si="107"/>
        <v>9.2288396092052554E-4</v>
      </c>
      <c r="T1144" s="5">
        <v>45708</v>
      </c>
      <c r="U1144" s="1">
        <v>9.2288396092052554E-4</v>
      </c>
    </row>
    <row r="1145" spans="3:21" x14ac:dyDescent="0.2">
      <c r="C1145" s="5">
        <v>45709</v>
      </c>
      <c r="D1145" s="6">
        <v>0.99990999999999997</v>
      </c>
      <c r="E1145" s="6">
        <v>95850.74</v>
      </c>
      <c r="F1145" s="6">
        <v>96222.5</v>
      </c>
      <c r="G1145" s="6">
        <v>96184.73</v>
      </c>
      <c r="H1145" s="6">
        <v>96200.9</v>
      </c>
      <c r="I1145" s="5">
        <v>45709</v>
      </c>
      <c r="J1145" s="7">
        <f t="shared" si="104"/>
        <v>3.6531799337176625E-3</v>
      </c>
      <c r="K1145" s="5">
        <v>45709</v>
      </c>
      <c r="L1145" s="8">
        <f t="shared" si="102"/>
        <v>-3.9252773519711162E-4</v>
      </c>
      <c r="M1145" s="5">
        <v>45709</v>
      </c>
      <c r="N1145" s="9">
        <f t="shared" si="103"/>
        <v>3.2606521985205509E-3</v>
      </c>
      <c r="O1145" s="5">
        <v>45709</v>
      </c>
      <c r="P1145">
        <f t="shared" si="105"/>
        <v>1.0001681140031271</v>
      </c>
      <c r="Q1145" s="6">
        <f t="shared" si="106"/>
        <v>1.0000900081007291</v>
      </c>
      <c r="R1145">
        <f t="shared" si="107"/>
        <v>7.8095823308610757E-5</v>
      </c>
      <c r="T1145" s="5">
        <v>45709</v>
      </c>
      <c r="U1145" s="1">
        <v>7.8095823308610757E-5</v>
      </c>
    </row>
    <row r="1146" spans="3:21" x14ac:dyDescent="0.2">
      <c r="C1146" s="5">
        <v>45710</v>
      </c>
      <c r="D1146" s="6">
        <v>0.99987999999999999</v>
      </c>
      <c r="E1146" s="6">
        <v>96529.04</v>
      </c>
      <c r="F1146" s="6">
        <v>96580.5</v>
      </c>
      <c r="G1146" s="6">
        <v>96478.43</v>
      </c>
      <c r="H1146" s="6">
        <v>96516.7</v>
      </c>
      <c r="I1146" s="5">
        <v>45710</v>
      </c>
      <c r="J1146" s="7">
        <f t="shared" si="104"/>
        <v>-1.2783717728878801E-4</v>
      </c>
      <c r="K1146" s="5">
        <v>45710</v>
      </c>
      <c r="L1146" s="8">
        <f t="shared" si="102"/>
        <v>-1.0568385957828649E-3</v>
      </c>
      <c r="M1146" s="5">
        <v>45710</v>
      </c>
      <c r="N1146" s="9">
        <f t="shared" si="103"/>
        <v>-1.184675773071653E-3</v>
      </c>
      <c r="O1146" s="5">
        <v>45710</v>
      </c>
      <c r="P1146">
        <f t="shared" si="105"/>
        <v>1.0003966689756456</v>
      </c>
      <c r="Q1146" s="6">
        <f t="shared" si="106"/>
        <v>1.0001200144017282</v>
      </c>
      <c r="R1146">
        <f t="shared" si="107"/>
        <v>2.7658312273017114E-4</v>
      </c>
      <c r="T1146" s="5">
        <v>45710</v>
      </c>
      <c r="U1146" s="1">
        <v>2.7658312273017114E-4</v>
      </c>
    </row>
    <row r="1147" spans="3:21" x14ac:dyDescent="0.2">
      <c r="C1147" s="5">
        <v>45711</v>
      </c>
      <c r="D1147" s="6">
        <v>0.99987000000000004</v>
      </c>
      <c r="E1147" s="6">
        <v>96247.08</v>
      </c>
      <c r="F1147" s="6">
        <v>96319.5</v>
      </c>
      <c r="G1147" s="6">
        <v>96090.82</v>
      </c>
      <c r="H1147" s="6">
        <v>96257.9</v>
      </c>
      <c r="I1147" s="5">
        <v>45711</v>
      </c>
      <c r="J1147" s="7">
        <f t="shared" si="104"/>
        <v>1.1241899494501477E-4</v>
      </c>
      <c r="K1147" s="5">
        <v>45711</v>
      </c>
      <c r="L1147" s="8">
        <f t="shared" si="102"/>
        <v>-2.3741817596643774E-3</v>
      </c>
      <c r="M1147" s="5">
        <v>45711</v>
      </c>
      <c r="N1147" s="9">
        <f t="shared" si="103"/>
        <v>-2.2617627647193625E-3</v>
      </c>
      <c r="O1147" s="5">
        <v>45711</v>
      </c>
      <c r="P1147">
        <f t="shared" si="105"/>
        <v>1.0017387717161743</v>
      </c>
      <c r="Q1147" s="6">
        <f t="shared" si="106"/>
        <v>1.0001300169021972</v>
      </c>
      <c r="R1147">
        <f t="shared" si="107"/>
        <v>1.6072533519115805E-3</v>
      </c>
      <c r="T1147" s="5">
        <v>45711</v>
      </c>
      <c r="U1147" s="1">
        <v>1.6072533519115805E-3</v>
      </c>
    </row>
    <row r="1148" spans="3:21" x14ac:dyDescent="0.2">
      <c r="C1148" s="5">
        <v>45712</v>
      </c>
      <c r="D1148" s="6">
        <v>0.99994000000000005</v>
      </c>
      <c r="E1148" s="6">
        <v>91544.83</v>
      </c>
      <c r="F1148" s="6">
        <v>91547.5</v>
      </c>
      <c r="G1148" s="6">
        <v>91622.09</v>
      </c>
      <c r="H1148" s="6">
        <v>91533.5</v>
      </c>
      <c r="I1148" s="5">
        <v>45712</v>
      </c>
      <c r="J1148" s="7">
        <f t="shared" si="104"/>
        <v>-1.2376449877073064E-4</v>
      </c>
      <c r="K1148" s="5">
        <v>45712</v>
      </c>
      <c r="L1148" s="8">
        <f t="shared" si="102"/>
        <v>8.1476828968564418E-4</v>
      </c>
      <c r="M1148" s="5">
        <v>45712</v>
      </c>
      <c r="N1148" s="9">
        <f t="shared" si="103"/>
        <v>6.9100379091491357E-4</v>
      </c>
      <c r="O1148" s="5">
        <v>45712</v>
      </c>
      <c r="P1148">
        <f t="shared" si="105"/>
        <v>0.99903309343849289</v>
      </c>
      <c r="Q1148" s="6">
        <f t="shared" si="106"/>
        <v>1.0000600036002159</v>
      </c>
      <c r="R1148">
        <f t="shared" si="107"/>
        <v>-1.027376117269921E-3</v>
      </c>
      <c r="T1148" s="5">
        <v>45712</v>
      </c>
      <c r="U1148" s="1">
        <v>-1.027376117269921E-3</v>
      </c>
    </row>
    <row r="1149" spans="3:21" x14ac:dyDescent="0.2">
      <c r="C1149" s="5">
        <v>45713</v>
      </c>
      <c r="D1149" s="6">
        <v>0.99997999999999998</v>
      </c>
      <c r="E1149" s="6">
        <v>88600</v>
      </c>
      <c r="F1149" s="6">
        <v>88625</v>
      </c>
      <c r="G1149" s="6">
        <v>88657.35</v>
      </c>
      <c r="H1149" s="6">
        <v>88610</v>
      </c>
      <c r="I1149" s="5">
        <v>45713</v>
      </c>
      <c r="J1149" s="7">
        <f t="shared" si="104"/>
        <v>1.128668171557562E-4</v>
      </c>
      <c r="K1149" s="5">
        <v>45713</v>
      </c>
      <c r="L1149" s="8">
        <f t="shared" si="102"/>
        <v>3.6502115655859881E-4</v>
      </c>
      <c r="M1149" s="5">
        <v>45713</v>
      </c>
      <c r="N1149" s="9">
        <f t="shared" si="103"/>
        <v>4.77887973714355E-4</v>
      </c>
      <c r="O1149" s="5">
        <v>45713</v>
      </c>
      <c r="P1149">
        <f t="shared" si="105"/>
        <v>0.99946592132519174</v>
      </c>
      <c r="Q1149" s="6">
        <f t="shared" si="106"/>
        <v>1.0000200004000079</v>
      </c>
      <c r="R1149">
        <f t="shared" si="107"/>
        <v>-5.5422154562681297E-4</v>
      </c>
      <c r="T1149" s="5">
        <v>45713</v>
      </c>
      <c r="U1149" s="1">
        <v>-5.5422154562681297E-4</v>
      </c>
    </row>
    <row r="1150" spans="3:21" x14ac:dyDescent="0.2">
      <c r="C1150" s="5">
        <v>45714</v>
      </c>
      <c r="D1150" s="6">
        <v>0.99990000000000001</v>
      </c>
      <c r="E1150" s="6">
        <v>84069.99</v>
      </c>
      <c r="F1150" s="6">
        <v>84151</v>
      </c>
      <c r="G1150" s="6">
        <v>84129.14</v>
      </c>
      <c r="H1150" s="6">
        <v>84102</v>
      </c>
      <c r="I1150" s="5">
        <v>45714</v>
      </c>
      <c r="J1150" s="7">
        <f t="shared" si="104"/>
        <v>3.8075417875028602E-4</v>
      </c>
      <c r="K1150" s="5">
        <v>45714</v>
      </c>
      <c r="L1150" s="8">
        <f t="shared" si="102"/>
        <v>-2.5977112571449633E-4</v>
      </c>
      <c r="M1150" s="5">
        <v>45714</v>
      </c>
      <c r="N1150" s="9">
        <f t="shared" si="103"/>
        <v>1.209830530357897E-4</v>
      </c>
      <c r="O1150" s="5">
        <v>45714</v>
      </c>
      <c r="P1150">
        <f t="shared" si="105"/>
        <v>0.99967740071989331</v>
      </c>
      <c r="Q1150" s="6">
        <f t="shared" si="106"/>
        <v>1.000100010001</v>
      </c>
      <c r="R1150">
        <f t="shared" si="107"/>
        <v>-4.2265632678146217E-4</v>
      </c>
      <c r="T1150" s="5">
        <v>45714</v>
      </c>
      <c r="U1150" s="1">
        <v>-4.2265632678146217E-4</v>
      </c>
    </row>
    <row r="1151" spans="3:21" x14ac:dyDescent="0.2">
      <c r="C1151" s="5">
        <v>45715</v>
      </c>
      <c r="D1151" s="6">
        <v>0.99988999999999995</v>
      </c>
      <c r="E1151" s="6">
        <v>84628.44</v>
      </c>
      <c r="F1151" s="6">
        <v>84668</v>
      </c>
      <c r="G1151" s="6">
        <v>84656.44</v>
      </c>
      <c r="H1151" s="6">
        <v>84637.1</v>
      </c>
      <c r="I1151" s="5">
        <v>45715</v>
      </c>
      <c r="J1151" s="7">
        <f t="shared" si="104"/>
        <v>1.0232966600830043E-4</v>
      </c>
      <c r="K1151" s="5">
        <v>45715</v>
      </c>
      <c r="L1151" s="8">
        <f t="shared" si="102"/>
        <v>-1.3653328294039864E-4</v>
      </c>
      <c r="M1151" s="5">
        <v>45715</v>
      </c>
      <c r="N1151" s="9">
        <f t="shared" si="103"/>
        <v>-3.4203616932098206E-5</v>
      </c>
      <c r="O1151" s="5">
        <v>45715</v>
      </c>
      <c r="P1151">
        <f t="shared" si="105"/>
        <v>0.99977154720893069</v>
      </c>
      <c r="Q1151" s="6">
        <f t="shared" si="106"/>
        <v>1.0001100121013311</v>
      </c>
      <c r="R1151">
        <f t="shared" si="107"/>
        <v>-3.3848494082688597E-4</v>
      </c>
      <c r="T1151" s="5">
        <v>45715</v>
      </c>
      <c r="U1151" s="1">
        <v>-3.3848494082688597E-4</v>
      </c>
    </row>
    <row r="1152" spans="3:21" x14ac:dyDescent="0.2">
      <c r="C1152" s="5">
        <v>45716</v>
      </c>
      <c r="D1152" s="6">
        <v>0.99987000000000004</v>
      </c>
      <c r="E1152" s="6">
        <v>84319</v>
      </c>
      <c r="F1152" s="6">
        <v>84270</v>
      </c>
      <c r="G1152" s="6">
        <v>84362.58</v>
      </c>
      <c r="H1152" s="6">
        <v>84257.5</v>
      </c>
      <c r="I1152" s="5">
        <v>45716</v>
      </c>
      <c r="J1152" s="7">
        <f t="shared" si="104"/>
        <v>-7.2937297643473E-4</v>
      </c>
      <c r="K1152" s="5">
        <v>45716</v>
      </c>
      <c r="L1152" s="8">
        <f t="shared" si="102"/>
        <v>1.0986116055535986E-3</v>
      </c>
      <c r="M1152" s="5">
        <v>45716</v>
      </c>
      <c r="N1152" s="9">
        <f t="shared" si="103"/>
        <v>3.6923862911886858E-4</v>
      </c>
      <c r="O1152" s="5">
        <v>45716</v>
      </c>
      <c r="P1152">
        <f t="shared" si="105"/>
        <v>0.9987544240586288</v>
      </c>
      <c r="Q1152" s="6">
        <f t="shared" si="106"/>
        <v>1.0001300169021972</v>
      </c>
      <c r="R1152">
        <f t="shared" si="107"/>
        <v>-1.3763607665721676E-3</v>
      </c>
      <c r="T1152" s="5">
        <v>45716</v>
      </c>
      <c r="U1152" s="1">
        <v>-1.3763607665721676E-3</v>
      </c>
    </row>
    <row r="1153" spans="3:21" x14ac:dyDescent="0.2">
      <c r="C1153" s="5">
        <v>45717</v>
      </c>
      <c r="D1153" s="6">
        <v>0.99988999999999995</v>
      </c>
      <c r="E1153" s="6">
        <v>86026.240000000005</v>
      </c>
      <c r="F1153" s="6">
        <v>85979</v>
      </c>
      <c r="G1153" s="6">
        <v>86182.63</v>
      </c>
      <c r="H1153" s="6">
        <v>85995.9</v>
      </c>
      <c r="I1153" s="5">
        <v>45717</v>
      </c>
      <c r="J1153" s="7">
        <f t="shared" si="104"/>
        <v>-3.5268308832294727E-4</v>
      </c>
      <c r="K1153" s="5">
        <v>45717</v>
      </c>
      <c r="L1153" s="8">
        <f t="shared" si="102"/>
        <v>2.3683690203422309E-3</v>
      </c>
      <c r="M1153" s="5">
        <v>45717</v>
      </c>
      <c r="N1153" s="9">
        <f t="shared" si="103"/>
        <v>2.0156859320192835E-3</v>
      </c>
      <c r="O1153" s="5">
        <v>45717</v>
      </c>
      <c r="P1153">
        <f t="shared" si="105"/>
        <v>0.99783332209750375</v>
      </c>
      <c r="Q1153" s="6">
        <f t="shared" si="106"/>
        <v>1.0001100121013311</v>
      </c>
      <c r="R1153">
        <f t="shared" si="107"/>
        <v>-2.2790345955104301E-3</v>
      </c>
      <c r="T1153" s="5">
        <v>45717</v>
      </c>
      <c r="U1153" s="1">
        <v>-2.2790345955104301E-3</v>
      </c>
    </row>
    <row r="1154" spans="3:21" x14ac:dyDescent="0.2">
      <c r="C1154" s="5">
        <v>45718</v>
      </c>
      <c r="D1154" s="6">
        <v>0.99988999999999995</v>
      </c>
      <c r="E1154" s="6">
        <v>94297.42</v>
      </c>
      <c r="F1154" s="6">
        <v>94236.5</v>
      </c>
      <c r="G1154" s="6">
        <v>94322.08</v>
      </c>
      <c r="H1154" s="6">
        <v>94228</v>
      </c>
      <c r="I1154" s="5">
        <v>45718</v>
      </c>
      <c r="J1154" s="7">
        <f t="shared" si="104"/>
        <v>-7.3618132924525674E-4</v>
      </c>
      <c r="K1154" s="5">
        <v>45718</v>
      </c>
      <c r="L1154" s="8">
        <f t="shared" si="102"/>
        <v>9.0814068858671259E-4</v>
      </c>
      <c r="M1154" s="5">
        <v>45718</v>
      </c>
      <c r="N1154" s="9">
        <f t="shared" si="103"/>
        <v>1.7195935934145585E-4</v>
      </c>
      <c r="O1154" s="5">
        <v>45718</v>
      </c>
      <c r="P1154">
        <f t="shared" si="105"/>
        <v>0.99900256652525055</v>
      </c>
      <c r="Q1154" s="6">
        <f t="shared" si="106"/>
        <v>1.0001100121013311</v>
      </c>
      <c r="R1154">
        <f t="shared" si="107"/>
        <v>-1.1079372929824671E-3</v>
      </c>
      <c r="T1154" s="5">
        <v>45718</v>
      </c>
      <c r="U1154" s="1">
        <v>-1.1079372929824671E-3</v>
      </c>
    </row>
    <row r="1155" spans="3:21" x14ac:dyDescent="0.2">
      <c r="C1155" s="5">
        <v>45719</v>
      </c>
      <c r="D1155" s="6">
        <v>0.99997000000000003</v>
      </c>
      <c r="E1155" s="6">
        <v>86177</v>
      </c>
      <c r="F1155" s="6">
        <v>86108.5</v>
      </c>
      <c r="G1155" s="6">
        <v>86225.11</v>
      </c>
      <c r="H1155" s="6">
        <v>86116.5</v>
      </c>
      <c r="I1155" s="5">
        <v>45719</v>
      </c>
      <c r="J1155" s="7">
        <f t="shared" si="104"/>
        <v>-7.0204346867493649E-4</v>
      </c>
      <c r="K1155" s="5">
        <v>45719</v>
      </c>
      <c r="L1155" s="8">
        <f t="shared" si="102"/>
        <v>1.3542217086582693E-3</v>
      </c>
      <c r="M1155" s="5">
        <v>45719</v>
      </c>
      <c r="N1155" s="9">
        <f t="shared" si="103"/>
        <v>6.521782399833328E-4</v>
      </c>
      <c r="O1155" s="5">
        <v>45719</v>
      </c>
      <c r="P1155">
        <f t="shared" si="105"/>
        <v>0.99874039012533589</v>
      </c>
      <c r="Q1155" s="6">
        <f t="shared" si="106"/>
        <v>1.0000300009000269</v>
      </c>
      <c r="R1155">
        <f t="shared" si="107"/>
        <v>-1.2904042999940361E-3</v>
      </c>
      <c r="T1155" s="5">
        <v>45719</v>
      </c>
      <c r="U1155" s="1">
        <v>-1.2904042999940361E-3</v>
      </c>
    </row>
    <row r="1156" spans="3:21" x14ac:dyDescent="0.2">
      <c r="C1156" s="5">
        <v>45720</v>
      </c>
      <c r="D1156" s="6">
        <v>0.99995000000000001</v>
      </c>
      <c r="E1156" s="6">
        <v>87264.55</v>
      </c>
      <c r="F1156" s="6">
        <v>87205.5</v>
      </c>
      <c r="G1156" s="6">
        <v>87316.45</v>
      </c>
      <c r="H1156" s="6">
        <v>87201.600000000006</v>
      </c>
      <c r="I1156" s="5">
        <v>45720</v>
      </c>
      <c r="J1156" s="7">
        <f t="shared" si="104"/>
        <v>-7.2136967416891614E-4</v>
      </c>
      <c r="K1156" s="5">
        <v>45720</v>
      </c>
      <c r="L1156" s="8">
        <f t="shared" si="102"/>
        <v>1.2722821381678574E-3</v>
      </c>
      <c r="M1156" s="5">
        <v>45720</v>
      </c>
      <c r="N1156" s="9">
        <f t="shared" si="103"/>
        <v>5.5091246399894124E-4</v>
      </c>
      <c r="O1156" s="5">
        <v>45720</v>
      </c>
      <c r="P1156">
        <f t="shared" si="105"/>
        <v>0.99868466938360423</v>
      </c>
      <c r="Q1156" s="6">
        <f t="shared" si="106"/>
        <v>1.0000500025001251</v>
      </c>
      <c r="R1156">
        <f t="shared" si="107"/>
        <v>-1.3661976730507096E-3</v>
      </c>
      <c r="T1156" s="5">
        <v>45720</v>
      </c>
      <c r="U1156" s="1">
        <v>-1.3661976730507096E-3</v>
      </c>
    </row>
    <row r="1157" spans="3:21" x14ac:dyDescent="0.2">
      <c r="C1157" s="5">
        <v>45721</v>
      </c>
      <c r="D1157" s="6">
        <v>0.99990999999999997</v>
      </c>
      <c r="E1157" s="6">
        <v>90572.82</v>
      </c>
      <c r="F1157" s="6">
        <v>90547.5</v>
      </c>
      <c r="G1157" s="6">
        <v>90639.09</v>
      </c>
      <c r="H1157" s="6">
        <v>90547.9</v>
      </c>
      <c r="I1157" s="5">
        <v>45721</v>
      </c>
      <c r="J1157" s="7">
        <f t="shared" si="104"/>
        <v>-2.7513772895679744E-4</v>
      </c>
      <c r="K1157" s="5">
        <v>45721</v>
      </c>
      <c r="L1157" s="8">
        <f t="shared" si="102"/>
        <v>1.011513294127353E-3</v>
      </c>
      <c r="M1157" s="5">
        <v>45721</v>
      </c>
      <c r="N1157" s="9">
        <f t="shared" si="103"/>
        <v>7.3637556517055559E-4</v>
      </c>
      <c r="O1157" s="5">
        <v>45721</v>
      </c>
      <c r="P1157">
        <f t="shared" si="105"/>
        <v>0.99899392193809533</v>
      </c>
      <c r="Q1157" s="6">
        <f t="shared" si="106"/>
        <v>1.0000900081007291</v>
      </c>
      <c r="R1157">
        <f t="shared" si="107"/>
        <v>-1.0965885483858236E-3</v>
      </c>
      <c r="T1157" s="5">
        <v>45721</v>
      </c>
      <c r="U1157" s="1">
        <v>-1.0965885483858236E-3</v>
      </c>
    </row>
    <row r="1158" spans="3:21" x14ac:dyDescent="0.2">
      <c r="C1158" s="5">
        <v>45722</v>
      </c>
      <c r="D1158" s="6">
        <v>0.99987999999999999</v>
      </c>
      <c r="E1158" s="6">
        <v>89937.37</v>
      </c>
      <c r="F1158" s="6">
        <v>89880</v>
      </c>
      <c r="G1158" s="6">
        <v>89957.75</v>
      </c>
      <c r="H1158" s="6">
        <v>89884</v>
      </c>
      <c r="I1158" s="5">
        <v>45722</v>
      </c>
      <c r="J1158" s="7">
        <f t="shared" si="104"/>
        <v>-5.9341294947801279E-4</v>
      </c>
      <c r="K1158" s="5">
        <v>45722</v>
      </c>
      <c r="L1158" s="8">
        <f t="shared" si="102"/>
        <v>8.6504227859368046E-4</v>
      </c>
      <c r="M1158" s="5">
        <v>45722</v>
      </c>
      <c r="N1158" s="9">
        <f t="shared" si="103"/>
        <v>2.7162932911566767E-4</v>
      </c>
      <c r="O1158" s="5">
        <v>45722</v>
      </c>
      <c r="P1158">
        <f t="shared" si="105"/>
        <v>0.99918017069124121</v>
      </c>
      <c r="Q1158" s="6">
        <f t="shared" si="106"/>
        <v>1.0001200144017282</v>
      </c>
      <c r="R1158">
        <f t="shared" si="107"/>
        <v>-9.4017275317015881E-4</v>
      </c>
      <c r="T1158" s="5">
        <v>45722</v>
      </c>
      <c r="U1158" s="1">
        <v>-9.4017275317015881E-4</v>
      </c>
    </row>
    <row r="1159" spans="3:21" x14ac:dyDescent="0.2">
      <c r="C1159" s="5">
        <v>45723</v>
      </c>
      <c r="D1159" s="6">
        <v>0.99987000000000004</v>
      </c>
      <c r="E1159" s="6">
        <v>86758.23</v>
      </c>
      <c r="F1159" s="6">
        <v>86718</v>
      </c>
      <c r="G1159" s="6">
        <v>86781.85</v>
      </c>
      <c r="H1159" s="6">
        <v>86695.5</v>
      </c>
      <c r="I1159" s="5">
        <v>45723</v>
      </c>
      <c r="J1159" s="7">
        <f t="shared" si="104"/>
        <v>-7.230437965366044E-4</v>
      </c>
      <c r="K1159" s="5">
        <v>45723</v>
      </c>
      <c r="L1159" s="8">
        <f t="shared" si="102"/>
        <v>7.3629465624213916E-4</v>
      </c>
      <c r="M1159" s="5">
        <v>45723</v>
      </c>
      <c r="N1159" s="9">
        <f t="shared" si="103"/>
        <v>1.3250859705534758E-5</v>
      </c>
      <c r="O1159" s="5">
        <v>45723</v>
      </c>
      <c r="P1159">
        <f t="shared" si="105"/>
        <v>0.99900497627095985</v>
      </c>
      <c r="Q1159" s="6">
        <f t="shared" si="106"/>
        <v>1.0001300169021972</v>
      </c>
      <c r="R1159">
        <f t="shared" si="107"/>
        <v>-1.1255275445100955E-3</v>
      </c>
      <c r="T1159" s="5">
        <v>45723</v>
      </c>
      <c r="U1159" s="1">
        <v>-1.1255275445100955E-3</v>
      </c>
    </row>
    <row r="1160" spans="3:21" x14ac:dyDescent="0.2">
      <c r="C1160" s="5">
        <v>45724</v>
      </c>
      <c r="D1160" s="6">
        <v>0.99987000000000004</v>
      </c>
      <c r="E1160" s="6">
        <v>86213.62</v>
      </c>
      <c r="F1160" s="6">
        <v>86163.5</v>
      </c>
      <c r="G1160" s="6">
        <v>86267.86</v>
      </c>
      <c r="H1160" s="6">
        <v>86156</v>
      </c>
      <c r="I1160" s="5">
        <v>45724</v>
      </c>
      <c r="J1160" s="7">
        <f t="shared" si="104"/>
        <v>-6.683398748364278E-4</v>
      </c>
      <c r="K1160" s="5">
        <v>45724</v>
      </c>
      <c r="L1160" s="8">
        <f t="shared" si="102"/>
        <v>1.2111857108868672E-3</v>
      </c>
      <c r="M1160" s="5">
        <v>45724</v>
      </c>
      <c r="N1160" s="9">
        <f t="shared" si="103"/>
        <v>5.4284583605043941E-4</v>
      </c>
      <c r="O1160" s="5">
        <v>45724</v>
      </c>
      <c r="P1160">
        <f t="shared" si="105"/>
        <v>0.99870334096614888</v>
      </c>
      <c r="Q1160" s="6">
        <f t="shared" si="106"/>
        <v>1.0001300169021972</v>
      </c>
      <c r="R1160">
        <f t="shared" si="107"/>
        <v>-1.4275088743174404E-3</v>
      </c>
      <c r="T1160" s="5">
        <v>45724</v>
      </c>
      <c r="U1160" s="1">
        <v>-1.4275088743174404E-3</v>
      </c>
    </row>
    <row r="1161" spans="3:21" x14ac:dyDescent="0.2">
      <c r="C1161" s="5">
        <v>45725</v>
      </c>
      <c r="D1161" s="6">
        <v>0.99992999999999999</v>
      </c>
      <c r="E1161" s="6">
        <v>80722.8</v>
      </c>
      <c r="F1161" s="6">
        <v>80681.5</v>
      </c>
      <c r="G1161" s="6">
        <v>80736.17</v>
      </c>
      <c r="H1161" s="6">
        <v>80642.399999999994</v>
      </c>
      <c r="I1161" s="5">
        <v>45725</v>
      </c>
      <c r="J1161" s="7">
        <f t="shared" si="104"/>
        <v>-9.9600112979243444E-4</v>
      </c>
      <c r="K1161" s="5">
        <v>45725</v>
      </c>
      <c r="L1161" s="8">
        <f t="shared" si="102"/>
        <v>6.7760267223586888E-4</v>
      </c>
      <c r="M1161" s="5">
        <v>45725</v>
      </c>
      <c r="N1161" s="9">
        <f t="shared" si="103"/>
        <v>-3.1839845755656556E-4</v>
      </c>
      <c r="O1161" s="5">
        <v>45725</v>
      </c>
      <c r="P1161">
        <f t="shared" si="105"/>
        <v>0.99883856269129434</v>
      </c>
      <c r="Q1161" s="6">
        <f t="shared" si="106"/>
        <v>1.000070004900343</v>
      </c>
      <c r="R1161">
        <f t="shared" si="107"/>
        <v>-1.2321147498215105E-3</v>
      </c>
      <c r="T1161" s="5">
        <v>45725</v>
      </c>
      <c r="U1161" s="1">
        <v>-1.2321147498215105E-3</v>
      </c>
    </row>
    <row r="1162" spans="3:21" x14ac:dyDescent="0.2">
      <c r="C1162" s="5">
        <v>45726</v>
      </c>
      <c r="D1162" s="6">
        <v>0.99983</v>
      </c>
      <c r="E1162" s="6">
        <v>78557.69</v>
      </c>
      <c r="F1162" s="6">
        <v>78536</v>
      </c>
      <c r="G1162" s="6">
        <v>78620.33</v>
      </c>
      <c r="H1162" s="6">
        <v>78508.5</v>
      </c>
      <c r="I1162" s="5">
        <v>45726</v>
      </c>
      <c r="J1162" s="7">
        <f t="shared" si="104"/>
        <v>-6.2616403308195961E-4</v>
      </c>
      <c r="K1162" s="5">
        <v>45726</v>
      </c>
      <c r="L1162" s="8">
        <f t="shared" si="102"/>
        <v>1.0737750840379156E-3</v>
      </c>
      <c r="M1162" s="5">
        <v>45726</v>
      </c>
      <c r="N1162" s="9">
        <f t="shared" si="103"/>
        <v>4.4761105095595603E-4</v>
      </c>
      <c r="O1162" s="5">
        <v>45726</v>
      </c>
      <c r="P1162">
        <f t="shared" si="105"/>
        <v>0.99857759437031113</v>
      </c>
      <c r="Q1162" s="6">
        <f t="shared" si="106"/>
        <v>1.0001700289049138</v>
      </c>
      <c r="R1162">
        <f t="shared" si="107"/>
        <v>-1.5934326605272094E-3</v>
      </c>
      <c r="T1162" s="5">
        <v>45726</v>
      </c>
      <c r="U1162" s="1">
        <v>-1.5934326605272094E-3</v>
      </c>
    </row>
    <row r="1163" spans="3:21" x14ac:dyDescent="0.2">
      <c r="C1163" s="5">
        <v>45727</v>
      </c>
      <c r="D1163" s="6">
        <v>0.99992999999999999</v>
      </c>
      <c r="E1163" s="6">
        <v>82913</v>
      </c>
      <c r="F1163" s="6">
        <v>82874.5</v>
      </c>
      <c r="G1163" s="6">
        <v>82943.360000000001</v>
      </c>
      <c r="H1163" s="6">
        <v>82862.2</v>
      </c>
      <c r="I1163" s="5">
        <v>45727</v>
      </c>
      <c r="J1163" s="7">
        <f t="shared" si="104"/>
        <v>-6.1269041043024506E-4</v>
      </c>
      <c r="K1163" s="5">
        <v>45727</v>
      </c>
      <c r="L1163" s="8">
        <f t="shared" ref="L1163:L1226" si="108">(G1163-F1163)/F1163</f>
        <v>8.3089490735993078E-4</v>
      </c>
      <c r="M1163" s="5">
        <v>45727</v>
      </c>
      <c r="N1163" s="9">
        <f t="shared" ref="N1163:N1226" si="109">J1163+L1163</f>
        <v>2.1820449692968571E-4</v>
      </c>
      <c r="O1163" s="5">
        <v>45727</v>
      </c>
      <c r="P1163">
        <f t="shared" si="105"/>
        <v>0.99902150093750719</v>
      </c>
      <c r="Q1163" s="6">
        <f t="shared" si="106"/>
        <v>1.000070004900343</v>
      </c>
      <c r="R1163">
        <f t="shared" si="107"/>
        <v>-1.0489805553355323E-3</v>
      </c>
      <c r="T1163" s="5">
        <v>45727</v>
      </c>
      <c r="U1163" s="1">
        <v>-1.0489805553355323E-3</v>
      </c>
    </row>
    <row r="1164" spans="3:21" x14ac:dyDescent="0.2">
      <c r="C1164" s="5">
        <v>45728</v>
      </c>
      <c r="D1164" s="6">
        <v>0.99990000000000001</v>
      </c>
      <c r="E1164" s="6">
        <v>83653.61</v>
      </c>
      <c r="F1164" s="6">
        <v>83617.5</v>
      </c>
      <c r="G1164" s="6">
        <v>83709.8</v>
      </c>
      <c r="H1164" s="6">
        <v>83622.399999999994</v>
      </c>
      <c r="I1164" s="5">
        <v>45728</v>
      </c>
      <c r="J1164" s="7">
        <f t="shared" ref="J1164:J1227" si="110">(H1164-E1164)/E1164</f>
        <v>-3.7308611068914303E-4</v>
      </c>
      <c r="K1164" s="5">
        <v>45728</v>
      </c>
      <c r="L1164" s="8">
        <f t="shared" si="108"/>
        <v>1.1038359195144904E-3</v>
      </c>
      <c r="M1164" s="5">
        <v>45728</v>
      </c>
      <c r="N1164" s="9">
        <f t="shared" si="109"/>
        <v>7.3074980882534735E-4</v>
      </c>
      <c r="O1164" s="5">
        <v>45728</v>
      </c>
      <c r="P1164">
        <f t="shared" ref="P1164:P1227" si="111">(1/G1164)*H1164</f>
        <v>0.99895591675048789</v>
      </c>
      <c r="Q1164" s="6">
        <f t="shared" ref="Q1164:Q1227" si="112">1/D1164</f>
        <v>1.000100010001</v>
      </c>
      <c r="R1164">
        <f t="shared" ref="R1164:R1227" si="113">LN(P1164/Q1164)</f>
        <v>-1.1446336844471803E-3</v>
      </c>
      <c r="T1164" s="5">
        <v>45728</v>
      </c>
      <c r="U1164" s="1">
        <v>-1.1446336844471803E-3</v>
      </c>
    </row>
    <row r="1165" spans="3:21" x14ac:dyDescent="0.2">
      <c r="C1165" s="5">
        <v>45729</v>
      </c>
      <c r="D1165" s="6">
        <v>0.99970999999999999</v>
      </c>
      <c r="E1165" s="6">
        <v>81101.62</v>
      </c>
      <c r="F1165" s="6">
        <v>81041</v>
      </c>
      <c r="G1165" s="6">
        <v>81136.13</v>
      </c>
      <c r="H1165" s="6">
        <v>81041.899999999994</v>
      </c>
      <c r="I1165" s="5">
        <v>45729</v>
      </c>
      <c r="J1165" s="7">
        <f t="shared" si="110"/>
        <v>-7.3636013682588789E-4</v>
      </c>
      <c r="K1165" s="5">
        <v>45729</v>
      </c>
      <c r="L1165" s="8">
        <f t="shared" si="108"/>
        <v>1.1738502733185012E-3</v>
      </c>
      <c r="M1165" s="5">
        <v>45729</v>
      </c>
      <c r="N1165" s="9">
        <f t="shared" si="109"/>
        <v>4.3749013649261334E-4</v>
      </c>
      <c r="O1165" s="5">
        <v>45729</v>
      </c>
      <c r="P1165">
        <f t="shared" si="111"/>
        <v>0.99883861850448119</v>
      </c>
      <c r="Q1165" s="6">
        <f t="shared" si="112"/>
        <v>1.000290084124396</v>
      </c>
      <c r="R1165">
        <f t="shared" si="113"/>
        <v>-1.4520984797543738E-3</v>
      </c>
      <c r="T1165" s="5">
        <v>45729</v>
      </c>
      <c r="U1165" s="1">
        <v>-1.4520984797543738E-3</v>
      </c>
    </row>
    <row r="1166" spans="3:21" x14ac:dyDescent="0.2">
      <c r="C1166" s="5">
        <v>45730</v>
      </c>
      <c r="D1166" s="6">
        <v>0.99982000000000004</v>
      </c>
      <c r="E1166" s="6">
        <v>83993.1</v>
      </c>
      <c r="F1166" s="6">
        <v>83947.3</v>
      </c>
      <c r="G1166" s="6">
        <v>84002.8</v>
      </c>
      <c r="H1166" s="6">
        <v>83934.2</v>
      </c>
      <c r="I1166" s="5">
        <v>45730</v>
      </c>
      <c r="J1166" s="7">
        <f t="shared" si="110"/>
        <v>-7.0124807871133142E-4</v>
      </c>
      <c r="K1166" s="5">
        <v>45730</v>
      </c>
      <c r="L1166" s="8">
        <f t="shared" si="108"/>
        <v>6.6112906549704398E-4</v>
      </c>
      <c r="M1166" s="5">
        <v>45730</v>
      </c>
      <c r="N1166" s="9">
        <f t="shared" si="109"/>
        <v>-4.0119013214287439E-5</v>
      </c>
      <c r="O1166" s="5">
        <v>45730</v>
      </c>
      <c r="P1166">
        <f t="shared" si="111"/>
        <v>0.99918336055464807</v>
      </c>
      <c r="Q1166" s="6">
        <f t="shared" si="112"/>
        <v>1.000180032405833</v>
      </c>
      <c r="R1166">
        <f t="shared" si="113"/>
        <v>-9.9698927893816878E-4</v>
      </c>
      <c r="T1166" s="5">
        <v>45730</v>
      </c>
      <c r="U1166" s="1">
        <v>-9.9698927893816878E-4</v>
      </c>
    </row>
    <row r="1167" spans="3:21" x14ac:dyDescent="0.2">
      <c r="C1167" s="5">
        <v>45731</v>
      </c>
      <c r="D1167" s="6">
        <v>0.99990000000000001</v>
      </c>
      <c r="E1167" s="6">
        <v>84352.69</v>
      </c>
      <c r="F1167" s="6">
        <v>84315.199999999997</v>
      </c>
      <c r="G1167" s="6">
        <v>84398.77</v>
      </c>
      <c r="H1167" s="6">
        <v>84275.8</v>
      </c>
      <c r="I1167" s="5">
        <v>45731</v>
      </c>
      <c r="J1167" s="7">
        <f t="shared" si="110"/>
        <v>-9.1152991090147112E-4</v>
      </c>
      <c r="K1167" s="5">
        <v>45731</v>
      </c>
      <c r="L1167" s="8">
        <f t="shared" si="108"/>
        <v>9.9116173596228195E-4</v>
      </c>
      <c r="M1167" s="5">
        <v>45731</v>
      </c>
      <c r="N1167" s="9">
        <f t="shared" si="109"/>
        <v>7.9631825060810834E-5</v>
      </c>
      <c r="O1167" s="5">
        <v>45731</v>
      </c>
      <c r="P1167">
        <f t="shared" si="111"/>
        <v>0.9985429882449709</v>
      </c>
      <c r="Q1167" s="6">
        <f t="shared" si="112"/>
        <v>1.000100010001</v>
      </c>
      <c r="R1167">
        <f t="shared" si="113"/>
        <v>-1.5580792291394556E-3</v>
      </c>
      <c r="T1167" s="5">
        <v>45731</v>
      </c>
      <c r="U1167" s="1">
        <v>-1.5580792291394556E-3</v>
      </c>
    </row>
    <row r="1168" spans="3:21" x14ac:dyDescent="0.2">
      <c r="C1168" s="5">
        <v>45732</v>
      </c>
      <c r="D1168" s="6">
        <v>0.99983999999999995</v>
      </c>
      <c r="E1168" s="6">
        <v>82577.7</v>
      </c>
      <c r="F1168" s="6">
        <v>82520.100000000006</v>
      </c>
      <c r="G1168" s="6">
        <v>82611.45</v>
      </c>
      <c r="H1168" s="6">
        <v>82531.8</v>
      </c>
      <c r="I1168" s="5">
        <v>45732</v>
      </c>
      <c r="J1168" s="7">
        <f t="shared" si="110"/>
        <v>-5.5584013601728049E-4</v>
      </c>
      <c r="K1168" s="5">
        <v>45732</v>
      </c>
      <c r="L1168" s="8">
        <f t="shared" si="108"/>
        <v>1.1070030210820305E-3</v>
      </c>
      <c r="M1168" s="5">
        <v>45732</v>
      </c>
      <c r="N1168" s="9">
        <f t="shared" si="109"/>
        <v>5.5116288506475001E-4</v>
      </c>
      <c r="O1168" s="5">
        <v>45732</v>
      </c>
      <c r="P1168">
        <f t="shared" si="111"/>
        <v>0.99903584793633327</v>
      </c>
      <c r="Q1168" s="6">
        <f t="shared" si="112"/>
        <v>1.0001600256040968</v>
      </c>
      <c r="R1168">
        <f t="shared" si="113"/>
        <v>-1.1246299586046326E-3</v>
      </c>
      <c r="T1168" s="5">
        <v>45732</v>
      </c>
      <c r="U1168" s="1">
        <v>-1.1246299586046326E-3</v>
      </c>
    </row>
    <row r="1169" spans="3:21" x14ac:dyDescent="0.2">
      <c r="C1169" s="5">
        <v>45733</v>
      </c>
      <c r="D1169" s="6">
        <v>0.99992000000000003</v>
      </c>
      <c r="E1169" s="6">
        <v>84022.45</v>
      </c>
      <c r="F1169" s="6">
        <v>83954.7</v>
      </c>
      <c r="G1169" s="6">
        <v>84016.28</v>
      </c>
      <c r="H1169" s="6">
        <v>83953.8</v>
      </c>
      <c r="I1169" s="5">
        <v>45733</v>
      </c>
      <c r="J1169" s="7">
        <f t="shared" si="110"/>
        <v>-8.1704354014902191E-4</v>
      </c>
      <c r="K1169" s="5">
        <v>45733</v>
      </c>
      <c r="L1169" s="8">
        <f t="shared" si="108"/>
        <v>7.3349079920483008E-4</v>
      </c>
      <c r="M1169" s="5">
        <v>45733</v>
      </c>
      <c r="N1169" s="9">
        <f t="shared" si="109"/>
        <v>-8.3552740944191827E-5</v>
      </c>
      <c r="O1169" s="5">
        <v>45733</v>
      </c>
      <c r="P1169">
        <f t="shared" si="111"/>
        <v>0.99925633460562657</v>
      </c>
      <c r="Q1169" s="6">
        <f t="shared" si="112"/>
        <v>1.000080006400512</v>
      </c>
      <c r="R1169">
        <f t="shared" si="113"/>
        <v>-8.2394525082175722E-4</v>
      </c>
      <c r="T1169" s="5">
        <v>45733</v>
      </c>
      <c r="U1169" s="1">
        <v>-8.2394525082175722E-4</v>
      </c>
    </row>
    <row r="1170" spans="3:21" x14ac:dyDescent="0.2">
      <c r="C1170" s="5">
        <v>45734</v>
      </c>
      <c r="D1170" s="6">
        <v>0.99995999999999996</v>
      </c>
      <c r="E1170" s="6">
        <v>82703.210000000006</v>
      </c>
      <c r="F1170" s="6">
        <v>82659.600000000006</v>
      </c>
      <c r="G1170" s="6">
        <v>82725.48</v>
      </c>
      <c r="H1170" s="6">
        <v>82665.600000000006</v>
      </c>
      <c r="I1170" s="5">
        <v>45734</v>
      </c>
      <c r="J1170" s="7">
        <f t="shared" si="110"/>
        <v>-4.5475864842489883E-4</v>
      </c>
      <c r="K1170" s="5">
        <v>45734</v>
      </c>
      <c r="L1170" s="8">
        <f t="shared" si="108"/>
        <v>7.9700361482501849E-4</v>
      </c>
      <c r="M1170" s="5">
        <v>45734</v>
      </c>
      <c r="N1170" s="9">
        <f t="shared" si="109"/>
        <v>3.4224496640011966E-4</v>
      </c>
      <c r="O1170" s="5">
        <v>45734</v>
      </c>
      <c r="P1170">
        <f t="shared" si="111"/>
        <v>0.99927616013832754</v>
      </c>
      <c r="Q1170" s="6">
        <f t="shared" si="112"/>
        <v>1.0000400016000641</v>
      </c>
      <c r="R1170">
        <f t="shared" si="113"/>
        <v>-7.6410276025245096E-4</v>
      </c>
      <c r="T1170" s="5">
        <v>45734</v>
      </c>
      <c r="U1170" s="1">
        <v>-7.6410276025245096E-4</v>
      </c>
    </row>
    <row r="1171" spans="3:21" x14ac:dyDescent="0.2">
      <c r="C1171" s="5">
        <v>45735</v>
      </c>
      <c r="D1171" s="6">
        <v>0.99994000000000005</v>
      </c>
      <c r="E1171" s="6">
        <v>86866.81</v>
      </c>
      <c r="F1171" s="6">
        <v>86820.2</v>
      </c>
      <c r="G1171" s="6">
        <v>86878.55</v>
      </c>
      <c r="H1171" s="6">
        <v>86808.1</v>
      </c>
      <c r="I1171" s="5">
        <v>45735</v>
      </c>
      <c r="J1171" s="7">
        <f t="shared" si="110"/>
        <v>-6.7586227697312537E-4</v>
      </c>
      <c r="K1171" s="5">
        <v>45735</v>
      </c>
      <c r="L1171" s="8">
        <f t="shared" si="108"/>
        <v>6.720786176489552E-4</v>
      </c>
      <c r="M1171" s="5">
        <v>45735</v>
      </c>
      <c r="N1171" s="9">
        <f t="shared" si="109"/>
        <v>-3.7836593241701716E-6</v>
      </c>
      <c r="O1171" s="5">
        <v>45735</v>
      </c>
      <c r="P1171">
        <f t="shared" si="111"/>
        <v>0.9991890978843454</v>
      </c>
      <c r="Q1171" s="6">
        <f t="shared" si="112"/>
        <v>1.0000600036002159</v>
      </c>
      <c r="R1171">
        <f t="shared" si="113"/>
        <v>-8.7123287469472127E-4</v>
      </c>
      <c r="T1171" s="5">
        <v>45735</v>
      </c>
      <c r="U1171" s="1">
        <v>-8.7123287469472127E-4</v>
      </c>
    </row>
    <row r="1172" spans="3:21" x14ac:dyDescent="0.2">
      <c r="C1172" s="5">
        <v>45736</v>
      </c>
      <c r="D1172" s="6">
        <v>0.99992999999999999</v>
      </c>
      <c r="E1172" s="6">
        <v>84183.01</v>
      </c>
      <c r="F1172" s="6">
        <v>84139</v>
      </c>
      <c r="G1172" s="6">
        <v>84215.96</v>
      </c>
      <c r="H1172" s="6">
        <v>84119.2</v>
      </c>
      <c r="I1172" s="5">
        <v>45736</v>
      </c>
      <c r="J1172" s="7">
        <f t="shared" si="110"/>
        <v>-7.5799142843666046E-4</v>
      </c>
      <c r="K1172" s="5">
        <v>45736</v>
      </c>
      <c r="L1172" s="8">
        <f t="shared" si="108"/>
        <v>9.1467690369515214E-4</v>
      </c>
      <c r="M1172" s="5">
        <v>45736</v>
      </c>
      <c r="N1172" s="9">
        <f t="shared" si="109"/>
        <v>1.5668547525849168E-4</v>
      </c>
      <c r="O1172" s="5">
        <v>45736</v>
      </c>
      <c r="P1172">
        <f t="shared" si="111"/>
        <v>0.99885104913605438</v>
      </c>
      <c r="Q1172" s="6">
        <f t="shared" si="112"/>
        <v>1.000070004900343</v>
      </c>
      <c r="R1172">
        <f t="shared" si="113"/>
        <v>-1.2196138641119825E-3</v>
      </c>
      <c r="T1172" s="5">
        <v>45736</v>
      </c>
      <c r="U1172" s="1">
        <v>-1.2196138641119825E-3</v>
      </c>
    </row>
    <row r="1173" spans="3:21" x14ac:dyDescent="0.2">
      <c r="C1173" s="5">
        <v>45737</v>
      </c>
      <c r="D1173" s="6">
        <v>0.99997000000000003</v>
      </c>
      <c r="E1173" s="6">
        <v>84065</v>
      </c>
      <c r="F1173" s="6">
        <v>84028</v>
      </c>
      <c r="G1173" s="6">
        <v>84051.47</v>
      </c>
      <c r="H1173" s="6">
        <v>84017</v>
      </c>
      <c r="I1173" s="5">
        <v>45737</v>
      </c>
      <c r="J1173" s="7">
        <f t="shared" si="110"/>
        <v>-5.7098673645393451E-4</v>
      </c>
      <c r="K1173" s="5">
        <v>45737</v>
      </c>
      <c r="L1173" s="8">
        <f t="shared" si="108"/>
        <v>2.7931165801876949E-4</v>
      </c>
      <c r="M1173" s="5">
        <v>45737</v>
      </c>
      <c r="N1173" s="9">
        <f t="shared" si="109"/>
        <v>-2.9167507843516502E-4</v>
      </c>
      <c r="O1173" s="5">
        <v>45737</v>
      </c>
      <c r="P1173">
        <f t="shared" si="111"/>
        <v>0.9995898941446234</v>
      </c>
      <c r="Q1173" s="6">
        <f t="shared" si="112"/>
        <v>1.0000300009000269</v>
      </c>
      <c r="R1173">
        <f t="shared" si="113"/>
        <v>-4.4019042179037902E-4</v>
      </c>
      <c r="T1173" s="5">
        <v>45737</v>
      </c>
      <c r="U1173" s="1">
        <v>-4.4019042179037902E-4</v>
      </c>
    </row>
    <row r="1174" spans="3:21" x14ac:dyDescent="0.2">
      <c r="C1174" s="5">
        <v>45738</v>
      </c>
      <c r="D1174" s="6">
        <v>0.99997000000000003</v>
      </c>
      <c r="E1174" s="6">
        <v>83823.5</v>
      </c>
      <c r="F1174" s="6">
        <v>83794.600000000006</v>
      </c>
      <c r="G1174" s="6">
        <v>83822.880000000005</v>
      </c>
      <c r="H1174" s="6">
        <v>83797.100000000006</v>
      </c>
      <c r="I1174" s="5">
        <v>45738</v>
      </c>
      <c r="J1174" s="7">
        <f t="shared" si="110"/>
        <v>-3.1494747892887051E-4</v>
      </c>
      <c r="K1174" s="5">
        <v>45738</v>
      </c>
      <c r="L1174" s="8">
        <f t="shared" si="108"/>
        <v>3.3749191475344274E-4</v>
      </c>
      <c r="M1174" s="5">
        <v>45738</v>
      </c>
      <c r="N1174" s="9">
        <f t="shared" si="109"/>
        <v>2.2544435824572225E-5</v>
      </c>
      <c r="O1174" s="5">
        <v>45738</v>
      </c>
      <c r="P1174">
        <f t="shared" si="111"/>
        <v>0.99969244674007862</v>
      </c>
      <c r="Q1174" s="6">
        <f t="shared" si="112"/>
        <v>1.0000300009000269</v>
      </c>
      <c r="R1174">
        <f t="shared" si="113"/>
        <v>-3.3760101413346538E-4</v>
      </c>
      <c r="T1174" s="5">
        <v>45738</v>
      </c>
      <c r="U1174" s="1">
        <v>-3.3760101413346538E-4</v>
      </c>
    </row>
    <row r="1175" spans="3:21" x14ac:dyDescent="0.2">
      <c r="C1175" s="5">
        <v>45739</v>
      </c>
      <c r="D1175" s="6">
        <v>0.99997999999999998</v>
      </c>
      <c r="E1175" s="6">
        <v>86083</v>
      </c>
      <c r="F1175" s="6">
        <v>86038</v>
      </c>
      <c r="G1175" s="6">
        <v>86116.86</v>
      </c>
      <c r="H1175" s="6">
        <v>86003</v>
      </c>
      <c r="I1175" s="5">
        <v>45739</v>
      </c>
      <c r="J1175" s="7">
        <f t="shared" si="110"/>
        <v>-9.2933564118350895E-4</v>
      </c>
      <c r="K1175" s="5">
        <v>45739</v>
      </c>
      <c r="L1175" s="8">
        <f t="shared" si="108"/>
        <v>9.165717473674491E-4</v>
      </c>
      <c r="M1175" s="5">
        <v>45739</v>
      </c>
      <c r="N1175" s="9">
        <f t="shared" si="109"/>
        <v>-1.2763893816059848E-5</v>
      </c>
      <c r="O1175" s="5">
        <v>45739</v>
      </c>
      <c r="P1175">
        <f t="shared" si="111"/>
        <v>0.99867784310760987</v>
      </c>
      <c r="Q1175" s="6">
        <f t="shared" si="112"/>
        <v>1.0000200004000079</v>
      </c>
      <c r="R1175">
        <f t="shared" si="113"/>
        <v>-1.3430319130018902E-3</v>
      </c>
      <c r="T1175" s="5">
        <v>45739</v>
      </c>
      <c r="U1175" s="1">
        <v>-1.3430319130018902E-3</v>
      </c>
    </row>
    <row r="1176" spans="3:21" x14ac:dyDescent="0.2">
      <c r="C1176" s="5">
        <v>45740</v>
      </c>
      <c r="D1176" s="6">
        <v>0.99999000000000005</v>
      </c>
      <c r="E1176" s="6">
        <v>87523.199999999997</v>
      </c>
      <c r="F1176" s="6">
        <v>87479.9</v>
      </c>
      <c r="G1176" s="6">
        <v>87523.45</v>
      </c>
      <c r="H1176" s="6">
        <v>87444.5</v>
      </c>
      <c r="I1176" s="5">
        <v>45740</v>
      </c>
      <c r="J1176" s="7">
        <f t="shared" si="110"/>
        <v>-8.9919015758104241E-4</v>
      </c>
      <c r="K1176" s="5">
        <v>45740</v>
      </c>
      <c r="L1176" s="8">
        <f t="shared" si="108"/>
        <v>4.9782864406569863E-4</v>
      </c>
      <c r="M1176" s="5">
        <v>45740</v>
      </c>
      <c r="N1176" s="9">
        <f t="shared" si="109"/>
        <v>-4.0136151351534378E-4</v>
      </c>
      <c r="O1176" s="5">
        <v>45740</v>
      </c>
      <c r="P1176">
        <f t="shared" si="111"/>
        <v>0.99909795603349738</v>
      </c>
      <c r="Q1176" s="6">
        <f t="shared" si="112"/>
        <v>1.000010000100001</v>
      </c>
      <c r="R1176">
        <f t="shared" si="113"/>
        <v>-9.124511029867219E-4</v>
      </c>
      <c r="T1176" s="5">
        <v>45740</v>
      </c>
      <c r="U1176" s="1">
        <v>-9.124511029867219E-4</v>
      </c>
    </row>
    <row r="1177" spans="3:21" x14ac:dyDescent="0.2">
      <c r="C1177" s="5">
        <v>45741</v>
      </c>
      <c r="D1177" s="6">
        <v>0.99995000000000001</v>
      </c>
      <c r="E1177" s="6">
        <v>87431.3</v>
      </c>
      <c r="F1177" s="6">
        <v>87403.5</v>
      </c>
      <c r="G1177" s="6">
        <v>87417.01</v>
      </c>
      <c r="H1177" s="6">
        <v>87408.7</v>
      </c>
      <c r="I1177" s="5">
        <v>45741</v>
      </c>
      <c r="J1177" s="7">
        <f t="shared" si="110"/>
        <v>-2.584886648146124E-4</v>
      </c>
      <c r="K1177" s="5">
        <v>45741</v>
      </c>
      <c r="L1177" s="8">
        <f t="shared" si="108"/>
        <v>1.5457046914591247E-4</v>
      </c>
      <c r="M1177" s="5">
        <v>45741</v>
      </c>
      <c r="N1177" s="9">
        <f t="shared" si="109"/>
        <v>-1.0391819566869993E-4</v>
      </c>
      <c r="O1177" s="5">
        <v>45741</v>
      </c>
      <c r="P1177">
        <f t="shared" si="111"/>
        <v>0.99990493840958417</v>
      </c>
      <c r="Q1177" s="6">
        <f t="shared" si="112"/>
        <v>1.0000500025001251</v>
      </c>
      <c r="R1177">
        <f t="shared" si="113"/>
        <v>-1.4506735909699823E-4</v>
      </c>
      <c r="T1177" s="5">
        <v>45741</v>
      </c>
      <c r="U1177" s="1">
        <v>-1.4506735909699823E-4</v>
      </c>
    </row>
    <row r="1178" spans="3:21" x14ac:dyDescent="0.2">
      <c r="C1178" s="5">
        <v>45742</v>
      </c>
      <c r="D1178" s="6">
        <v>0.99992000000000003</v>
      </c>
      <c r="E1178" s="6">
        <v>86933.6</v>
      </c>
      <c r="F1178" s="6">
        <v>86878</v>
      </c>
      <c r="G1178" s="6">
        <v>86945.33</v>
      </c>
      <c r="H1178" s="6">
        <v>86869.1</v>
      </c>
      <c r="I1178" s="5">
        <v>45742</v>
      </c>
      <c r="J1178" s="7">
        <f t="shared" si="110"/>
        <v>-7.419455768540587E-4</v>
      </c>
      <c r="K1178" s="5">
        <v>45742</v>
      </c>
      <c r="L1178" s="8">
        <f t="shared" si="108"/>
        <v>7.749948203227715E-4</v>
      </c>
      <c r="M1178" s="5">
        <v>45742</v>
      </c>
      <c r="N1178" s="9">
        <f t="shared" si="109"/>
        <v>3.3049243468712803E-5</v>
      </c>
      <c r="O1178" s="5">
        <v>45742</v>
      </c>
      <c r="P1178">
        <f t="shared" si="111"/>
        <v>0.99912324215688186</v>
      </c>
      <c r="Q1178" s="6">
        <f t="shared" si="112"/>
        <v>1.000080006400512</v>
      </c>
      <c r="R1178">
        <f t="shared" si="113"/>
        <v>-9.5714562025011436E-4</v>
      </c>
      <c r="T1178" s="5">
        <v>45742</v>
      </c>
      <c r="U1178" s="1">
        <v>-9.5714562025011436E-4</v>
      </c>
    </row>
    <row r="1179" spans="3:21" x14ac:dyDescent="0.2">
      <c r="C1179" s="5">
        <v>45743</v>
      </c>
      <c r="D1179" s="6">
        <v>0.99990999999999997</v>
      </c>
      <c r="E1179" s="6">
        <v>87229.9</v>
      </c>
      <c r="F1179" s="6">
        <v>87178.3</v>
      </c>
      <c r="G1179" s="6">
        <v>87236.15</v>
      </c>
      <c r="H1179" s="6">
        <v>87184.9</v>
      </c>
      <c r="I1179" s="5">
        <v>45743</v>
      </c>
      <c r="J1179" s="7">
        <f t="shared" si="110"/>
        <v>-5.1587815645782011E-4</v>
      </c>
      <c r="K1179" s="5">
        <v>45743</v>
      </c>
      <c r="L1179" s="8">
        <f t="shared" si="108"/>
        <v>6.6358256584484062E-4</v>
      </c>
      <c r="M1179" s="5">
        <v>45743</v>
      </c>
      <c r="N1179" s="9">
        <f t="shared" si="109"/>
        <v>1.4770440938702051E-4</v>
      </c>
      <c r="O1179" s="5">
        <v>45743</v>
      </c>
      <c r="P1179">
        <f t="shared" si="111"/>
        <v>0.99941251419279742</v>
      </c>
      <c r="Q1179" s="6">
        <f t="shared" si="112"/>
        <v>1.0000900081007291</v>
      </c>
      <c r="R1179">
        <f t="shared" si="113"/>
        <v>-6.7766249485048491E-4</v>
      </c>
      <c r="T1179" s="5">
        <v>45743</v>
      </c>
      <c r="U1179" s="1">
        <v>-6.7766249485048491E-4</v>
      </c>
    </row>
    <row r="1180" spans="3:21" x14ac:dyDescent="0.2">
      <c r="C1180" s="5">
        <v>45744</v>
      </c>
      <c r="D1180" s="6">
        <v>0.99997999999999998</v>
      </c>
      <c r="E1180" s="6">
        <v>84382.5</v>
      </c>
      <c r="F1180" s="6">
        <v>84346.3</v>
      </c>
      <c r="G1180" s="6">
        <v>84422.51</v>
      </c>
      <c r="H1180" s="6">
        <v>84322.2</v>
      </c>
      <c r="I1180" s="5">
        <v>45744</v>
      </c>
      <c r="J1180" s="7">
        <f t="shared" si="110"/>
        <v>-7.1460314638702237E-4</v>
      </c>
      <c r="K1180" s="5">
        <v>45744</v>
      </c>
      <c r="L1180" s="8">
        <f t="shared" si="108"/>
        <v>9.0353696605532008E-4</v>
      </c>
      <c r="M1180" s="5">
        <v>45744</v>
      </c>
      <c r="N1180" s="9">
        <f t="shared" si="109"/>
        <v>1.8893381966829772E-4</v>
      </c>
      <c r="O1180" s="5">
        <v>45744</v>
      </c>
      <c r="P1180">
        <f t="shared" si="111"/>
        <v>0.99881180978864526</v>
      </c>
      <c r="Q1180" s="6">
        <f t="shared" si="112"/>
        <v>1.0000200004000079</v>
      </c>
      <c r="R1180">
        <f t="shared" si="113"/>
        <v>-1.2088968690060673E-3</v>
      </c>
      <c r="T1180" s="5">
        <v>45744</v>
      </c>
      <c r="U1180" s="1">
        <v>-1.2088968690060673E-3</v>
      </c>
    </row>
    <row r="1181" spans="3:21" x14ac:dyDescent="0.2">
      <c r="C1181" s="5">
        <v>45745</v>
      </c>
      <c r="D1181" s="6">
        <v>0.99988999999999995</v>
      </c>
      <c r="E1181" s="6">
        <v>82619</v>
      </c>
      <c r="F1181" s="6">
        <v>82581.5</v>
      </c>
      <c r="G1181" s="6">
        <v>82704.61</v>
      </c>
      <c r="H1181" s="6">
        <v>82578.399999999994</v>
      </c>
      <c r="I1181" s="5">
        <v>45745</v>
      </c>
      <c r="J1181" s="7">
        <f t="shared" si="110"/>
        <v>-4.914123869812733E-4</v>
      </c>
      <c r="K1181" s="5">
        <v>45745</v>
      </c>
      <c r="L1181" s="8">
        <f t="shared" si="108"/>
        <v>1.4907697244540313E-3</v>
      </c>
      <c r="M1181" s="5">
        <v>45745</v>
      </c>
      <c r="N1181" s="9">
        <f t="shared" si="109"/>
        <v>9.9935733747275805E-4</v>
      </c>
      <c r="O1181" s="5">
        <v>45745</v>
      </c>
      <c r="P1181">
        <f t="shared" si="111"/>
        <v>0.99847396656607168</v>
      </c>
      <c r="Q1181" s="6">
        <f t="shared" si="112"/>
        <v>1.0001100121013311</v>
      </c>
      <c r="R1181">
        <f t="shared" si="113"/>
        <v>-1.6372050593478726E-3</v>
      </c>
      <c r="T1181" s="5">
        <v>45745</v>
      </c>
      <c r="U1181" s="1">
        <v>-1.6372050593478726E-3</v>
      </c>
    </row>
    <row r="1182" spans="3:21" x14ac:dyDescent="0.2">
      <c r="C1182" s="5">
        <v>45746</v>
      </c>
      <c r="D1182" s="6">
        <v>0.99990999999999997</v>
      </c>
      <c r="E1182" s="6">
        <v>82365.7</v>
      </c>
      <c r="F1182" s="6">
        <v>82338.899999999994</v>
      </c>
      <c r="G1182" s="6">
        <v>82404.61</v>
      </c>
      <c r="H1182" s="6">
        <v>82317.899999999994</v>
      </c>
      <c r="I1182" s="5">
        <v>45746</v>
      </c>
      <c r="J1182" s="7">
        <f t="shared" si="110"/>
        <v>-5.8033866038900792E-4</v>
      </c>
      <c r="K1182" s="5">
        <v>45746</v>
      </c>
      <c r="L1182" s="8">
        <f t="shared" si="108"/>
        <v>7.9804320922439347E-4</v>
      </c>
      <c r="M1182" s="5">
        <v>45746</v>
      </c>
      <c r="N1182" s="9">
        <f t="shared" si="109"/>
        <v>2.1770454883538555E-4</v>
      </c>
      <c r="O1182" s="5">
        <v>45746</v>
      </c>
      <c r="P1182">
        <f t="shared" si="111"/>
        <v>0.99894775304439876</v>
      </c>
      <c r="Q1182" s="6">
        <f t="shared" si="112"/>
        <v>1.0000900081007291</v>
      </c>
      <c r="R1182">
        <f t="shared" si="113"/>
        <v>-1.1428050063364526E-3</v>
      </c>
      <c r="T1182" s="5">
        <v>45746</v>
      </c>
      <c r="U1182" s="1">
        <v>-1.1428050063364526E-3</v>
      </c>
    </row>
    <row r="1183" spans="3:21" x14ac:dyDescent="0.2">
      <c r="C1183" s="5">
        <v>45747</v>
      </c>
      <c r="D1183" s="6">
        <v>0.99990000000000001</v>
      </c>
      <c r="E1183" s="6">
        <v>82546.8</v>
      </c>
      <c r="F1183" s="6">
        <v>82500.100000000006</v>
      </c>
      <c r="G1183" s="6">
        <v>82511.47</v>
      </c>
      <c r="H1183" s="6">
        <v>82480.399999999994</v>
      </c>
      <c r="I1183" s="5">
        <v>45747</v>
      </c>
      <c r="J1183" s="7">
        <f t="shared" si="110"/>
        <v>-8.0439217510562165E-4</v>
      </c>
      <c r="K1183" s="5">
        <v>45747</v>
      </c>
      <c r="L1183" s="8">
        <f t="shared" si="108"/>
        <v>1.3781801476598626E-4</v>
      </c>
      <c r="M1183" s="5">
        <v>45747</v>
      </c>
      <c r="N1183" s="9">
        <f t="shared" si="109"/>
        <v>-6.6657416033963541E-4</v>
      </c>
      <c r="O1183" s="5">
        <v>45747</v>
      </c>
      <c r="P1183">
        <f t="shared" si="111"/>
        <v>0.99962344629177002</v>
      </c>
      <c r="Q1183" s="6">
        <f t="shared" si="112"/>
        <v>1.000100010001</v>
      </c>
      <c r="R1183">
        <f t="shared" si="113"/>
        <v>-4.7662962271335452E-4</v>
      </c>
      <c r="T1183" s="5">
        <v>45747</v>
      </c>
      <c r="U1183" s="1">
        <v>-4.7662962271335452E-4</v>
      </c>
    </row>
    <row r="1184" spans="3:21" x14ac:dyDescent="0.2">
      <c r="C1184" s="5">
        <v>45748</v>
      </c>
      <c r="D1184" s="6">
        <v>1</v>
      </c>
      <c r="E1184" s="6">
        <v>85170.6</v>
      </c>
      <c r="F1184" s="6">
        <v>85124.1</v>
      </c>
      <c r="G1184" s="6">
        <v>85152.5</v>
      </c>
      <c r="H1184" s="6">
        <v>85118.5</v>
      </c>
      <c r="I1184" s="5">
        <v>45748</v>
      </c>
      <c r="J1184" s="7">
        <f t="shared" si="110"/>
        <v>-6.1171343163023172E-4</v>
      </c>
      <c r="K1184" s="5">
        <v>45748</v>
      </c>
      <c r="L1184" s="8">
        <f t="shared" si="108"/>
        <v>3.336305464609221E-4</v>
      </c>
      <c r="M1184" s="5">
        <v>45748</v>
      </c>
      <c r="N1184" s="9">
        <f t="shared" si="109"/>
        <v>-2.7808288516930962E-4</v>
      </c>
      <c r="O1184" s="5">
        <v>45748</v>
      </c>
      <c r="P1184">
        <f t="shared" si="111"/>
        <v>0.99960071636182146</v>
      </c>
      <c r="Q1184" s="6">
        <f t="shared" si="112"/>
        <v>1</v>
      </c>
      <c r="R1184">
        <f t="shared" si="113"/>
        <v>-3.9936337311567352E-4</v>
      </c>
      <c r="T1184" s="5">
        <v>45748</v>
      </c>
      <c r="U1184" s="1">
        <v>-3.9936337311567352E-4</v>
      </c>
    </row>
    <row r="1185" spans="3:21" x14ac:dyDescent="0.2">
      <c r="C1185" s="5">
        <v>45749</v>
      </c>
      <c r="D1185" s="6">
        <v>0.99990999999999997</v>
      </c>
      <c r="E1185" s="6">
        <v>82499.100000000006</v>
      </c>
      <c r="F1185" s="6">
        <v>82459.3</v>
      </c>
      <c r="G1185" s="6">
        <v>82525.279999999999</v>
      </c>
      <c r="H1185" s="6">
        <v>82468.800000000003</v>
      </c>
      <c r="I1185" s="5">
        <v>45749</v>
      </c>
      <c r="J1185" s="7">
        <f t="shared" si="110"/>
        <v>-3.6727673392804175E-4</v>
      </c>
      <c r="K1185" s="5">
        <v>45749</v>
      </c>
      <c r="L1185" s="8">
        <f t="shared" si="108"/>
        <v>8.0015231756752636E-4</v>
      </c>
      <c r="M1185" s="5">
        <v>45749</v>
      </c>
      <c r="N1185" s="9">
        <f t="shared" si="109"/>
        <v>4.3287558363948461E-4</v>
      </c>
      <c r="O1185" s="5">
        <v>45749</v>
      </c>
      <c r="P1185">
        <f t="shared" si="111"/>
        <v>0.99931560365502559</v>
      </c>
      <c r="Q1185" s="6">
        <f t="shared" si="112"/>
        <v>1.0000900081007291</v>
      </c>
      <c r="R1185">
        <f t="shared" si="113"/>
        <v>-7.7463470130759876E-4</v>
      </c>
      <c r="T1185" s="5">
        <v>45749</v>
      </c>
      <c r="U1185" s="1">
        <v>-7.7463470130759876E-4</v>
      </c>
    </row>
    <row r="1186" spans="3:21" x14ac:dyDescent="0.2">
      <c r="C1186" s="5">
        <v>45750</v>
      </c>
      <c r="D1186" s="6">
        <v>1</v>
      </c>
      <c r="E1186" s="6">
        <v>83175.8</v>
      </c>
      <c r="F1186" s="6">
        <v>83136.3</v>
      </c>
      <c r="G1186" s="6">
        <v>83199.13</v>
      </c>
      <c r="H1186" s="6">
        <v>83098.8</v>
      </c>
      <c r="I1186" s="5">
        <v>45750</v>
      </c>
      <c r="J1186" s="7">
        <f t="shared" si="110"/>
        <v>-9.257500378715924E-4</v>
      </c>
      <c r="K1186" s="5">
        <v>45750</v>
      </c>
      <c r="L1186" s="8">
        <f t="shared" si="108"/>
        <v>7.557468879418707E-4</v>
      </c>
      <c r="M1186" s="5">
        <v>45750</v>
      </c>
      <c r="N1186" s="9">
        <f t="shared" si="109"/>
        <v>-1.7000314992972169E-4</v>
      </c>
      <c r="O1186" s="5">
        <v>45750</v>
      </c>
      <c r="P1186">
        <f t="shared" si="111"/>
        <v>0.99879409796713015</v>
      </c>
      <c r="Q1186" s="6">
        <f t="shared" si="112"/>
        <v>1</v>
      </c>
      <c r="R1186">
        <f t="shared" si="113"/>
        <v>-1.2066297177962756E-3</v>
      </c>
      <c r="T1186" s="5">
        <v>45750</v>
      </c>
      <c r="U1186" s="1">
        <v>-1.2066297177962756E-3</v>
      </c>
    </row>
    <row r="1187" spans="3:21" x14ac:dyDescent="0.2">
      <c r="C1187" s="5">
        <v>45751</v>
      </c>
      <c r="D1187" s="6">
        <v>1</v>
      </c>
      <c r="E1187" s="6">
        <v>83856.899999999994</v>
      </c>
      <c r="F1187" s="6">
        <v>83821.100000000006</v>
      </c>
      <c r="G1187" s="6">
        <v>83828</v>
      </c>
      <c r="H1187" s="6">
        <v>83794.7</v>
      </c>
      <c r="I1187" s="5">
        <v>45751</v>
      </c>
      <c r="J1187" s="7">
        <f t="shared" si="110"/>
        <v>-7.4173979720210375E-4</v>
      </c>
      <c r="K1187" s="5">
        <v>45751</v>
      </c>
      <c r="L1187" s="8">
        <f t="shared" si="108"/>
        <v>8.2318175256518696E-5</v>
      </c>
      <c r="M1187" s="5">
        <v>45751</v>
      </c>
      <c r="N1187" s="9">
        <f t="shared" si="109"/>
        <v>-6.5942162194558508E-4</v>
      </c>
      <c r="O1187" s="5">
        <v>45751</v>
      </c>
      <c r="P1187">
        <f t="shared" si="111"/>
        <v>0.99960275802834364</v>
      </c>
      <c r="Q1187" s="6">
        <f t="shared" si="112"/>
        <v>1</v>
      </c>
      <c r="R1187">
        <f t="shared" si="113"/>
        <v>-3.9732089314969358E-4</v>
      </c>
      <c r="T1187" s="5">
        <v>45751</v>
      </c>
      <c r="U1187" s="1">
        <v>-3.9732089314969358E-4</v>
      </c>
    </row>
    <row r="1188" spans="3:21" x14ac:dyDescent="0.2">
      <c r="C1188" s="5">
        <v>45752</v>
      </c>
      <c r="D1188" s="6">
        <v>0.99999000000000005</v>
      </c>
      <c r="E1188" s="6">
        <v>83505.899999999994</v>
      </c>
      <c r="F1188" s="6">
        <v>83461.899999999994</v>
      </c>
      <c r="G1188" s="6">
        <v>83423.710000000006</v>
      </c>
      <c r="H1188" s="6">
        <v>83469.7</v>
      </c>
      <c r="I1188" s="5">
        <v>45752</v>
      </c>
      <c r="J1188" s="7">
        <f t="shared" si="110"/>
        <v>-4.3350230343002221E-4</v>
      </c>
      <c r="K1188" s="5">
        <v>45752</v>
      </c>
      <c r="L1188" s="8">
        <f t="shared" si="108"/>
        <v>-4.5757405474818784E-4</v>
      </c>
      <c r="M1188" s="5">
        <v>45752</v>
      </c>
      <c r="N1188" s="9">
        <f t="shared" si="109"/>
        <v>-8.9107635817821005E-4</v>
      </c>
      <c r="O1188" s="5">
        <v>45752</v>
      </c>
      <c r="P1188">
        <f t="shared" si="111"/>
        <v>1.0005512821235114</v>
      </c>
      <c r="Q1188" s="6">
        <f t="shared" si="112"/>
        <v>1.000010000100001</v>
      </c>
      <c r="R1188">
        <f t="shared" si="113"/>
        <v>5.4113017334530579E-4</v>
      </c>
      <c r="T1188" s="5">
        <v>45752</v>
      </c>
      <c r="U1188" s="1">
        <v>5.4113017334530579E-4</v>
      </c>
    </row>
    <row r="1189" spans="3:21" x14ac:dyDescent="0.2">
      <c r="C1189" s="5">
        <v>45753</v>
      </c>
      <c r="D1189" s="6">
        <v>0.99999000000000005</v>
      </c>
      <c r="E1189" s="6">
        <v>78357.8</v>
      </c>
      <c r="F1189" s="6">
        <v>78322.8</v>
      </c>
      <c r="G1189" s="6">
        <v>78301.149999999994</v>
      </c>
      <c r="H1189" s="6">
        <v>78305.5</v>
      </c>
      <c r="I1189" s="5">
        <v>45753</v>
      </c>
      <c r="J1189" s="7">
        <f t="shared" si="110"/>
        <v>-6.6745110250674355E-4</v>
      </c>
      <c r="K1189" s="5">
        <v>45753</v>
      </c>
      <c r="L1189" s="8">
        <f t="shared" si="108"/>
        <v>-2.7642014841155744E-4</v>
      </c>
      <c r="M1189" s="5">
        <v>45753</v>
      </c>
      <c r="N1189" s="9">
        <f t="shared" si="109"/>
        <v>-9.4387125091830099E-4</v>
      </c>
      <c r="O1189" s="5">
        <v>45753</v>
      </c>
      <c r="P1189">
        <f t="shared" si="111"/>
        <v>1.0000555547396175</v>
      </c>
      <c r="Q1189" s="6">
        <f t="shared" si="112"/>
        <v>1.000010000100001</v>
      </c>
      <c r="R1189">
        <f t="shared" si="113"/>
        <v>4.5553146509707072E-5</v>
      </c>
      <c r="T1189" s="5">
        <v>45753</v>
      </c>
      <c r="U1189" s="1">
        <v>4.5553146509707072E-5</v>
      </c>
    </row>
    <row r="1190" spans="3:21" x14ac:dyDescent="0.2">
      <c r="C1190" s="5">
        <v>45754</v>
      </c>
      <c r="D1190" s="6">
        <v>0.99994000000000005</v>
      </c>
      <c r="E1190" s="6">
        <v>79141.5</v>
      </c>
      <c r="F1190" s="6">
        <v>79096</v>
      </c>
      <c r="G1190" s="6">
        <v>79165.710000000006</v>
      </c>
      <c r="H1190" s="6">
        <v>79077.5</v>
      </c>
      <c r="I1190" s="5">
        <v>45754</v>
      </c>
      <c r="J1190" s="7">
        <f t="shared" si="110"/>
        <v>-8.0867812715199993E-4</v>
      </c>
      <c r="K1190" s="5">
        <v>45754</v>
      </c>
      <c r="L1190" s="8">
        <f t="shared" si="108"/>
        <v>8.8133407504812386E-4</v>
      </c>
      <c r="M1190" s="5">
        <v>45754</v>
      </c>
      <c r="N1190" s="9">
        <f t="shared" si="109"/>
        <v>7.2655947896123926E-5</v>
      </c>
      <c r="O1190" s="5">
        <v>45754</v>
      </c>
      <c r="P1190">
        <f t="shared" si="111"/>
        <v>0.99888575495628085</v>
      </c>
      <c r="Q1190" s="6">
        <f t="shared" si="112"/>
        <v>1.0000600036002159</v>
      </c>
      <c r="R1190">
        <f t="shared" si="113"/>
        <v>-1.1748680763127278E-3</v>
      </c>
      <c r="T1190" s="5">
        <v>45754</v>
      </c>
      <c r="U1190" s="1">
        <v>-1.1748680763127278E-3</v>
      </c>
    </row>
    <row r="1191" spans="3:21" x14ac:dyDescent="0.2">
      <c r="C1191" s="5">
        <v>45755</v>
      </c>
      <c r="D1191" s="6">
        <v>1</v>
      </c>
      <c r="E1191" s="6">
        <v>76257.600000000006</v>
      </c>
      <c r="F1191" s="6">
        <v>76232.7</v>
      </c>
      <c r="G1191" s="6">
        <v>76279.570000000007</v>
      </c>
      <c r="H1191" s="6">
        <v>76199</v>
      </c>
      <c r="I1191" s="5">
        <v>45755</v>
      </c>
      <c r="J1191" s="7">
        <f t="shared" si="110"/>
        <v>-7.684479973144423E-4</v>
      </c>
      <c r="K1191" s="5">
        <v>45755</v>
      </c>
      <c r="L1191" s="8">
        <f t="shared" si="108"/>
        <v>6.1482801999679793E-4</v>
      </c>
      <c r="M1191" s="5">
        <v>45755</v>
      </c>
      <c r="N1191" s="9">
        <f t="shared" si="109"/>
        <v>-1.5361997731764437E-4</v>
      </c>
      <c r="O1191" s="5">
        <v>45755</v>
      </c>
      <c r="P1191">
        <f t="shared" si="111"/>
        <v>0.99894375387800427</v>
      </c>
      <c r="Q1191" s="6">
        <f t="shared" si="112"/>
        <v>1</v>
      </c>
      <c r="R1191">
        <f t="shared" si="113"/>
        <v>-1.0568043430446759E-3</v>
      </c>
      <c r="T1191" s="5">
        <v>45755</v>
      </c>
      <c r="U1191" s="1">
        <v>-1.0568043430446759E-3</v>
      </c>
    </row>
    <row r="1192" spans="3:21" x14ac:dyDescent="0.2">
      <c r="C1192" s="5">
        <v>45756</v>
      </c>
      <c r="D1192" s="6">
        <v>0.99997000000000003</v>
      </c>
      <c r="E1192" s="6">
        <v>82600.100000000006</v>
      </c>
      <c r="F1192" s="6">
        <v>82561.7</v>
      </c>
      <c r="G1192" s="6">
        <v>82600.59</v>
      </c>
      <c r="H1192" s="6">
        <v>82555.3</v>
      </c>
      <c r="I1192" s="5">
        <v>45756</v>
      </c>
      <c r="J1192" s="7">
        <f t="shared" si="110"/>
        <v>-5.4237222473099797E-4</v>
      </c>
      <c r="K1192" s="5">
        <v>45756</v>
      </c>
      <c r="L1192" s="8">
        <f t="shared" si="108"/>
        <v>4.7104165733020785E-4</v>
      </c>
      <c r="M1192" s="5">
        <v>45756</v>
      </c>
      <c r="N1192" s="9">
        <f t="shared" si="109"/>
        <v>-7.1330567400790126E-5</v>
      </c>
      <c r="O1192" s="5">
        <v>45756</v>
      </c>
      <c r="P1192">
        <f t="shared" si="111"/>
        <v>0.99945169883169127</v>
      </c>
      <c r="Q1192" s="6">
        <f t="shared" si="112"/>
        <v>1.0000300009000269</v>
      </c>
      <c r="R1192">
        <f t="shared" si="113"/>
        <v>-5.7845199037183099E-4</v>
      </c>
      <c r="T1192" s="5">
        <v>45756</v>
      </c>
      <c r="U1192" s="1">
        <v>-5.7845199037183099E-4</v>
      </c>
    </row>
    <row r="1193" spans="3:21" x14ac:dyDescent="0.2">
      <c r="C1193" s="5">
        <v>45757</v>
      </c>
      <c r="D1193" s="6">
        <v>0.99995000000000001</v>
      </c>
      <c r="E1193" s="6">
        <v>79562.7</v>
      </c>
      <c r="F1193" s="6">
        <v>79520</v>
      </c>
      <c r="G1193" s="6">
        <v>79592.88</v>
      </c>
      <c r="H1193" s="6">
        <v>79510.8</v>
      </c>
      <c r="I1193" s="5">
        <v>45757</v>
      </c>
      <c r="J1193" s="7">
        <f t="shared" si="110"/>
        <v>-6.5231572080879838E-4</v>
      </c>
      <c r="K1193" s="5">
        <v>45757</v>
      </c>
      <c r="L1193" s="8">
        <f t="shared" si="108"/>
        <v>9.1649899396384121E-4</v>
      </c>
      <c r="M1193" s="5">
        <v>45757</v>
      </c>
      <c r="N1193" s="9">
        <f t="shared" si="109"/>
        <v>2.6418327315504283E-4</v>
      </c>
      <c r="O1193" s="5">
        <v>45757</v>
      </c>
      <c r="P1193">
        <f t="shared" si="111"/>
        <v>0.99896875197882018</v>
      </c>
      <c r="Q1193" s="6">
        <f t="shared" si="112"/>
        <v>1.0000500025001251</v>
      </c>
      <c r="R1193">
        <f t="shared" si="113"/>
        <v>-1.081781373313172E-3</v>
      </c>
      <c r="T1193" s="5">
        <v>45757</v>
      </c>
      <c r="U1193" s="1">
        <v>-1.081781373313172E-3</v>
      </c>
    </row>
    <row r="1194" spans="3:21" x14ac:dyDescent="0.2">
      <c r="C1194" s="5">
        <v>45758</v>
      </c>
      <c r="D1194" s="6">
        <v>0.99999000000000005</v>
      </c>
      <c r="E1194" s="6">
        <v>83369.3</v>
      </c>
      <c r="F1194" s="6">
        <v>83344</v>
      </c>
      <c r="G1194" s="6">
        <v>83370.69</v>
      </c>
      <c r="H1194" s="6">
        <v>83337.7</v>
      </c>
      <c r="I1194" s="5">
        <v>45758</v>
      </c>
      <c r="J1194" s="7">
        <f t="shared" si="110"/>
        <v>-3.7903640788642605E-4</v>
      </c>
      <c r="K1194" s="5">
        <v>45758</v>
      </c>
      <c r="L1194" s="8">
        <f t="shared" si="108"/>
        <v>3.2023900940682389E-4</v>
      </c>
      <c r="M1194" s="5">
        <v>45758</v>
      </c>
      <c r="N1194" s="9">
        <f t="shared" si="109"/>
        <v>-5.8797398479602152E-5</v>
      </c>
      <c r="O1194" s="5">
        <v>45758</v>
      </c>
      <c r="P1194">
        <f t="shared" si="111"/>
        <v>0.99960429738556789</v>
      </c>
      <c r="Q1194" s="6">
        <f t="shared" si="112"/>
        <v>1.000010000100001</v>
      </c>
      <c r="R1194">
        <f t="shared" si="113"/>
        <v>-4.0578097537117273E-4</v>
      </c>
      <c r="T1194" s="5">
        <v>45758</v>
      </c>
      <c r="U1194" s="1">
        <v>-4.0578097537117273E-4</v>
      </c>
    </row>
    <row r="1195" spans="3:21" x14ac:dyDescent="0.2">
      <c r="C1195" s="5">
        <v>45759</v>
      </c>
      <c r="D1195" s="6">
        <v>0.99990999999999997</v>
      </c>
      <c r="E1195" s="6">
        <v>85290.7</v>
      </c>
      <c r="F1195" s="6">
        <v>85228</v>
      </c>
      <c r="G1195" s="6">
        <v>85378.92</v>
      </c>
      <c r="H1195" s="6">
        <v>85227.199999999997</v>
      </c>
      <c r="I1195" s="5">
        <v>45759</v>
      </c>
      <c r="J1195" s="7">
        <f t="shared" si="110"/>
        <v>-7.445125904700044E-4</v>
      </c>
      <c r="K1195" s="5">
        <v>45759</v>
      </c>
      <c r="L1195" s="8">
        <f t="shared" si="108"/>
        <v>1.7707795560144349E-3</v>
      </c>
      <c r="M1195" s="5">
        <v>45759</v>
      </c>
      <c r="N1195" s="9">
        <f t="shared" si="109"/>
        <v>1.0262669655444305E-3</v>
      </c>
      <c r="O1195" s="5">
        <v>45759</v>
      </c>
      <c r="P1195">
        <f t="shared" si="111"/>
        <v>0.99822298056710013</v>
      </c>
      <c r="Q1195" s="6">
        <f t="shared" si="112"/>
        <v>1.0000900081007291</v>
      </c>
      <c r="R1195">
        <f t="shared" si="113"/>
        <v>-1.8686042551613621E-3</v>
      </c>
      <c r="T1195" s="5">
        <v>45759</v>
      </c>
      <c r="U1195" s="1">
        <v>-1.8686042551613621E-3</v>
      </c>
    </row>
    <row r="1196" spans="3:21" x14ac:dyDescent="0.2">
      <c r="C1196" s="5">
        <v>45760</v>
      </c>
      <c r="D1196" s="6">
        <v>0.99992999999999999</v>
      </c>
      <c r="E1196" s="6">
        <v>83731.199999999997</v>
      </c>
      <c r="F1196" s="6">
        <v>83691.3</v>
      </c>
      <c r="G1196" s="6">
        <v>83776.539999999994</v>
      </c>
      <c r="H1196" s="6">
        <v>83671.899999999994</v>
      </c>
      <c r="I1196" s="5">
        <v>45760</v>
      </c>
      <c r="J1196" s="7">
        <f t="shared" si="110"/>
        <v>-7.0821868073075403E-4</v>
      </c>
      <c r="K1196" s="5">
        <v>45760</v>
      </c>
      <c r="L1196" s="8">
        <f t="shared" si="108"/>
        <v>1.0185049103071727E-3</v>
      </c>
      <c r="M1196" s="5">
        <v>45760</v>
      </c>
      <c r="N1196" s="9">
        <f t="shared" si="109"/>
        <v>3.1028622957641864E-4</v>
      </c>
      <c r="O1196" s="5">
        <v>45760</v>
      </c>
      <c r="P1196">
        <f t="shared" si="111"/>
        <v>0.99875096297841859</v>
      </c>
      <c r="Q1196" s="6">
        <f t="shared" si="112"/>
        <v>1.000070004900343</v>
      </c>
      <c r="R1196">
        <f t="shared" si="113"/>
        <v>-1.31982016858367E-3</v>
      </c>
      <c r="T1196" s="5">
        <v>45760</v>
      </c>
      <c r="U1196" s="1">
        <v>-1.31982016858367E-3</v>
      </c>
    </row>
    <row r="1197" spans="3:21" x14ac:dyDescent="0.2">
      <c r="C1197" s="5">
        <v>45761</v>
      </c>
      <c r="D1197" s="6">
        <v>0.99992000000000003</v>
      </c>
      <c r="E1197" s="6">
        <v>84572.3</v>
      </c>
      <c r="F1197" s="6">
        <v>84538</v>
      </c>
      <c r="G1197" s="6">
        <v>84619.72</v>
      </c>
      <c r="H1197" s="6">
        <v>84507.8</v>
      </c>
      <c r="I1197" s="5">
        <v>45761</v>
      </c>
      <c r="J1197" s="7">
        <f t="shared" si="110"/>
        <v>-7.6266106041812741E-4</v>
      </c>
      <c r="K1197" s="5">
        <v>45761</v>
      </c>
      <c r="L1197" s="8">
        <f t="shared" si="108"/>
        <v>9.6666587806668199E-4</v>
      </c>
      <c r="M1197" s="5">
        <v>45761</v>
      </c>
      <c r="N1197" s="9">
        <f t="shared" si="109"/>
        <v>2.0400481764855458E-4</v>
      </c>
      <c r="O1197" s="5">
        <v>45761</v>
      </c>
      <c r="P1197">
        <f t="shared" si="111"/>
        <v>0.9986773768573094</v>
      </c>
      <c r="Q1197" s="6">
        <f t="shared" si="112"/>
        <v>1.000080006400512</v>
      </c>
      <c r="R1197">
        <f t="shared" si="113"/>
        <v>-1.4035017808515231E-3</v>
      </c>
      <c r="T1197" s="5">
        <v>45761</v>
      </c>
      <c r="U1197" s="1">
        <v>-1.4035017808515231E-3</v>
      </c>
    </row>
    <row r="1198" spans="3:21" x14ac:dyDescent="0.2">
      <c r="C1198" s="5">
        <v>45762</v>
      </c>
      <c r="D1198" s="6">
        <v>0.99990999999999997</v>
      </c>
      <c r="E1198" s="6">
        <v>83640.100000000006</v>
      </c>
      <c r="F1198" s="6">
        <v>83608.2</v>
      </c>
      <c r="G1198" s="6">
        <v>83703.210000000006</v>
      </c>
      <c r="H1198" s="6">
        <v>83618.2</v>
      </c>
      <c r="I1198" s="5">
        <v>45762</v>
      </c>
      <c r="J1198" s="7">
        <f t="shared" si="110"/>
        <v>-2.6183612884260932E-4</v>
      </c>
      <c r="K1198" s="5">
        <v>45762</v>
      </c>
      <c r="L1198" s="8">
        <f t="shared" si="108"/>
        <v>1.1363717912837416E-3</v>
      </c>
      <c r="M1198" s="5">
        <v>45762</v>
      </c>
      <c r="N1198" s="9">
        <f t="shared" si="109"/>
        <v>8.7453566244113229E-4</v>
      </c>
      <c r="O1198" s="5">
        <v>45762</v>
      </c>
      <c r="P1198">
        <f t="shared" si="111"/>
        <v>0.99898438781499532</v>
      </c>
      <c r="Q1198" s="6">
        <f t="shared" si="112"/>
        <v>1.0000900081007291</v>
      </c>
      <c r="R1198">
        <f t="shared" si="113"/>
        <v>-1.1061323187596659E-3</v>
      </c>
      <c r="T1198" s="5">
        <v>45762</v>
      </c>
      <c r="U1198" s="1">
        <v>-1.1061323187596659E-3</v>
      </c>
    </row>
    <row r="1199" spans="3:21" x14ac:dyDescent="0.2">
      <c r="C1199" s="5">
        <v>45763</v>
      </c>
      <c r="D1199" s="6">
        <v>1</v>
      </c>
      <c r="E1199" s="6">
        <v>84033.600000000006</v>
      </c>
      <c r="F1199" s="6">
        <v>84003</v>
      </c>
      <c r="G1199" s="6">
        <v>84034.71</v>
      </c>
      <c r="H1199" s="6">
        <v>83983.8</v>
      </c>
      <c r="I1199" s="5">
        <v>45763</v>
      </c>
      <c r="J1199" s="7">
        <f t="shared" si="110"/>
        <v>-5.9262009481924976E-4</v>
      </c>
      <c r="K1199" s="5">
        <v>45763</v>
      </c>
      <c r="L1199" s="8">
        <f t="shared" si="108"/>
        <v>3.7748651833870698E-4</v>
      </c>
      <c r="M1199" s="5">
        <v>45763</v>
      </c>
      <c r="N1199" s="9">
        <f t="shared" si="109"/>
        <v>-2.1513357648054277E-4</v>
      </c>
      <c r="O1199" s="5">
        <v>45763</v>
      </c>
      <c r="P1199">
        <f t="shared" si="111"/>
        <v>0.99939417890535953</v>
      </c>
      <c r="Q1199" s="6">
        <f t="shared" si="112"/>
        <v>1</v>
      </c>
      <c r="R1199">
        <f t="shared" si="113"/>
        <v>-6.0600467838950716E-4</v>
      </c>
      <c r="T1199" s="5">
        <v>45763</v>
      </c>
      <c r="U1199" s="1">
        <v>-6.0600467838950716E-4</v>
      </c>
    </row>
    <row r="1200" spans="3:21" x14ac:dyDescent="0.2">
      <c r="C1200" s="5">
        <v>45764</v>
      </c>
      <c r="D1200" s="6">
        <v>0.99997999999999998</v>
      </c>
      <c r="E1200" s="6">
        <v>84947.199999999997</v>
      </c>
      <c r="F1200" s="6">
        <v>84911.6</v>
      </c>
      <c r="G1200" s="6">
        <v>84956.87</v>
      </c>
      <c r="H1200" s="6">
        <v>84867.1</v>
      </c>
      <c r="I1200" s="5">
        <v>45764</v>
      </c>
      <c r="J1200" s="7">
        <f t="shared" si="110"/>
        <v>-9.4293867249292825E-4</v>
      </c>
      <c r="K1200" s="5">
        <v>45764</v>
      </c>
      <c r="L1200" s="8">
        <f t="shared" si="108"/>
        <v>5.3314270370584838E-4</v>
      </c>
      <c r="M1200" s="5">
        <v>45764</v>
      </c>
      <c r="N1200" s="9">
        <f t="shared" si="109"/>
        <v>-4.0979596878707987E-4</v>
      </c>
      <c r="O1200" s="5">
        <v>45764</v>
      </c>
      <c r="P1200">
        <f t="shared" si="111"/>
        <v>0.99894334619436909</v>
      </c>
      <c r="Q1200" s="6">
        <f t="shared" si="112"/>
        <v>1.0000200004000079</v>
      </c>
      <c r="R1200">
        <f t="shared" si="113"/>
        <v>-1.0772126578353345E-3</v>
      </c>
      <c r="T1200" s="5">
        <v>45764</v>
      </c>
      <c r="U1200" s="1">
        <v>-1.0772126578353345E-3</v>
      </c>
    </row>
    <row r="1201" spans="3:21" x14ac:dyDescent="0.2">
      <c r="C1201" s="5">
        <v>45765</v>
      </c>
      <c r="D1201" s="6">
        <v>0.99992999999999999</v>
      </c>
      <c r="E1201" s="6">
        <v>84463.8</v>
      </c>
      <c r="F1201" s="6">
        <v>84416</v>
      </c>
      <c r="G1201" s="6">
        <v>84518.67</v>
      </c>
      <c r="H1201" s="6">
        <v>84425.9</v>
      </c>
      <c r="I1201" s="5">
        <v>45765</v>
      </c>
      <c r="J1201" s="7">
        <f t="shared" si="110"/>
        <v>-4.4871293974470402E-4</v>
      </c>
      <c r="K1201" s="5">
        <v>45765</v>
      </c>
      <c r="L1201" s="8">
        <f t="shared" si="108"/>
        <v>1.2162386277482734E-3</v>
      </c>
      <c r="M1201" s="5">
        <v>45765</v>
      </c>
      <c r="N1201" s="9">
        <f t="shared" si="109"/>
        <v>7.6752568800356939E-4</v>
      </c>
      <c r="O1201" s="5">
        <v>45765</v>
      </c>
      <c r="P1201">
        <f t="shared" si="111"/>
        <v>0.99890237269469573</v>
      </c>
      <c r="Q1201" s="6">
        <f t="shared" si="112"/>
        <v>1.000070004900343</v>
      </c>
      <c r="R1201">
        <f t="shared" si="113"/>
        <v>-1.1682325894344177E-3</v>
      </c>
      <c r="T1201" s="5">
        <v>45765</v>
      </c>
      <c r="U1201" s="1">
        <v>-1.1682325894344177E-3</v>
      </c>
    </row>
    <row r="1202" spans="3:21" x14ac:dyDescent="0.2">
      <c r="C1202" s="5">
        <v>45766</v>
      </c>
      <c r="D1202" s="6">
        <v>0.99994000000000005</v>
      </c>
      <c r="E1202" s="6">
        <v>85082.3</v>
      </c>
      <c r="F1202" s="6">
        <v>85028.1</v>
      </c>
      <c r="G1202" s="6">
        <v>85033.07</v>
      </c>
      <c r="H1202" s="6">
        <v>85031</v>
      </c>
      <c r="I1202" s="5">
        <v>45766</v>
      </c>
      <c r="J1202" s="7">
        <f t="shared" si="110"/>
        <v>-6.0294561853643954E-4</v>
      </c>
      <c r="K1202" s="5">
        <v>45766</v>
      </c>
      <c r="L1202" s="8">
        <f t="shared" si="108"/>
        <v>5.845126493478231E-5</v>
      </c>
      <c r="M1202" s="5">
        <v>45766</v>
      </c>
      <c r="N1202" s="9">
        <f t="shared" si="109"/>
        <v>-5.4449435360165725E-4</v>
      </c>
      <c r="O1202" s="5">
        <v>45766</v>
      </c>
      <c r="P1202">
        <f t="shared" si="111"/>
        <v>0.99997565652986531</v>
      </c>
      <c r="Q1202" s="6">
        <f t="shared" si="112"/>
        <v>1.0000600036002159</v>
      </c>
      <c r="R1202">
        <f t="shared" si="113"/>
        <v>-8.4345566513628373E-5</v>
      </c>
      <c r="T1202" s="5">
        <v>45766</v>
      </c>
      <c r="U1202" s="1">
        <v>-8.4345566513628373E-5</v>
      </c>
    </row>
    <row r="1203" spans="3:21" x14ac:dyDescent="0.2">
      <c r="C1203" s="5">
        <v>45767</v>
      </c>
      <c r="D1203" s="6">
        <v>0.99999000000000005</v>
      </c>
      <c r="E1203" s="6">
        <v>85186.1</v>
      </c>
      <c r="F1203" s="6">
        <v>85141</v>
      </c>
      <c r="G1203" s="6">
        <v>85224.26</v>
      </c>
      <c r="H1203" s="6">
        <v>85147.9</v>
      </c>
      <c r="I1203" s="5">
        <v>45767</v>
      </c>
      <c r="J1203" s="7">
        <f t="shared" si="110"/>
        <v>-4.4842996686092728E-4</v>
      </c>
      <c r="K1203" s="5">
        <v>45767</v>
      </c>
      <c r="L1203" s="8">
        <f t="shared" si="108"/>
        <v>9.779072362316012E-4</v>
      </c>
      <c r="M1203" s="5">
        <v>45767</v>
      </c>
      <c r="N1203" s="9">
        <f t="shared" si="109"/>
        <v>5.2947726937067397E-4</v>
      </c>
      <c r="O1203" s="5">
        <v>45767</v>
      </c>
      <c r="P1203">
        <f t="shared" si="111"/>
        <v>0.99910401099405255</v>
      </c>
      <c r="Q1203" s="6">
        <f t="shared" si="112"/>
        <v>1.000010000100001</v>
      </c>
      <c r="R1203">
        <f t="shared" si="113"/>
        <v>-9.0639069402392381E-4</v>
      </c>
      <c r="T1203" s="5">
        <v>45767</v>
      </c>
      <c r="U1203" s="1">
        <v>-9.0639069402392381E-4</v>
      </c>
    </row>
    <row r="1204" spans="3:21" x14ac:dyDescent="0.2">
      <c r="C1204" s="5">
        <v>45768</v>
      </c>
      <c r="D1204" s="6">
        <v>0.99995999999999996</v>
      </c>
      <c r="E1204" s="6">
        <v>87520.5</v>
      </c>
      <c r="F1204" s="6">
        <v>87469.1</v>
      </c>
      <c r="G1204" s="6">
        <v>87508.46</v>
      </c>
      <c r="H1204" s="6">
        <v>87466.3</v>
      </c>
      <c r="I1204" s="5">
        <v>45768</v>
      </c>
      <c r="J1204" s="7">
        <f t="shared" si="110"/>
        <v>-6.1928348215557598E-4</v>
      </c>
      <c r="K1204" s="5">
        <v>45768</v>
      </c>
      <c r="L1204" s="8">
        <f t="shared" si="108"/>
        <v>4.4998748129340053E-4</v>
      </c>
      <c r="M1204" s="5">
        <v>45768</v>
      </c>
      <c r="N1204" s="9">
        <f t="shared" si="109"/>
        <v>-1.6929600086217544E-4</v>
      </c>
      <c r="O1204" s="5">
        <v>45768</v>
      </c>
      <c r="P1204">
        <f t="shared" si="111"/>
        <v>0.99951821801000729</v>
      </c>
      <c r="Q1204" s="6">
        <f t="shared" si="112"/>
        <v>1.0000400016000641</v>
      </c>
      <c r="R1204">
        <f t="shared" si="113"/>
        <v>-5.2189888424662668E-4</v>
      </c>
      <c r="T1204" s="5">
        <v>45768</v>
      </c>
      <c r="U1204" s="1">
        <v>-5.2189888424662668E-4</v>
      </c>
    </row>
    <row r="1205" spans="3:21" x14ac:dyDescent="0.2">
      <c r="C1205" s="5">
        <v>45769</v>
      </c>
      <c r="D1205" s="6">
        <v>1.0000500000000001</v>
      </c>
      <c r="E1205" s="6">
        <v>93483.4</v>
      </c>
      <c r="F1205" s="6">
        <v>93463.1</v>
      </c>
      <c r="G1205" s="6">
        <v>93373.52</v>
      </c>
      <c r="H1205" s="6">
        <v>93408</v>
      </c>
      <c r="I1205" s="5">
        <v>45769</v>
      </c>
      <c r="J1205" s="7">
        <f t="shared" si="110"/>
        <v>-8.0656030910294431E-4</v>
      </c>
      <c r="K1205" s="5">
        <v>45769</v>
      </c>
      <c r="L1205" s="8">
        <f t="shared" si="108"/>
        <v>-9.5845312214127014E-4</v>
      </c>
      <c r="M1205" s="5">
        <v>45769</v>
      </c>
      <c r="N1205" s="9">
        <f t="shared" si="109"/>
        <v>-1.7650134312442146E-3</v>
      </c>
      <c r="O1205" s="5">
        <v>45769</v>
      </c>
      <c r="P1205">
        <f t="shared" si="111"/>
        <v>1.0003692695745003</v>
      </c>
      <c r="Q1205" s="6">
        <f t="shared" si="112"/>
        <v>0.99995000249987487</v>
      </c>
      <c r="R1205">
        <f t="shared" si="113"/>
        <v>4.192001613126954E-4</v>
      </c>
      <c r="T1205" s="5">
        <v>45769</v>
      </c>
      <c r="U1205" s="1">
        <v>4.192001613126954E-4</v>
      </c>
    </row>
    <row r="1206" spans="3:21" x14ac:dyDescent="0.2">
      <c r="C1206" s="5">
        <v>45770</v>
      </c>
      <c r="D1206" s="6">
        <v>0.99997000000000003</v>
      </c>
      <c r="E1206" s="6">
        <v>93730.2</v>
      </c>
      <c r="F1206" s="6">
        <v>93684.1</v>
      </c>
      <c r="G1206" s="6">
        <v>93749.45</v>
      </c>
      <c r="H1206" s="6">
        <v>93671.1</v>
      </c>
      <c r="I1206" s="5">
        <v>45770</v>
      </c>
      <c r="J1206" s="7">
        <f t="shared" si="110"/>
        <v>-6.3053316860511627E-4</v>
      </c>
      <c r="K1206" s="5">
        <v>45770</v>
      </c>
      <c r="L1206" s="8">
        <f t="shared" si="108"/>
        <v>6.9755700273569645E-4</v>
      </c>
      <c r="M1206" s="5">
        <v>45770</v>
      </c>
      <c r="N1206" s="9">
        <f t="shared" si="109"/>
        <v>6.7023834130580185E-5</v>
      </c>
      <c r="O1206" s="5">
        <v>45770</v>
      </c>
      <c r="P1206">
        <f t="shared" si="111"/>
        <v>0.99916426176366913</v>
      </c>
      <c r="Q1206" s="6">
        <f t="shared" si="112"/>
        <v>1.0000300009000269</v>
      </c>
      <c r="R1206">
        <f t="shared" si="113"/>
        <v>-8.6608811023780813E-4</v>
      </c>
      <c r="T1206" s="5">
        <v>45770</v>
      </c>
      <c r="U1206" s="1">
        <v>-8.6608811023780813E-4</v>
      </c>
    </row>
    <row r="1207" spans="3:21" x14ac:dyDescent="0.2">
      <c r="C1207" s="5">
        <v>45771</v>
      </c>
      <c r="D1207" s="6">
        <v>0.99992999999999999</v>
      </c>
      <c r="E1207" s="6">
        <v>94027.1</v>
      </c>
      <c r="F1207" s="6">
        <v>93984</v>
      </c>
      <c r="G1207" s="6">
        <v>94009.82</v>
      </c>
      <c r="H1207" s="6">
        <v>93966.8</v>
      </c>
      <c r="I1207" s="5">
        <v>45771</v>
      </c>
      <c r="J1207" s="7">
        <f t="shared" si="110"/>
        <v>-6.413044749864976E-4</v>
      </c>
      <c r="K1207" s="5">
        <v>45771</v>
      </c>
      <c r="L1207" s="8">
        <f t="shared" si="108"/>
        <v>2.7472761321083362E-4</v>
      </c>
      <c r="M1207" s="5">
        <v>45771</v>
      </c>
      <c r="N1207" s="9">
        <f t="shared" si="109"/>
        <v>-3.6657686177566398E-4</v>
      </c>
      <c r="O1207" s="5">
        <v>45771</v>
      </c>
      <c r="P1207">
        <f t="shared" si="111"/>
        <v>0.9995423882313571</v>
      </c>
      <c r="Q1207" s="6">
        <f t="shared" si="112"/>
        <v>1.000070004900343</v>
      </c>
      <c r="R1207">
        <f t="shared" si="113"/>
        <v>-5.2771895497618682E-4</v>
      </c>
      <c r="T1207" s="5">
        <v>45771</v>
      </c>
      <c r="U1207" s="1">
        <v>-5.2771895497618682E-4</v>
      </c>
    </row>
    <row r="1208" spans="3:21" x14ac:dyDescent="0.2">
      <c r="C1208" s="5">
        <v>45772</v>
      </c>
      <c r="D1208" s="6">
        <v>0.99999000000000005</v>
      </c>
      <c r="E1208" s="6">
        <v>94707.4</v>
      </c>
      <c r="F1208" s="6">
        <v>94675</v>
      </c>
      <c r="G1208" s="6">
        <v>94776.67</v>
      </c>
      <c r="H1208" s="6">
        <v>94672.6</v>
      </c>
      <c r="I1208" s="5">
        <v>45772</v>
      </c>
      <c r="J1208" s="7">
        <f t="shared" si="110"/>
        <v>-3.6744752785936854E-4</v>
      </c>
      <c r="K1208" s="5">
        <v>45772</v>
      </c>
      <c r="L1208" s="8">
        <f t="shared" si="108"/>
        <v>1.0738843411671323E-3</v>
      </c>
      <c r="M1208" s="5">
        <v>45772</v>
      </c>
      <c r="N1208" s="9">
        <f t="shared" si="109"/>
        <v>7.0643681330776376E-4</v>
      </c>
      <c r="O1208" s="5">
        <v>45772</v>
      </c>
      <c r="P1208">
        <f t="shared" si="111"/>
        <v>0.99890194496177176</v>
      </c>
      <c r="Q1208" s="6">
        <f t="shared" si="112"/>
        <v>1.000010000100001</v>
      </c>
      <c r="R1208">
        <f t="shared" si="113"/>
        <v>-1.1086583923432263E-3</v>
      </c>
      <c r="T1208" s="5">
        <v>45772</v>
      </c>
      <c r="U1208" s="1">
        <v>-1.1086583923432263E-3</v>
      </c>
    </row>
    <row r="1209" spans="3:21" x14ac:dyDescent="0.2">
      <c r="C1209" s="5">
        <v>45773</v>
      </c>
      <c r="D1209" s="6">
        <v>0.99999000000000005</v>
      </c>
      <c r="E1209" s="6">
        <v>94671.7</v>
      </c>
      <c r="F1209" s="6">
        <v>94612.1</v>
      </c>
      <c r="G1209" s="6">
        <v>94735.47</v>
      </c>
      <c r="H1209" s="6">
        <v>94592.7</v>
      </c>
      <c r="I1209" s="5">
        <v>45773</v>
      </c>
      <c r="J1209" s="7">
        <f t="shared" si="110"/>
        <v>-8.3446267469581724E-4</v>
      </c>
      <c r="K1209" s="5">
        <v>45773</v>
      </c>
      <c r="L1209" s="8">
        <f t="shared" si="108"/>
        <v>1.3039558365155761E-3</v>
      </c>
      <c r="M1209" s="5">
        <v>45773</v>
      </c>
      <c r="N1209" s="9">
        <f t="shared" si="109"/>
        <v>4.6949316181975885E-4</v>
      </c>
      <c r="O1209" s="5">
        <v>45773</v>
      </c>
      <c r="P1209">
        <f t="shared" si="111"/>
        <v>0.99849296150639233</v>
      </c>
      <c r="Q1209" s="6">
        <f t="shared" si="112"/>
        <v>1.000010000100001</v>
      </c>
      <c r="R1209">
        <f t="shared" si="113"/>
        <v>-1.5181752683207041E-3</v>
      </c>
      <c r="T1209" s="5">
        <v>45773</v>
      </c>
      <c r="U1209" s="1">
        <v>-1.5181752683207041E-3</v>
      </c>
    </row>
    <row r="1210" spans="3:21" x14ac:dyDescent="0.2">
      <c r="C1210" s="5">
        <v>45774</v>
      </c>
      <c r="D1210" s="6">
        <v>0.99995000000000001</v>
      </c>
      <c r="E1210" s="6">
        <v>93772.3</v>
      </c>
      <c r="F1210" s="6">
        <v>93722.4</v>
      </c>
      <c r="G1210" s="6">
        <v>93803.9</v>
      </c>
      <c r="H1210" s="6">
        <v>93716.5</v>
      </c>
      <c r="I1210" s="5">
        <v>45774</v>
      </c>
      <c r="J1210" s="7">
        <f t="shared" si="110"/>
        <v>-5.950584554287664E-4</v>
      </c>
      <c r="K1210" s="5">
        <v>45774</v>
      </c>
      <c r="L1210" s="8">
        <f t="shared" si="108"/>
        <v>8.6958934043515753E-4</v>
      </c>
      <c r="M1210" s="5">
        <v>45774</v>
      </c>
      <c r="N1210" s="9">
        <f t="shared" si="109"/>
        <v>2.7453088500639113E-4</v>
      </c>
      <c r="O1210" s="5">
        <v>45774</v>
      </c>
      <c r="P1210">
        <f t="shared" si="111"/>
        <v>0.99906826901653345</v>
      </c>
      <c r="Q1210" s="6">
        <f t="shared" si="112"/>
        <v>1.0000500025001251</v>
      </c>
      <c r="R1210">
        <f t="shared" si="113"/>
        <v>-9.8216656462856463E-4</v>
      </c>
      <c r="T1210" s="5">
        <v>45774</v>
      </c>
      <c r="U1210" s="1">
        <v>-9.8216656462856463E-4</v>
      </c>
    </row>
    <row r="1211" spans="3:21" x14ac:dyDescent="0.2">
      <c r="C1211" s="5">
        <v>45775</v>
      </c>
      <c r="D1211" s="6">
        <v>0.99995000000000001</v>
      </c>
      <c r="E1211" s="6">
        <v>95034.1</v>
      </c>
      <c r="F1211" s="6">
        <v>94977.4</v>
      </c>
      <c r="G1211" s="6">
        <v>95002.96</v>
      </c>
      <c r="H1211" s="6">
        <v>94971.199999999997</v>
      </c>
      <c r="I1211" s="5">
        <v>45775</v>
      </c>
      <c r="J1211" s="7">
        <f t="shared" si="110"/>
        <v>-6.6186768749331793E-4</v>
      </c>
      <c r="K1211" s="5">
        <v>45775</v>
      </c>
      <c r="L1211" s="8">
        <f t="shared" si="108"/>
        <v>2.6911665301442472E-4</v>
      </c>
      <c r="M1211" s="5">
        <v>45775</v>
      </c>
      <c r="N1211" s="9">
        <f t="shared" si="109"/>
        <v>-3.927510344788932E-4</v>
      </c>
      <c r="O1211" s="5">
        <v>45775</v>
      </c>
      <c r="P1211">
        <f t="shared" si="111"/>
        <v>0.9996656946267779</v>
      </c>
      <c r="Q1211" s="6">
        <f t="shared" si="112"/>
        <v>1.0000500025001251</v>
      </c>
      <c r="R1211">
        <f t="shared" si="113"/>
        <v>-3.8436251576221393E-4</v>
      </c>
      <c r="T1211" s="5">
        <v>45775</v>
      </c>
      <c r="U1211" s="1">
        <v>-3.8436251576221393E-4</v>
      </c>
    </row>
    <row r="1212" spans="3:21" x14ac:dyDescent="0.2">
      <c r="C1212" s="5">
        <v>45776</v>
      </c>
      <c r="D1212" s="6">
        <v>0.99992000000000003</v>
      </c>
      <c r="E1212" s="6">
        <v>94279.1</v>
      </c>
      <c r="F1212" s="6">
        <v>94238.1</v>
      </c>
      <c r="G1212" s="6">
        <v>94342.46</v>
      </c>
      <c r="H1212" s="6">
        <v>94216.2</v>
      </c>
      <c r="I1212" s="5">
        <v>45776</v>
      </c>
      <c r="J1212" s="7">
        <f t="shared" si="110"/>
        <v>-6.6716801496841539E-4</v>
      </c>
      <c r="K1212" s="5">
        <v>45776</v>
      </c>
      <c r="L1212" s="8">
        <f t="shared" si="108"/>
        <v>1.1074077257499947E-3</v>
      </c>
      <c r="M1212" s="5">
        <v>45776</v>
      </c>
      <c r="N1212" s="9">
        <f t="shared" si="109"/>
        <v>4.4023971078157936E-4</v>
      </c>
      <c r="O1212" s="5">
        <v>45776</v>
      </c>
      <c r="P1212">
        <f t="shared" si="111"/>
        <v>0.9986616842511844</v>
      </c>
      <c r="Q1212" s="6">
        <f t="shared" si="112"/>
        <v>1.000080006400512</v>
      </c>
      <c r="R1212">
        <f t="shared" si="113"/>
        <v>-1.4192152933250077E-3</v>
      </c>
      <c r="T1212" s="5">
        <v>45776</v>
      </c>
      <c r="U1212" s="1">
        <v>-1.4192152933250077E-3</v>
      </c>
    </row>
    <row r="1213" spans="3:21" x14ac:dyDescent="0.2">
      <c r="C1213" s="5">
        <v>45777</v>
      </c>
      <c r="D1213" s="6">
        <v>1.00004</v>
      </c>
      <c r="E1213" s="6">
        <v>94193.1</v>
      </c>
      <c r="F1213" s="6">
        <v>94133.6</v>
      </c>
      <c r="G1213" s="6">
        <v>94155.08</v>
      </c>
      <c r="H1213" s="6">
        <v>94133</v>
      </c>
      <c r="I1213" s="5">
        <v>45777</v>
      </c>
      <c r="J1213" s="7">
        <f t="shared" si="110"/>
        <v>-6.3805098250302645E-4</v>
      </c>
      <c r="K1213" s="5">
        <v>45777</v>
      </c>
      <c r="L1213" s="8">
        <f t="shared" si="108"/>
        <v>2.281863224183068E-4</v>
      </c>
      <c r="M1213" s="5">
        <v>45777</v>
      </c>
      <c r="N1213" s="9">
        <f t="shared" si="109"/>
        <v>-4.0986466008471965E-4</v>
      </c>
      <c r="O1213" s="5">
        <v>45777</v>
      </c>
      <c r="P1213">
        <f t="shared" si="111"/>
        <v>0.99976549326918951</v>
      </c>
      <c r="Q1213" s="6">
        <f t="shared" si="112"/>
        <v>0.99996000159993592</v>
      </c>
      <c r="R1213">
        <f t="shared" si="113"/>
        <v>-1.9453503179204241E-4</v>
      </c>
      <c r="T1213" s="5">
        <v>45777</v>
      </c>
      <c r="U1213" s="1">
        <v>-1.9453503179204241E-4</v>
      </c>
    </row>
    <row r="1214" spans="3:21" x14ac:dyDescent="0.2">
      <c r="C1214" s="5">
        <v>45778</v>
      </c>
      <c r="D1214" s="6">
        <v>0.99992000000000003</v>
      </c>
      <c r="E1214" s="6">
        <v>96521.2</v>
      </c>
      <c r="F1214" s="6">
        <v>96474.2</v>
      </c>
      <c r="G1214" s="6">
        <v>96458.59</v>
      </c>
      <c r="H1214" s="6">
        <v>96476.4</v>
      </c>
      <c r="I1214" s="5">
        <v>45778</v>
      </c>
      <c r="J1214" s="7">
        <f t="shared" si="110"/>
        <v>-4.6414673667549629E-4</v>
      </c>
      <c r="K1214" s="5">
        <v>45778</v>
      </c>
      <c r="L1214" s="8">
        <f t="shared" si="108"/>
        <v>-1.6180491779149849E-4</v>
      </c>
      <c r="M1214" s="5">
        <v>45778</v>
      </c>
      <c r="N1214" s="9">
        <f t="shared" si="109"/>
        <v>-6.2595165446699473E-4</v>
      </c>
      <c r="O1214" s="5">
        <v>45778</v>
      </c>
      <c r="P1214">
        <f t="shared" si="111"/>
        <v>1.0001846388175486</v>
      </c>
      <c r="Q1214" s="6">
        <f t="shared" si="112"/>
        <v>1.000080006400512</v>
      </c>
      <c r="R1214">
        <f t="shared" si="113"/>
        <v>1.0461857372945916E-4</v>
      </c>
      <c r="T1214" s="5">
        <v>45778</v>
      </c>
      <c r="U1214" s="1">
        <v>1.0461857372945916E-4</v>
      </c>
    </row>
    <row r="1215" spans="3:21" x14ac:dyDescent="0.2">
      <c r="C1215" s="5">
        <v>45779</v>
      </c>
      <c r="D1215" s="6">
        <v>0.99994000000000005</v>
      </c>
      <c r="E1215" s="6">
        <v>96926.1</v>
      </c>
      <c r="F1215" s="6">
        <v>96880</v>
      </c>
      <c r="G1215" s="6">
        <v>96939.18</v>
      </c>
      <c r="H1215" s="6">
        <v>96877.4</v>
      </c>
      <c r="I1215" s="5">
        <v>45779</v>
      </c>
      <c r="J1215" s="7">
        <f t="shared" si="110"/>
        <v>-5.0244464597267032E-4</v>
      </c>
      <c r="K1215" s="5">
        <v>45779</v>
      </c>
      <c r="L1215" s="8">
        <f t="shared" si="108"/>
        <v>6.1085879438473381E-4</v>
      </c>
      <c r="M1215" s="5">
        <v>45779</v>
      </c>
      <c r="N1215" s="9">
        <f t="shared" si="109"/>
        <v>1.0841414841206349E-4</v>
      </c>
      <c r="O1215" s="5">
        <v>45779</v>
      </c>
      <c r="P1215">
        <f t="shared" si="111"/>
        <v>0.99936269318556226</v>
      </c>
      <c r="Q1215" s="6">
        <f t="shared" si="112"/>
        <v>1.0000600036002159</v>
      </c>
      <c r="R1215">
        <f t="shared" si="113"/>
        <v>-6.9751178082153422E-4</v>
      </c>
      <c r="T1215" s="5">
        <v>45779</v>
      </c>
      <c r="U1215" s="1">
        <v>-6.9751178082153422E-4</v>
      </c>
    </row>
    <row r="1216" spans="3:21" x14ac:dyDescent="0.2">
      <c r="C1216" s="5">
        <v>45780</v>
      </c>
      <c r="D1216" s="6">
        <v>0.99995999999999996</v>
      </c>
      <c r="E1216" s="6">
        <v>95880.4</v>
      </c>
      <c r="F1216" s="6">
        <v>95855.4</v>
      </c>
      <c r="G1216" s="6">
        <v>95988.34</v>
      </c>
      <c r="H1216" s="6">
        <v>95847.9</v>
      </c>
      <c r="I1216" s="5">
        <v>45780</v>
      </c>
      <c r="J1216" s="7">
        <f t="shared" si="110"/>
        <v>-3.3896395926591883E-4</v>
      </c>
      <c r="K1216" s="5">
        <v>45780</v>
      </c>
      <c r="L1216" s="8">
        <f t="shared" si="108"/>
        <v>1.3868806556542703E-3</v>
      </c>
      <c r="M1216" s="5">
        <v>45780</v>
      </c>
      <c r="N1216" s="9">
        <f t="shared" si="109"/>
        <v>1.0479166963883514E-3</v>
      </c>
      <c r="O1216" s="5">
        <v>45780</v>
      </c>
      <c r="P1216">
        <f t="shared" si="111"/>
        <v>0.99853690562832931</v>
      </c>
      <c r="Q1216" s="6">
        <f t="shared" si="112"/>
        <v>1.0000400016000641</v>
      </c>
      <c r="R1216">
        <f t="shared" si="113"/>
        <v>-1.5041665393978659E-3</v>
      </c>
      <c r="T1216" s="5">
        <v>45780</v>
      </c>
      <c r="U1216" s="1">
        <v>-1.5041665393978659E-3</v>
      </c>
    </row>
    <row r="1217" spans="3:21" x14ac:dyDescent="0.2">
      <c r="C1217" s="5">
        <v>45781</v>
      </c>
      <c r="D1217" s="6">
        <v>0.99997999999999998</v>
      </c>
      <c r="E1217" s="6">
        <v>94288.3</v>
      </c>
      <c r="F1217" s="6">
        <v>94243</v>
      </c>
      <c r="G1217" s="6">
        <v>94390.62</v>
      </c>
      <c r="H1217" s="6">
        <v>94251.3</v>
      </c>
      <c r="I1217" s="5">
        <v>45781</v>
      </c>
      <c r="J1217" s="7">
        <f t="shared" si="110"/>
        <v>-3.924134807818149E-4</v>
      </c>
      <c r="K1217" s="5">
        <v>45781</v>
      </c>
      <c r="L1217" s="8">
        <f t="shared" si="108"/>
        <v>1.5663762825885779E-3</v>
      </c>
      <c r="M1217" s="5">
        <v>45781</v>
      </c>
      <c r="N1217" s="9">
        <f t="shared" si="109"/>
        <v>1.1739628018067631E-3</v>
      </c>
      <c r="O1217" s="5">
        <v>45781</v>
      </c>
      <c r="P1217">
        <f t="shared" si="111"/>
        <v>0.99852400588109291</v>
      </c>
      <c r="Q1217" s="6">
        <f t="shared" si="112"/>
        <v>1.0000200004000079</v>
      </c>
      <c r="R1217">
        <f t="shared" si="113"/>
        <v>-1.4970846712637604E-3</v>
      </c>
      <c r="T1217" s="5">
        <v>45781</v>
      </c>
      <c r="U1217" s="1">
        <v>-1.4970846712637604E-3</v>
      </c>
    </row>
    <row r="1218" spans="3:21" x14ac:dyDescent="0.2">
      <c r="C1218" s="5">
        <v>45782</v>
      </c>
      <c r="D1218" s="6">
        <v>0.99997999999999998</v>
      </c>
      <c r="E1218" s="6">
        <v>94729.8</v>
      </c>
      <c r="F1218" s="6">
        <v>94690</v>
      </c>
      <c r="G1218" s="6">
        <v>94770.64</v>
      </c>
      <c r="H1218" s="6">
        <v>94684.3</v>
      </c>
      <c r="I1218" s="5">
        <v>45782</v>
      </c>
      <c r="J1218" s="7">
        <f t="shared" si="110"/>
        <v>-4.8031348107987137E-4</v>
      </c>
      <c r="K1218" s="5">
        <v>45782</v>
      </c>
      <c r="L1218" s="8">
        <f t="shared" si="108"/>
        <v>8.5162107931143123E-4</v>
      </c>
      <c r="M1218" s="5">
        <v>45782</v>
      </c>
      <c r="N1218" s="9">
        <f t="shared" si="109"/>
        <v>3.7130759823155986E-4</v>
      </c>
      <c r="O1218" s="5">
        <v>45782</v>
      </c>
      <c r="P1218">
        <f t="shared" si="111"/>
        <v>0.99908895835250244</v>
      </c>
      <c r="Q1218" s="6">
        <f t="shared" si="112"/>
        <v>1.0000200004000079</v>
      </c>
      <c r="R1218">
        <f t="shared" si="113"/>
        <v>-9.3145709816812511E-4</v>
      </c>
      <c r="T1218" s="5">
        <v>45782</v>
      </c>
      <c r="U1218" s="1">
        <v>-9.3145709816812511E-4</v>
      </c>
    </row>
    <row r="1219" spans="3:21" x14ac:dyDescent="0.2">
      <c r="C1219" s="5">
        <v>45783</v>
      </c>
      <c r="D1219" s="6">
        <v>0.99997000000000003</v>
      </c>
      <c r="E1219" s="6">
        <v>96830</v>
      </c>
      <c r="F1219" s="6">
        <v>96786.1</v>
      </c>
      <c r="G1219" s="6">
        <v>96845.34</v>
      </c>
      <c r="H1219" s="6">
        <v>96760.8</v>
      </c>
      <c r="I1219" s="5">
        <v>45783</v>
      </c>
      <c r="J1219" s="7">
        <f t="shared" si="110"/>
        <v>-7.1465454920992548E-4</v>
      </c>
      <c r="K1219" s="5">
        <v>45783</v>
      </c>
      <c r="L1219" s="8">
        <f t="shared" si="108"/>
        <v>6.1207136148672884E-4</v>
      </c>
      <c r="M1219" s="5">
        <v>45783</v>
      </c>
      <c r="N1219" s="9">
        <f t="shared" si="109"/>
        <v>-1.0258318772319664E-4</v>
      </c>
      <c r="O1219" s="5">
        <v>45783</v>
      </c>
      <c r="P1219">
        <f t="shared" si="111"/>
        <v>0.99912706176673038</v>
      </c>
      <c r="Q1219" s="6">
        <f t="shared" si="112"/>
        <v>1.0000300009000269</v>
      </c>
      <c r="R1219">
        <f t="shared" si="113"/>
        <v>-9.0331991573578351E-4</v>
      </c>
      <c r="T1219" s="5">
        <v>45783</v>
      </c>
      <c r="U1219" s="1">
        <v>-9.0331991573578351E-4</v>
      </c>
    </row>
    <row r="1220" spans="3:21" x14ac:dyDescent="0.2">
      <c r="C1220" s="5">
        <v>45784</v>
      </c>
      <c r="D1220" s="6">
        <v>0.99995999999999996</v>
      </c>
      <c r="E1220" s="6">
        <v>97049.3</v>
      </c>
      <c r="F1220" s="6">
        <v>97006.1</v>
      </c>
      <c r="G1220" s="6">
        <v>97005.42</v>
      </c>
      <c r="H1220" s="6">
        <v>96998.9</v>
      </c>
      <c r="I1220" s="5">
        <v>45784</v>
      </c>
      <c r="J1220" s="7">
        <f t="shared" si="110"/>
        <v>-5.1932368394216888E-4</v>
      </c>
      <c r="K1220" s="5">
        <v>45784</v>
      </c>
      <c r="L1220" s="8">
        <f t="shared" si="108"/>
        <v>-7.0098684516496069E-6</v>
      </c>
      <c r="M1220" s="5">
        <v>45784</v>
      </c>
      <c r="N1220" s="9">
        <f t="shared" si="109"/>
        <v>-5.2633355239381843E-4</v>
      </c>
      <c r="O1220" s="5">
        <v>45784</v>
      </c>
      <c r="P1220">
        <f t="shared" si="111"/>
        <v>0.99993278726075308</v>
      </c>
      <c r="Q1220" s="6">
        <f t="shared" si="112"/>
        <v>1.0000400016000641</v>
      </c>
      <c r="R1220">
        <f t="shared" si="113"/>
        <v>-1.0721579814571835E-4</v>
      </c>
      <c r="T1220" s="5">
        <v>45784</v>
      </c>
      <c r="U1220" s="1">
        <v>-1.0721579814571835E-4</v>
      </c>
    </row>
    <row r="1221" spans="3:21" x14ac:dyDescent="0.2">
      <c r="C1221" s="5">
        <v>45785</v>
      </c>
      <c r="D1221" s="6">
        <v>0.99987000000000004</v>
      </c>
      <c r="E1221" s="6">
        <v>103258.6</v>
      </c>
      <c r="F1221" s="6">
        <v>103231.2</v>
      </c>
      <c r="G1221" s="6">
        <v>103093.95</v>
      </c>
      <c r="H1221" s="6">
        <v>103231.9</v>
      </c>
      <c r="I1221" s="5">
        <v>45785</v>
      </c>
      <c r="J1221" s="7">
        <f t="shared" si="110"/>
        <v>-2.585741042393722E-4</v>
      </c>
      <c r="K1221" s="5">
        <v>45785</v>
      </c>
      <c r="L1221" s="8">
        <f t="shared" si="108"/>
        <v>-1.3295399065398833E-3</v>
      </c>
      <c r="M1221" s="5">
        <v>45785</v>
      </c>
      <c r="N1221" s="9">
        <f t="shared" si="109"/>
        <v>-1.5881140107792556E-3</v>
      </c>
      <c r="O1221" s="5">
        <v>45785</v>
      </c>
      <c r="P1221">
        <f t="shared" si="111"/>
        <v>1.0013380998593999</v>
      </c>
      <c r="Q1221" s="6">
        <f t="shared" si="112"/>
        <v>1.0001300169021972</v>
      </c>
      <c r="R1221">
        <f t="shared" si="113"/>
        <v>1.2071969508778218E-3</v>
      </c>
      <c r="T1221" s="5">
        <v>45785</v>
      </c>
      <c r="U1221" s="1">
        <v>1.2071969508778218E-3</v>
      </c>
    </row>
    <row r="1222" spans="3:21" x14ac:dyDescent="0.2">
      <c r="C1222" s="5">
        <v>45786</v>
      </c>
      <c r="D1222" s="6">
        <v>1.00004</v>
      </c>
      <c r="E1222" s="6">
        <v>102986.1</v>
      </c>
      <c r="F1222" s="6">
        <v>102936</v>
      </c>
      <c r="G1222" s="6">
        <v>102851.78</v>
      </c>
      <c r="H1222" s="6">
        <v>102933.7</v>
      </c>
      <c r="I1222" s="5">
        <v>45786</v>
      </c>
      <c r="J1222" s="7">
        <f t="shared" si="110"/>
        <v>-5.0880652825972372E-4</v>
      </c>
      <c r="K1222" s="5">
        <v>45786</v>
      </c>
      <c r="L1222" s="8">
        <f t="shared" si="108"/>
        <v>-8.1817828553665544E-4</v>
      </c>
      <c r="M1222" s="5">
        <v>45786</v>
      </c>
      <c r="N1222" s="9">
        <f t="shared" si="109"/>
        <v>-1.326984813796379E-3</v>
      </c>
      <c r="O1222" s="5">
        <v>45786</v>
      </c>
      <c r="P1222">
        <f t="shared" si="111"/>
        <v>1.0007964859723379</v>
      </c>
      <c r="Q1222" s="6">
        <f t="shared" si="112"/>
        <v>0.99996000159993592</v>
      </c>
      <c r="R1222">
        <f t="shared" si="113"/>
        <v>8.3616814573422892E-4</v>
      </c>
      <c r="T1222" s="5">
        <v>45786</v>
      </c>
      <c r="U1222" s="1">
        <v>8.3616814573422892E-4</v>
      </c>
    </row>
    <row r="1223" spans="3:21" x14ac:dyDescent="0.2">
      <c r="C1223" s="5">
        <v>45787</v>
      </c>
      <c r="D1223" s="6">
        <v>0.99999000000000005</v>
      </c>
      <c r="E1223" s="6">
        <v>104829.1</v>
      </c>
      <c r="F1223" s="6">
        <v>104771.5</v>
      </c>
      <c r="G1223" s="6">
        <v>104617.03</v>
      </c>
      <c r="H1223" s="6">
        <v>104790.7</v>
      </c>
      <c r="I1223" s="5">
        <v>45787</v>
      </c>
      <c r="J1223" s="7">
        <f t="shared" si="110"/>
        <v>-3.6631049966095986E-4</v>
      </c>
      <c r="K1223" s="5">
        <v>45787</v>
      </c>
      <c r="L1223" s="8">
        <f t="shared" si="108"/>
        <v>-1.4743513264580651E-3</v>
      </c>
      <c r="M1223" s="5">
        <v>45787</v>
      </c>
      <c r="N1223" s="9">
        <f t="shared" si="109"/>
        <v>-1.8406618261190249E-3</v>
      </c>
      <c r="O1223" s="5">
        <v>45787</v>
      </c>
      <c r="P1223">
        <f t="shared" si="111"/>
        <v>1.0016600547731092</v>
      </c>
      <c r="Q1223" s="6">
        <f t="shared" si="112"/>
        <v>1.000010000100001</v>
      </c>
      <c r="R1223">
        <f t="shared" si="113"/>
        <v>1.6486783552042274E-3</v>
      </c>
      <c r="T1223" s="5">
        <v>45787</v>
      </c>
      <c r="U1223" s="1">
        <v>1.6486783552042274E-3</v>
      </c>
    </row>
    <row r="1224" spans="3:21" x14ac:dyDescent="0.2">
      <c r="C1224" s="5">
        <v>45788</v>
      </c>
      <c r="D1224" s="6">
        <v>0.99995999999999996</v>
      </c>
      <c r="E1224" s="6">
        <v>104126.1</v>
      </c>
      <c r="F1224" s="6">
        <v>104115.1</v>
      </c>
      <c r="G1224" s="6">
        <v>103802.69</v>
      </c>
      <c r="H1224" s="6">
        <v>104099.8</v>
      </c>
      <c r="I1224" s="5">
        <v>45788</v>
      </c>
      <c r="J1224" s="7">
        <f t="shared" si="110"/>
        <v>-2.5257836411815012E-4</v>
      </c>
      <c r="K1224" s="5">
        <v>45788</v>
      </c>
      <c r="L1224" s="8">
        <f t="shared" si="108"/>
        <v>-3.0006214276315679E-3</v>
      </c>
      <c r="M1224" s="5">
        <v>45788</v>
      </c>
      <c r="N1224" s="9">
        <f t="shared" si="109"/>
        <v>-3.2531997917497179E-3</v>
      </c>
      <c r="O1224" s="5">
        <v>45788</v>
      </c>
      <c r="P1224">
        <f t="shared" si="111"/>
        <v>1.0028622572305206</v>
      </c>
      <c r="Q1224" s="6">
        <f t="shared" si="112"/>
        <v>1.0000400016000641</v>
      </c>
      <c r="R1224">
        <f t="shared" si="113"/>
        <v>2.8181679718944966E-3</v>
      </c>
      <c r="T1224" s="5">
        <v>45788</v>
      </c>
      <c r="U1224" s="1">
        <v>2.8181679718944966E-3</v>
      </c>
    </row>
    <row r="1225" spans="3:21" x14ac:dyDescent="0.2">
      <c r="C1225" s="5">
        <v>45789</v>
      </c>
      <c r="D1225" s="6">
        <v>1.00004</v>
      </c>
      <c r="E1225" s="6">
        <v>102794</v>
      </c>
      <c r="F1225" s="6">
        <v>102774</v>
      </c>
      <c r="G1225" s="6">
        <v>102728.29</v>
      </c>
      <c r="H1225" s="6">
        <v>102745.60000000001</v>
      </c>
      <c r="I1225" s="5">
        <v>45789</v>
      </c>
      <c r="J1225" s="7">
        <f t="shared" si="110"/>
        <v>-4.7084460182495261E-4</v>
      </c>
      <c r="K1225" s="5">
        <v>45789</v>
      </c>
      <c r="L1225" s="8">
        <f t="shared" si="108"/>
        <v>-4.4476229396546213E-4</v>
      </c>
      <c r="M1225" s="5">
        <v>45789</v>
      </c>
      <c r="N1225" s="9">
        <f t="shared" si="109"/>
        <v>-9.1560689579041473E-4</v>
      </c>
      <c r="O1225" s="5">
        <v>45789</v>
      </c>
      <c r="P1225">
        <f t="shared" si="111"/>
        <v>1.0001685027561542</v>
      </c>
      <c r="Q1225" s="6">
        <f t="shared" si="112"/>
        <v>0.99996000159993592</v>
      </c>
      <c r="R1225">
        <f t="shared" si="113"/>
        <v>2.0848776118074285E-4</v>
      </c>
      <c r="T1225" s="5">
        <v>45789</v>
      </c>
      <c r="U1225" s="1">
        <v>2.0848776118074285E-4</v>
      </c>
    </row>
    <row r="1226" spans="3:21" x14ac:dyDescent="0.2">
      <c r="C1226" s="5">
        <v>45790</v>
      </c>
      <c r="D1226" s="6">
        <v>1.0000800000000001</v>
      </c>
      <c r="E1226" s="6">
        <v>104142</v>
      </c>
      <c r="F1226" s="6">
        <v>104100</v>
      </c>
      <c r="G1226" s="6">
        <v>104123.1</v>
      </c>
      <c r="H1226" s="6">
        <v>104106.5</v>
      </c>
      <c r="I1226" s="5">
        <v>45790</v>
      </c>
      <c r="J1226" s="7">
        <f t="shared" si="110"/>
        <v>-3.4088072055462736E-4</v>
      </c>
      <c r="K1226" s="5">
        <v>45790</v>
      </c>
      <c r="L1226" s="8">
        <f t="shared" si="108"/>
        <v>2.2190201729112221E-4</v>
      </c>
      <c r="M1226" s="5">
        <v>45790</v>
      </c>
      <c r="N1226" s="9">
        <f t="shared" si="109"/>
        <v>-1.1897870326350515E-4</v>
      </c>
      <c r="O1226" s="5">
        <v>45790</v>
      </c>
      <c r="P1226">
        <f t="shared" si="111"/>
        <v>0.99984057332138598</v>
      </c>
      <c r="Q1226" s="6">
        <f t="shared" si="112"/>
        <v>0.99992000639948797</v>
      </c>
      <c r="R1226">
        <f t="shared" si="113"/>
        <v>-7.9442588227092363E-5</v>
      </c>
      <c r="T1226" s="5">
        <v>45790</v>
      </c>
      <c r="U1226" s="1">
        <v>-7.9442588227092363E-5</v>
      </c>
    </row>
    <row r="1227" spans="3:21" x14ac:dyDescent="0.2">
      <c r="C1227" s="5">
        <v>45791</v>
      </c>
      <c r="D1227" s="6">
        <v>0.99992999999999999</v>
      </c>
      <c r="E1227" s="6">
        <v>103527.5</v>
      </c>
      <c r="F1227" s="6">
        <v>103482.2</v>
      </c>
      <c r="G1227" s="6">
        <v>103568.49</v>
      </c>
      <c r="H1227" s="6">
        <v>103468.2</v>
      </c>
      <c r="I1227" s="5">
        <v>45791</v>
      </c>
      <c r="J1227" s="7">
        <f t="shared" si="110"/>
        <v>-5.7279466808338761E-4</v>
      </c>
      <c r="K1227" s="5">
        <v>45791</v>
      </c>
      <c r="L1227" s="8">
        <f t="shared" ref="L1227:L1290" si="114">(G1227-F1227)/F1227</f>
        <v>8.3386321512306607E-4</v>
      </c>
      <c r="M1227" s="5">
        <v>45791</v>
      </c>
      <c r="N1227" s="9">
        <f t="shared" ref="N1227:N1290" si="115">J1227+L1227</f>
        <v>2.6106854703967846E-4</v>
      </c>
      <c r="O1227" s="5">
        <v>45791</v>
      </c>
      <c r="P1227">
        <f t="shared" si="111"/>
        <v>0.99903165528434368</v>
      </c>
      <c r="Q1227" s="6">
        <f t="shared" si="112"/>
        <v>1.000070004900343</v>
      </c>
      <c r="R1227">
        <f t="shared" si="113"/>
        <v>-1.038816314404374E-3</v>
      </c>
      <c r="T1227" s="5">
        <v>45791</v>
      </c>
      <c r="U1227" s="1">
        <v>-1.038816314404374E-3</v>
      </c>
    </row>
    <row r="1228" spans="3:21" x14ac:dyDescent="0.2">
      <c r="C1228" s="5">
        <v>45792</v>
      </c>
      <c r="D1228" s="6">
        <v>0.99990999999999997</v>
      </c>
      <c r="E1228" s="6">
        <v>103799.9</v>
      </c>
      <c r="F1228" s="6">
        <v>103750.39999999999</v>
      </c>
      <c r="G1228" s="6">
        <v>103816.46</v>
      </c>
      <c r="H1228" s="6">
        <v>103712</v>
      </c>
      <c r="I1228" s="5">
        <v>45792</v>
      </c>
      <c r="J1228" s="7">
        <f t="shared" ref="J1228:J1291" si="116">(H1228-E1228)/E1228</f>
        <v>-8.4682162506894689E-4</v>
      </c>
      <c r="K1228" s="5">
        <v>45792</v>
      </c>
      <c r="L1228" s="8">
        <f t="shared" si="114"/>
        <v>6.3672043674060268E-4</v>
      </c>
      <c r="M1228" s="5">
        <v>45792</v>
      </c>
      <c r="N1228" s="9">
        <f t="shared" si="115"/>
        <v>-2.1010118832834421E-4</v>
      </c>
      <c r="O1228" s="5">
        <v>45792</v>
      </c>
      <c r="P1228">
        <f t="shared" ref="P1228:P1291" si="117">(1/G1228)*H1228</f>
        <v>0.99899380117565173</v>
      </c>
      <c r="Q1228" s="6">
        <f t="shared" ref="Q1228:Q1291" si="118">1/D1228</f>
        <v>1.0000900081007291</v>
      </c>
      <c r="R1228">
        <f t="shared" ref="R1228:R1291" si="119">LN(P1228/Q1228)</f>
        <v>-1.0967094324555145E-3</v>
      </c>
      <c r="T1228" s="5">
        <v>45792</v>
      </c>
      <c r="U1228" s="1">
        <v>-1.0967094324555145E-3</v>
      </c>
    </row>
    <row r="1229" spans="3:21" x14ac:dyDescent="0.2">
      <c r="C1229" s="5">
        <v>45793</v>
      </c>
      <c r="D1229" s="6">
        <v>0.99987999999999999</v>
      </c>
      <c r="E1229" s="6">
        <v>103517.9</v>
      </c>
      <c r="F1229" s="6">
        <v>103448.4</v>
      </c>
      <c r="G1229" s="6">
        <v>103545.32</v>
      </c>
      <c r="H1229" s="6">
        <v>103423.7</v>
      </c>
      <c r="I1229" s="5">
        <v>45793</v>
      </c>
      <c r="J1229" s="7">
        <f t="shared" si="116"/>
        <v>-9.0998754804721786E-4</v>
      </c>
      <c r="K1229" s="5">
        <v>45793</v>
      </c>
      <c r="L1229" s="8">
        <f t="shared" si="114"/>
        <v>9.3689220906280628E-4</v>
      </c>
      <c r="M1229" s="5">
        <v>45793</v>
      </c>
      <c r="N1229" s="9">
        <f t="shared" si="115"/>
        <v>2.6904661015588415E-5</v>
      </c>
      <c r="O1229" s="5">
        <v>45793</v>
      </c>
      <c r="P1229">
        <f t="shared" si="117"/>
        <v>0.99882544184517463</v>
      </c>
      <c r="Q1229" s="6">
        <f t="shared" si="118"/>
        <v>1.0001200144017282</v>
      </c>
      <c r="R1229">
        <f t="shared" si="119"/>
        <v>-1.2952556894421572E-3</v>
      </c>
      <c r="T1229" s="5">
        <v>45793</v>
      </c>
      <c r="U1229" s="1">
        <v>-1.2952556894421572E-3</v>
      </c>
    </row>
    <row r="1230" spans="3:21" x14ac:dyDescent="0.2">
      <c r="C1230" s="5">
        <v>45794</v>
      </c>
      <c r="D1230" s="6">
        <v>0.99985000000000002</v>
      </c>
      <c r="E1230" s="6">
        <v>103162.7</v>
      </c>
      <c r="F1230" s="6">
        <v>103118.3</v>
      </c>
      <c r="G1230" s="6">
        <v>103235.58</v>
      </c>
      <c r="H1230" s="6">
        <v>103094.7</v>
      </c>
      <c r="I1230" s="5">
        <v>45794</v>
      </c>
      <c r="J1230" s="7">
        <f t="shared" si="116"/>
        <v>-6.5915296904792142E-4</v>
      </c>
      <c r="K1230" s="5">
        <v>45794</v>
      </c>
      <c r="L1230" s="8">
        <f t="shared" si="114"/>
        <v>1.1373344983383049E-3</v>
      </c>
      <c r="M1230" s="5">
        <v>45794</v>
      </c>
      <c r="N1230" s="9">
        <f t="shared" si="115"/>
        <v>4.7818152929038349E-4</v>
      </c>
      <c r="O1230" s="5">
        <v>45794</v>
      </c>
      <c r="P1230">
        <f t="shared" si="117"/>
        <v>0.99863535420636951</v>
      </c>
      <c r="Q1230" s="6">
        <f t="shared" si="118"/>
        <v>1.0001500225033755</v>
      </c>
      <c r="R1230">
        <f t="shared" si="119"/>
        <v>-1.5155890218022021E-3</v>
      </c>
      <c r="T1230" s="5">
        <v>45794</v>
      </c>
      <c r="U1230" s="1">
        <v>-1.5155890218022021E-3</v>
      </c>
    </row>
    <row r="1231" spans="3:21" x14ac:dyDescent="0.2">
      <c r="C1231" s="5">
        <v>45795</v>
      </c>
      <c r="D1231" s="6">
        <v>0.99994000000000005</v>
      </c>
      <c r="E1231" s="6">
        <v>106488</v>
      </c>
      <c r="F1231" s="6">
        <v>106451.9</v>
      </c>
      <c r="G1231" s="6">
        <v>106489.72</v>
      </c>
      <c r="H1231" s="6">
        <v>106497.8</v>
      </c>
      <c r="I1231" s="5">
        <v>45795</v>
      </c>
      <c r="J1231" s="7">
        <f t="shared" si="116"/>
        <v>9.2029148824308003E-5</v>
      </c>
      <c r="K1231" s="5">
        <v>45795</v>
      </c>
      <c r="L1231" s="8">
        <f t="shared" si="114"/>
        <v>3.5527782970531279E-4</v>
      </c>
      <c r="M1231" s="5">
        <v>45795</v>
      </c>
      <c r="N1231" s="9">
        <f t="shared" si="115"/>
        <v>4.4730697852962079E-4</v>
      </c>
      <c r="O1231" s="5">
        <v>45795</v>
      </c>
      <c r="P1231">
        <f t="shared" si="117"/>
        <v>1.0000758758685815</v>
      </c>
      <c r="Q1231" s="6">
        <f t="shared" si="118"/>
        <v>1.0000600036002159</v>
      </c>
      <c r="R1231">
        <f t="shared" si="119"/>
        <v>1.5871190081421873E-5</v>
      </c>
      <c r="T1231" s="5">
        <v>45795</v>
      </c>
      <c r="U1231" s="1">
        <v>1.5871190081421873E-5</v>
      </c>
    </row>
    <row r="1232" spans="3:21" x14ac:dyDescent="0.2">
      <c r="C1232" s="5">
        <v>45796</v>
      </c>
      <c r="D1232" s="6">
        <v>0.99990999999999997</v>
      </c>
      <c r="E1232" s="6">
        <v>105632</v>
      </c>
      <c r="F1232" s="6">
        <v>105564.9</v>
      </c>
      <c r="G1232" s="6">
        <v>105572.5</v>
      </c>
      <c r="H1232" s="6">
        <v>105554</v>
      </c>
      <c r="I1232" s="5">
        <v>45796</v>
      </c>
      <c r="J1232" s="7">
        <f t="shared" si="116"/>
        <v>-7.3841260224174489E-4</v>
      </c>
      <c r="K1232" s="5">
        <v>45796</v>
      </c>
      <c r="L1232" s="8">
        <f t="shared" si="114"/>
        <v>7.1993626669525774E-5</v>
      </c>
      <c r="M1232" s="5">
        <v>45796</v>
      </c>
      <c r="N1232" s="9">
        <f t="shared" si="115"/>
        <v>-6.6641897557221915E-4</v>
      </c>
      <c r="O1232" s="5">
        <v>45796</v>
      </c>
      <c r="P1232">
        <f t="shared" si="117"/>
        <v>0.99982476497193873</v>
      </c>
      <c r="Q1232" s="6">
        <f t="shared" si="118"/>
        <v>1.0000900081007291</v>
      </c>
      <c r="R1232">
        <f t="shared" si="119"/>
        <v>-2.6525443375578404E-4</v>
      </c>
      <c r="T1232" s="5">
        <v>45796</v>
      </c>
      <c r="U1232" s="1">
        <v>-2.6525443375578404E-4</v>
      </c>
    </row>
    <row r="1233" spans="3:21" x14ac:dyDescent="0.2">
      <c r="C1233" s="5">
        <v>45797</v>
      </c>
      <c r="D1233" s="6">
        <v>0.99990000000000001</v>
      </c>
      <c r="E1233" s="6">
        <v>106894</v>
      </c>
      <c r="F1233" s="6">
        <v>106834.8</v>
      </c>
      <c r="G1233" s="6">
        <v>106854.52</v>
      </c>
      <c r="H1233" s="6">
        <v>106750.2</v>
      </c>
      <c r="I1233" s="5">
        <v>45797</v>
      </c>
      <c r="J1233" s="7">
        <f t="shared" si="116"/>
        <v>-1.3452579190600306E-3</v>
      </c>
      <c r="K1233" s="5">
        <v>45797</v>
      </c>
      <c r="L1233" s="8">
        <f t="shared" si="114"/>
        <v>1.8458404939215652E-4</v>
      </c>
      <c r="M1233" s="5">
        <v>45797</v>
      </c>
      <c r="N1233" s="9">
        <f t="shared" si="115"/>
        <v>-1.160673869667874E-3</v>
      </c>
      <c r="O1233" s="5">
        <v>45797</v>
      </c>
      <c r="P1233">
        <f t="shared" si="117"/>
        <v>0.99902371935225576</v>
      </c>
      <c r="Q1233" s="6">
        <f t="shared" si="118"/>
        <v>1.000100010001</v>
      </c>
      <c r="R1233">
        <f t="shared" si="119"/>
        <v>-1.0767625204285195E-3</v>
      </c>
      <c r="T1233" s="5">
        <v>45797</v>
      </c>
      <c r="U1233" s="1">
        <v>-1.0767625204285195E-3</v>
      </c>
    </row>
    <row r="1234" spans="3:21" x14ac:dyDescent="0.2">
      <c r="C1234" s="5">
        <v>45798</v>
      </c>
      <c r="D1234" s="6">
        <v>0.99988999999999995</v>
      </c>
      <c r="E1234" s="6">
        <v>109694.1</v>
      </c>
      <c r="F1234" s="6">
        <v>109644.1</v>
      </c>
      <c r="G1234" s="6">
        <v>109603.97</v>
      </c>
      <c r="H1234" s="6">
        <v>109650.1</v>
      </c>
      <c r="I1234" s="5">
        <v>45798</v>
      </c>
      <c r="J1234" s="7">
        <f t="shared" si="116"/>
        <v>-4.0111546564491614E-4</v>
      </c>
      <c r="K1234" s="5">
        <v>45798</v>
      </c>
      <c r="L1234" s="8">
        <f t="shared" si="114"/>
        <v>-3.660023658364167E-4</v>
      </c>
      <c r="M1234" s="5">
        <v>45798</v>
      </c>
      <c r="N1234" s="9">
        <f t="shared" si="115"/>
        <v>-7.6711783148133289E-4</v>
      </c>
      <c r="O1234" s="5">
        <v>45798</v>
      </c>
      <c r="P1234">
        <f t="shared" si="117"/>
        <v>1.0004208789152438</v>
      </c>
      <c r="Q1234" s="6">
        <f t="shared" si="118"/>
        <v>1.0001100121013311</v>
      </c>
      <c r="R1234">
        <f t="shared" si="119"/>
        <v>3.1078432011308782E-4</v>
      </c>
      <c r="T1234" s="5">
        <v>45798</v>
      </c>
      <c r="U1234" s="1">
        <v>3.1078432011308782E-4</v>
      </c>
    </row>
    <row r="1235" spans="3:21" x14ac:dyDescent="0.2">
      <c r="C1235" s="5">
        <v>45799</v>
      </c>
      <c r="D1235" s="6">
        <v>0.99990999999999997</v>
      </c>
      <c r="E1235" s="6">
        <v>111733.9</v>
      </c>
      <c r="F1235" s="6">
        <v>111687.9</v>
      </c>
      <c r="G1235" s="6">
        <v>111589.52</v>
      </c>
      <c r="H1235" s="6">
        <v>111688.6</v>
      </c>
      <c r="I1235" s="5">
        <v>45799</v>
      </c>
      <c r="J1235" s="7">
        <f t="shared" si="116"/>
        <v>-4.0542753810605698E-4</v>
      </c>
      <c r="K1235" s="5">
        <v>45799</v>
      </c>
      <c r="L1235" s="8">
        <f t="shared" si="114"/>
        <v>-8.8084743289103035E-4</v>
      </c>
      <c r="M1235" s="5">
        <v>45799</v>
      </c>
      <c r="N1235" s="9">
        <f t="shared" si="115"/>
        <v>-1.2862749709970874E-3</v>
      </c>
      <c r="O1235" s="5">
        <v>45799</v>
      </c>
      <c r="P1235">
        <f t="shared" si="117"/>
        <v>1.0008878969996466</v>
      </c>
      <c r="Q1235" s="6">
        <f t="shared" si="118"/>
        <v>1.0000900081007291</v>
      </c>
      <c r="R1235">
        <f t="shared" si="119"/>
        <v>7.9749900203519191E-4</v>
      </c>
      <c r="T1235" s="5">
        <v>45799</v>
      </c>
      <c r="U1235" s="1">
        <v>7.9749900203519191E-4</v>
      </c>
    </row>
    <row r="1236" spans="3:21" x14ac:dyDescent="0.2">
      <c r="C1236" s="5">
        <v>45800</v>
      </c>
      <c r="D1236" s="6">
        <v>0.99990000000000001</v>
      </c>
      <c r="E1236" s="6">
        <v>107343.9</v>
      </c>
      <c r="F1236" s="6">
        <v>107291.9</v>
      </c>
      <c r="G1236" s="6">
        <v>107356.62</v>
      </c>
      <c r="H1236" s="6">
        <v>107290.8</v>
      </c>
      <c r="I1236" s="5">
        <v>45800</v>
      </c>
      <c r="J1236" s="7">
        <f t="shared" si="116"/>
        <v>-4.946717978384545E-4</v>
      </c>
      <c r="K1236" s="5">
        <v>45800</v>
      </c>
      <c r="L1236" s="8">
        <f t="shared" si="114"/>
        <v>6.032142221360715E-4</v>
      </c>
      <c r="M1236" s="5">
        <v>45800</v>
      </c>
      <c r="N1236" s="9">
        <f t="shared" si="115"/>
        <v>1.08542424297617E-4</v>
      </c>
      <c r="O1236" s="5">
        <v>45800</v>
      </c>
      <c r="P1236">
        <f t="shared" si="117"/>
        <v>0.99938690320168433</v>
      </c>
      <c r="Q1236" s="6">
        <f t="shared" si="118"/>
        <v>1.000100010001</v>
      </c>
      <c r="R1236">
        <f t="shared" si="119"/>
        <v>-7.1328981934486591E-4</v>
      </c>
      <c r="T1236" s="5">
        <v>45800</v>
      </c>
      <c r="U1236" s="1">
        <v>-7.1328981934486591E-4</v>
      </c>
    </row>
    <row r="1237" spans="3:21" x14ac:dyDescent="0.2">
      <c r="C1237" s="5">
        <v>45801</v>
      </c>
      <c r="D1237" s="6">
        <v>0.99988999999999995</v>
      </c>
      <c r="E1237" s="6">
        <v>107796.1</v>
      </c>
      <c r="F1237" s="6">
        <v>107753.9</v>
      </c>
      <c r="G1237" s="6">
        <v>107855.09</v>
      </c>
      <c r="H1237" s="6">
        <v>107726</v>
      </c>
      <c r="I1237" s="5">
        <v>45801</v>
      </c>
      <c r="J1237" s="7">
        <f t="shared" si="116"/>
        <v>-6.5030181982470437E-4</v>
      </c>
      <c r="K1237" s="5">
        <v>45801</v>
      </c>
      <c r="L1237" s="8">
        <f t="shared" si="114"/>
        <v>9.3908433940676243E-4</v>
      </c>
      <c r="M1237" s="5">
        <v>45801</v>
      </c>
      <c r="N1237" s="9">
        <f t="shared" si="115"/>
        <v>2.8878251958205806E-4</v>
      </c>
      <c r="O1237" s="5">
        <v>45801</v>
      </c>
      <c r="P1237">
        <f t="shared" si="117"/>
        <v>0.99880311629242535</v>
      </c>
      <c r="Q1237" s="6">
        <f t="shared" si="118"/>
        <v>1.0001100121013311</v>
      </c>
      <c r="R1237">
        <f t="shared" si="119"/>
        <v>-1.3076065953607637E-3</v>
      </c>
      <c r="T1237" s="5">
        <v>45801</v>
      </c>
      <c r="U1237" s="1">
        <v>-1.3076065953607637E-3</v>
      </c>
    </row>
    <row r="1238" spans="3:21" x14ac:dyDescent="0.2">
      <c r="C1238" s="5">
        <v>45802</v>
      </c>
      <c r="D1238" s="6">
        <v>0.99997999999999998</v>
      </c>
      <c r="E1238" s="6">
        <v>109049.7</v>
      </c>
      <c r="F1238" s="6">
        <v>108996.2</v>
      </c>
      <c r="G1238" s="6">
        <v>109103.43</v>
      </c>
      <c r="H1238" s="6">
        <v>108996.8</v>
      </c>
      <c r="I1238" s="5">
        <v>45802</v>
      </c>
      <c r="J1238" s="7">
        <f t="shared" si="116"/>
        <v>-4.8509991315880905E-4</v>
      </c>
      <c r="K1238" s="5">
        <v>45802</v>
      </c>
      <c r="L1238" s="8">
        <f t="shared" si="114"/>
        <v>9.8379576535691997E-4</v>
      </c>
      <c r="M1238" s="5">
        <v>45802</v>
      </c>
      <c r="N1238" s="9">
        <f t="shared" si="115"/>
        <v>4.9869585219811086E-4</v>
      </c>
      <c r="O1238" s="5">
        <v>45802</v>
      </c>
      <c r="P1238">
        <f t="shared" si="117"/>
        <v>0.99902267050632598</v>
      </c>
      <c r="Q1238" s="6">
        <f t="shared" si="118"/>
        <v>1.0000200004000079</v>
      </c>
      <c r="R1238">
        <f t="shared" si="119"/>
        <v>-9.9780759154732899E-4</v>
      </c>
      <c r="T1238" s="5">
        <v>45802</v>
      </c>
      <c r="U1238" s="1">
        <v>-9.9780759154732899E-4</v>
      </c>
    </row>
    <row r="1239" spans="3:21" x14ac:dyDescent="0.2">
      <c r="C1239" s="5">
        <v>45803</v>
      </c>
      <c r="D1239" s="6">
        <v>0.99988999999999995</v>
      </c>
      <c r="E1239" s="6">
        <v>109479.9</v>
      </c>
      <c r="F1239" s="6">
        <v>109442.1</v>
      </c>
      <c r="G1239" s="6">
        <v>109453.01</v>
      </c>
      <c r="H1239" s="6">
        <v>109458.6</v>
      </c>
      <c r="I1239" s="5">
        <v>45803</v>
      </c>
      <c r="J1239" s="7">
        <f t="shared" si="116"/>
        <v>-1.9455626101218907E-4</v>
      </c>
      <c r="K1239" s="5">
        <v>45803</v>
      </c>
      <c r="L1239" s="8">
        <f t="shared" si="114"/>
        <v>9.9687414623704588E-5</v>
      </c>
      <c r="M1239" s="5">
        <v>45803</v>
      </c>
      <c r="N1239" s="9">
        <f t="shared" si="115"/>
        <v>-9.4868846388484486E-5</v>
      </c>
      <c r="O1239" s="5">
        <v>45803</v>
      </c>
      <c r="P1239">
        <f t="shared" si="117"/>
        <v>1.0000510721450238</v>
      </c>
      <c r="Q1239" s="6">
        <f t="shared" si="118"/>
        <v>1.0001100121013311</v>
      </c>
      <c r="R1239">
        <f t="shared" si="119"/>
        <v>-5.8935209557538752E-5</v>
      </c>
      <c r="T1239" s="5">
        <v>45803</v>
      </c>
      <c r="U1239" s="1">
        <v>-5.8935209557538752E-5</v>
      </c>
    </row>
    <row r="1240" spans="3:21" x14ac:dyDescent="0.2">
      <c r="C1240" s="5">
        <v>45804</v>
      </c>
      <c r="D1240" s="6">
        <v>0.99994000000000005</v>
      </c>
      <c r="E1240" s="6">
        <v>108984.2</v>
      </c>
      <c r="F1240" s="6">
        <v>108944.5</v>
      </c>
      <c r="G1240" s="6">
        <v>108954.83</v>
      </c>
      <c r="H1240" s="6">
        <v>108961.1</v>
      </c>
      <c r="I1240" s="5">
        <v>45804</v>
      </c>
      <c r="J1240" s="7">
        <f t="shared" si="116"/>
        <v>-2.1195732959448498E-4</v>
      </c>
      <c r="K1240" s="5">
        <v>45804</v>
      </c>
      <c r="L1240" s="8">
        <f t="shared" si="114"/>
        <v>9.4818921560994331E-5</v>
      </c>
      <c r="M1240" s="5">
        <v>45804</v>
      </c>
      <c r="N1240" s="9">
        <f t="shared" si="115"/>
        <v>-1.1713840803349065E-4</v>
      </c>
      <c r="O1240" s="5">
        <v>45804</v>
      </c>
      <c r="P1240">
        <f t="shared" si="117"/>
        <v>1.0000575467833781</v>
      </c>
      <c r="Q1240" s="6">
        <f t="shared" si="118"/>
        <v>1.0000600036002159</v>
      </c>
      <c r="R1240">
        <f t="shared" si="119"/>
        <v>-2.4566724463914884E-6</v>
      </c>
      <c r="T1240" s="5">
        <v>45804</v>
      </c>
      <c r="U1240" s="1">
        <v>-2.4566724463914884E-6</v>
      </c>
    </row>
    <row r="1241" spans="3:21" x14ac:dyDescent="0.2">
      <c r="C1241" s="5">
        <v>45805</v>
      </c>
      <c r="D1241" s="6">
        <v>0.99985000000000002</v>
      </c>
      <c r="E1241" s="6">
        <v>107820.1</v>
      </c>
      <c r="F1241" s="6">
        <v>107771.2</v>
      </c>
      <c r="G1241" s="6">
        <v>107834.58</v>
      </c>
      <c r="H1241" s="6">
        <v>107767.5</v>
      </c>
      <c r="I1241" s="5">
        <v>45805</v>
      </c>
      <c r="J1241" s="7">
        <f t="shared" si="116"/>
        <v>-4.8784966810460961E-4</v>
      </c>
      <c r="K1241" s="5">
        <v>45805</v>
      </c>
      <c r="L1241" s="8">
        <f t="shared" si="114"/>
        <v>5.8809774782135355E-4</v>
      </c>
      <c r="M1241" s="5">
        <v>45805</v>
      </c>
      <c r="N1241" s="9">
        <f t="shared" si="115"/>
        <v>1.0024807971674394E-4</v>
      </c>
      <c r="O1241" s="5">
        <v>45805</v>
      </c>
      <c r="P1241">
        <f t="shared" si="117"/>
        <v>0.99937793609434</v>
      </c>
      <c r="Q1241" s="6">
        <f t="shared" si="118"/>
        <v>1.0001500225033755</v>
      </c>
      <c r="R1241">
        <f t="shared" si="119"/>
        <v>-7.7226871881261306E-4</v>
      </c>
      <c r="T1241" s="5">
        <v>45805</v>
      </c>
      <c r="U1241" s="1">
        <v>-7.7226871881261306E-4</v>
      </c>
    </row>
    <row r="1242" spans="3:21" x14ac:dyDescent="0.2">
      <c r="C1242" s="5">
        <v>45806</v>
      </c>
      <c r="D1242" s="6">
        <v>0.99972000000000005</v>
      </c>
      <c r="E1242" s="6">
        <v>105600</v>
      </c>
      <c r="F1242" s="6">
        <v>105525.9</v>
      </c>
      <c r="G1242" s="6">
        <v>105662.12</v>
      </c>
      <c r="H1242" s="6">
        <v>105542</v>
      </c>
      <c r="I1242" s="5">
        <v>45806</v>
      </c>
      <c r="J1242" s="7">
        <f t="shared" si="116"/>
        <v>-5.492424242424242E-4</v>
      </c>
      <c r="K1242" s="5">
        <v>45806</v>
      </c>
      <c r="L1242" s="8">
        <f t="shared" si="114"/>
        <v>1.2908679291055672E-3</v>
      </c>
      <c r="M1242" s="5">
        <v>45806</v>
      </c>
      <c r="N1242" s="9">
        <f t="shared" si="115"/>
        <v>7.4162550486314303E-4</v>
      </c>
      <c r="O1242" s="5">
        <v>45806</v>
      </c>
      <c r="P1242">
        <f t="shared" si="117"/>
        <v>0.99886316874959535</v>
      </c>
      <c r="Q1242" s="6">
        <f t="shared" si="118"/>
        <v>1.0002800784219581</v>
      </c>
      <c r="R1242">
        <f t="shared" si="119"/>
        <v>-1.4175171405286409E-3</v>
      </c>
      <c r="T1242" s="5">
        <v>45806</v>
      </c>
      <c r="U1242" s="1">
        <v>-1.4175171405286409E-3</v>
      </c>
    </row>
    <row r="1243" spans="3:21" x14ac:dyDescent="0.2">
      <c r="C1243" s="5">
        <v>45807</v>
      </c>
      <c r="D1243" s="6">
        <v>1</v>
      </c>
      <c r="E1243" s="6">
        <v>104021.9</v>
      </c>
      <c r="F1243" s="6">
        <v>103995.4</v>
      </c>
      <c r="G1243" s="6">
        <v>104067.57</v>
      </c>
      <c r="H1243" s="6">
        <v>103976.8</v>
      </c>
      <c r="I1243" s="5">
        <v>45807</v>
      </c>
      <c r="J1243" s="7">
        <f t="shared" si="116"/>
        <v>-4.335625478864669E-4</v>
      </c>
      <c r="K1243" s="5">
        <v>45807</v>
      </c>
      <c r="L1243" s="8">
        <f t="shared" si="114"/>
        <v>6.939730026521635E-4</v>
      </c>
      <c r="M1243" s="5">
        <v>45807</v>
      </c>
      <c r="N1243" s="9">
        <f t="shared" si="115"/>
        <v>2.604104547656966E-4</v>
      </c>
      <c r="O1243" s="5">
        <v>45807</v>
      </c>
      <c r="P1243">
        <f t="shared" si="117"/>
        <v>0.99912777823100885</v>
      </c>
      <c r="Q1243" s="6">
        <f t="shared" si="118"/>
        <v>1</v>
      </c>
      <c r="R1243">
        <f t="shared" si="119"/>
        <v>-8.7260237573005513E-4</v>
      </c>
      <c r="T1243" s="5">
        <v>45807</v>
      </c>
      <c r="U1243" s="1">
        <v>-8.7260237573005513E-4</v>
      </c>
    </row>
    <row r="1244" spans="3:21" x14ac:dyDescent="0.2">
      <c r="C1244" s="5">
        <v>45808</v>
      </c>
      <c r="D1244" s="6">
        <v>1</v>
      </c>
      <c r="E1244" s="6">
        <v>104654</v>
      </c>
      <c r="F1244" s="6">
        <v>104617.3</v>
      </c>
      <c r="G1244" s="6">
        <v>104784.18</v>
      </c>
      <c r="H1244" s="6">
        <v>104585.8</v>
      </c>
      <c r="I1244" s="5">
        <v>45808</v>
      </c>
      <c r="J1244" s="7">
        <f t="shared" si="116"/>
        <v>-6.5167122135797095E-4</v>
      </c>
      <c r="K1244" s="5">
        <v>45808</v>
      </c>
      <c r="L1244" s="8">
        <f t="shared" si="114"/>
        <v>1.5951472653183566E-3</v>
      </c>
      <c r="M1244" s="5">
        <v>45808</v>
      </c>
      <c r="N1244" s="9">
        <f t="shared" si="115"/>
        <v>9.4347604396038563E-4</v>
      </c>
      <c r="O1244" s="5">
        <v>45808</v>
      </c>
      <c r="P1244">
        <f t="shared" si="117"/>
        <v>0.99810677527848202</v>
      </c>
      <c r="Q1244" s="6">
        <f t="shared" si="118"/>
        <v>1</v>
      </c>
      <c r="R1244">
        <f t="shared" si="119"/>
        <v>-1.8950191366194327E-3</v>
      </c>
      <c r="T1244" s="5">
        <v>45808</v>
      </c>
      <c r="U1244" s="1">
        <v>-1.8950191366194327E-3</v>
      </c>
    </row>
    <row r="1245" spans="3:21" x14ac:dyDescent="0.2">
      <c r="C1245" s="5">
        <v>45809</v>
      </c>
      <c r="D1245" s="6">
        <v>0.99990999999999997</v>
      </c>
      <c r="E1245" s="6">
        <v>105710</v>
      </c>
      <c r="F1245" s="6">
        <v>105639.9</v>
      </c>
      <c r="G1245" s="6">
        <v>105779.41</v>
      </c>
      <c r="H1245" s="6">
        <v>105636.8</v>
      </c>
      <c r="I1245" s="5">
        <v>45809</v>
      </c>
      <c r="J1245" s="7">
        <f t="shared" si="116"/>
        <v>-6.9246050515558684E-4</v>
      </c>
      <c r="K1245" s="5">
        <v>45809</v>
      </c>
      <c r="L1245" s="8">
        <f t="shared" si="114"/>
        <v>1.3206184405703651E-3</v>
      </c>
      <c r="M1245" s="5">
        <v>45809</v>
      </c>
      <c r="N1245" s="9">
        <f t="shared" si="115"/>
        <v>6.2815793541477825E-4</v>
      </c>
      <c r="O1245" s="5">
        <v>45809</v>
      </c>
      <c r="P1245">
        <f t="shared" si="117"/>
        <v>0.99865181702185701</v>
      </c>
      <c r="Q1245" s="6">
        <f t="shared" si="118"/>
        <v>1.0000900081007291</v>
      </c>
      <c r="R1245">
        <f t="shared" si="119"/>
        <v>-1.4390966447021031E-3</v>
      </c>
      <c r="T1245" s="5">
        <v>45809</v>
      </c>
      <c r="U1245" s="1">
        <v>-1.4390966447021031E-3</v>
      </c>
    </row>
    <row r="1246" spans="3:21" x14ac:dyDescent="0.2">
      <c r="C1246" s="5">
        <v>45810</v>
      </c>
      <c r="D1246" s="6">
        <v>0.99995999999999996</v>
      </c>
      <c r="E1246" s="6">
        <v>105909.9</v>
      </c>
      <c r="F1246" s="6">
        <v>105859.6</v>
      </c>
      <c r="G1246" s="6">
        <v>105902.22</v>
      </c>
      <c r="H1246" s="6">
        <v>105869.3</v>
      </c>
      <c r="I1246" s="5">
        <v>45810</v>
      </c>
      <c r="J1246" s="7">
        <f t="shared" si="116"/>
        <v>-3.833447109287354E-4</v>
      </c>
      <c r="K1246" s="5">
        <v>45810</v>
      </c>
      <c r="L1246" s="8">
        <f t="shared" si="114"/>
        <v>4.0260873836662277E-4</v>
      </c>
      <c r="M1246" s="5">
        <v>45810</v>
      </c>
      <c r="N1246" s="9">
        <f t="shared" si="115"/>
        <v>1.9264027437887368E-5</v>
      </c>
      <c r="O1246" s="5">
        <v>45810</v>
      </c>
      <c r="P1246">
        <f t="shared" si="117"/>
        <v>0.99968914721523316</v>
      </c>
      <c r="Q1246" s="6">
        <f t="shared" si="118"/>
        <v>1.0000400016000641</v>
      </c>
      <c r="R1246">
        <f t="shared" si="119"/>
        <v>-3.5090190953004891E-4</v>
      </c>
      <c r="T1246" s="5">
        <v>45810</v>
      </c>
      <c r="U1246" s="1">
        <v>-3.5090190953004891E-4</v>
      </c>
    </row>
    <row r="1247" spans="3:21" x14ac:dyDescent="0.2">
      <c r="C1247" s="5">
        <v>45811</v>
      </c>
      <c r="D1247" s="6">
        <v>0.99992000000000003</v>
      </c>
      <c r="E1247" s="6">
        <v>105434.1</v>
      </c>
      <c r="F1247" s="6">
        <v>105411.9</v>
      </c>
      <c r="G1247" s="6">
        <v>105436.82</v>
      </c>
      <c r="H1247" s="6">
        <v>105404.2</v>
      </c>
      <c r="I1247" s="5">
        <v>45811</v>
      </c>
      <c r="J1247" s="7">
        <f t="shared" si="116"/>
        <v>-2.8358946488857712E-4</v>
      </c>
      <c r="K1247" s="5">
        <v>45811</v>
      </c>
      <c r="L1247" s="8">
        <f t="shared" si="114"/>
        <v>2.3640594657731059E-4</v>
      </c>
      <c r="M1247" s="5">
        <v>45811</v>
      </c>
      <c r="N1247" s="9">
        <f t="shared" si="115"/>
        <v>-4.7183518311266531E-5</v>
      </c>
      <c r="O1247" s="5">
        <v>45811</v>
      </c>
      <c r="P1247">
        <f t="shared" si="117"/>
        <v>0.99969062041135148</v>
      </c>
      <c r="Q1247" s="6">
        <f t="shared" si="118"/>
        <v>1.000080006400512</v>
      </c>
      <c r="R1247">
        <f t="shared" si="119"/>
        <v>-3.8943065655722408E-4</v>
      </c>
      <c r="T1247" s="5">
        <v>45811</v>
      </c>
      <c r="U1247" s="1">
        <v>-3.8943065655722408E-4</v>
      </c>
    </row>
    <row r="1248" spans="3:21" x14ac:dyDescent="0.2">
      <c r="C1248" s="5">
        <v>45812</v>
      </c>
      <c r="D1248" s="6">
        <v>0.99987999999999999</v>
      </c>
      <c r="E1248" s="6">
        <v>104742.1</v>
      </c>
      <c r="F1248" s="6">
        <v>104693.3</v>
      </c>
      <c r="G1248" s="6">
        <v>104752.64</v>
      </c>
      <c r="H1248" s="6">
        <v>104700.5</v>
      </c>
      <c r="I1248" s="5">
        <v>45812</v>
      </c>
      <c r="J1248" s="7">
        <f t="shared" si="116"/>
        <v>-3.9716599151636082E-4</v>
      </c>
      <c r="K1248" s="5">
        <v>45812</v>
      </c>
      <c r="L1248" s="8">
        <f t="shared" si="114"/>
        <v>5.6679844842025717E-4</v>
      </c>
      <c r="M1248" s="5">
        <v>45812</v>
      </c>
      <c r="N1248" s="9">
        <f t="shared" si="115"/>
        <v>1.6963245690389635E-4</v>
      </c>
      <c r="O1248" s="5">
        <v>45812</v>
      </c>
      <c r="P1248">
        <f t="shared" si="117"/>
        <v>0.99950225598132902</v>
      </c>
      <c r="Q1248" s="6">
        <f t="shared" si="118"/>
        <v>1.0001200144017282</v>
      </c>
      <c r="R1248">
        <f t="shared" si="119"/>
        <v>-6.1787513492160388E-4</v>
      </c>
      <c r="T1248" s="5">
        <v>45812</v>
      </c>
      <c r="U1248" s="1">
        <v>-6.1787513492160388E-4</v>
      </c>
    </row>
    <row r="1249" spans="3:21" x14ac:dyDescent="0.2">
      <c r="C1249" s="5">
        <v>45813</v>
      </c>
      <c r="D1249" s="6">
        <v>0.99990999999999997</v>
      </c>
      <c r="E1249" s="6">
        <v>101566.1</v>
      </c>
      <c r="F1249" s="6">
        <v>101508.1</v>
      </c>
      <c r="G1249" s="6">
        <v>101614.91</v>
      </c>
      <c r="H1249" s="6">
        <v>101517.7</v>
      </c>
      <c r="I1249" s="5">
        <v>45813</v>
      </c>
      <c r="J1249" s="7">
        <f t="shared" si="116"/>
        <v>-4.7653695475172061E-4</v>
      </c>
      <c r="K1249" s="5">
        <v>45813</v>
      </c>
      <c r="L1249" s="8">
        <f t="shared" si="114"/>
        <v>1.0522312997681728E-3</v>
      </c>
      <c r="M1249" s="5">
        <v>45813</v>
      </c>
      <c r="N1249" s="9">
        <f t="shared" si="115"/>
        <v>5.7569434501645212E-4</v>
      </c>
      <c r="O1249" s="5">
        <v>45813</v>
      </c>
      <c r="P1249">
        <f t="shared" si="117"/>
        <v>0.99904334905182712</v>
      </c>
      <c r="Q1249" s="6">
        <f t="shared" si="118"/>
        <v>1.0000900081007291</v>
      </c>
      <c r="R1249">
        <f t="shared" si="119"/>
        <v>-1.0471128809801404E-3</v>
      </c>
      <c r="T1249" s="5">
        <v>45813</v>
      </c>
      <c r="U1249" s="1">
        <v>-1.0471128809801404E-3</v>
      </c>
    </row>
    <row r="1250" spans="3:21" x14ac:dyDescent="0.2">
      <c r="C1250" s="5">
        <v>45814</v>
      </c>
      <c r="D1250" s="6">
        <v>0.99985999999999997</v>
      </c>
      <c r="E1250" s="6">
        <v>104374.1</v>
      </c>
      <c r="F1250" s="6">
        <v>104324.1</v>
      </c>
      <c r="G1250" s="6">
        <v>104378</v>
      </c>
      <c r="H1250" s="6">
        <v>104326.8</v>
      </c>
      <c r="I1250" s="5">
        <v>45814</v>
      </c>
      <c r="J1250" s="7">
        <f t="shared" si="116"/>
        <v>-4.5317756033348222E-4</v>
      </c>
      <c r="K1250" s="5">
        <v>45814</v>
      </c>
      <c r="L1250" s="8">
        <f t="shared" si="114"/>
        <v>5.1665914203903195E-4</v>
      </c>
      <c r="M1250" s="5">
        <v>45814</v>
      </c>
      <c r="N1250" s="9">
        <f t="shared" si="115"/>
        <v>6.3481581705549721E-5</v>
      </c>
      <c r="O1250" s="5">
        <v>45814</v>
      </c>
      <c r="P1250">
        <f t="shared" si="117"/>
        <v>0.99950947517676136</v>
      </c>
      <c r="Q1250" s="6">
        <f t="shared" si="118"/>
        <v>1.0001400196027443</v>
      </c>
      <c r="R1250">
        <f t="shared" si="119"/>
        <v>-6.3065497081139495E-4</v>
      </c>
      <c r="T1250" s="5">
        <v>45814</v>
      </c>
      <c r="U1250" s="1">
        <v>-6.3065497081139495E-4</v>
      </c>
    </row>
    <row r="1251" spans="3:21" x14ac:dyDescent="0.2">
      <c r="C1251" s="5">
        <v>45815</v>
      </c>
      <c r="D1251" s="6">
        <v>0.99995999999999996</v>
      </c>
      <c r="E1251" s="6">
        <v>105632</v>
      </c>
      <c r="F1251" s="6">
        <v>105578.1</v>
      </c>
      <c r="G1251" s="6">
        <v>105575.89</v>
      </c>
      <c r="H1251" s="6">
        <v>105569.8</v>
      </c>
      <c r="I1251" s="5">
        <v>45815</v>
      </c>
      <c r="J1251" s="7">
        <f t="shared" si="116"/>
        <v>-5.8883671614659463E-4</v>
      </c>
      <c r="K1251" s="5">
        <v>45815</v>
      </c>
      <c r="L1251" s="8">
        <f t="shared" si="114"/>
        <v>-2.0932371391476098E-5</v>
      </c>
      <c r="M1251" s="5">
        <v>45815</v>
      </c>
      <c r="N1251" s="9">
        <f t="shared" si="115"/>
        <v>-6.0976908753807078E-4</v>
      </c>
      <c r="O1251" s="5">
        <v>45815</v>
      </c>
      <c r="P1251">
        <f t="shared" si="117"/>
        <v>0.99994231637545283</v>
      </c>
      <c r="Q1251" s="6">
        <f t="shared" si="118"/>
        <v>1.0000400016000641</v>
      </c>
      <c r="R1251">
        <f t="shared" si="119"/>
        <v>-9.768608833290402E-5</v>
      </c>
      <c r="T1251" s="5">
        <v>45815</v>
      </c>
      <c r="U1251" s="1">
        <v>-9.768608833290402E-5</v>
      </c>
    </row>
    <row r="1252" spans="3:21" x14ac:dyDescent="0.2">
      <c r="C1252" s="5">
        <v>45816</v>
      </c>
      <c r="D1252" s="6">
        <v>0.99985999999999997</v>
      </c>
      <c r="E1252" s="6">
        <v>105786</v>
      </c>
      <c r="F1252" s="6">
        <v>105740</v>
      </c>
      <c r="G1252" s="6">
        <v>105791.41</v>
      </c>
      <c r="H1252" s="6">
        <v>105724.6</v>
      </c>
      <c r="I1252" s="5">
        <v>45816</v>
      </c>
      <c r="J1252" s="7">
        <f t="shared" si="116"/>
        <v>-5.8041706842109709E-4</v>
      </c>
      <c r="K1252" s="5">
        <v>45816</v>
      </c>
      <c r="L1252" s="8">
        <f t="shared" si="114"/>
        <v>4.8619254775868632E-4</v>
      </c>
      <c r="M1252" s="5">
        <v>45816</v>
      </c>
      <c r="N1252" s="9">
        <f t="shared" si="115"/>
        <v>-9.4224520662410766E-5</v>
      </c>
      <c r="O1252" s="5">
        <v>45816</v>
      </c>
      <c r="P1252">
        <f t="shared" si="117"/>
        <v>0.99936847424568775</v>
      </c>
      <c r="Q1252" s="6">
        <f t="shared" si="118"/>
        <v>1.0001400196027443</v>
      </c>
      <c r="R1252">
        <f t="shared" si="119"/>
        <v>-7.7173505161198678E-4</v>
      </c>
      <c r="T1252" s="5">
        <v>45816</v>
      </c>
      <c r="U1252" s="1">
        <v>-7.7173505161198678E-4</v>
      </c>
    </row>
    <row r="1253" spans="3:21" x14ac:dyDescent="0.2">
      <c r="C1253" s="5">
        <v>45817</v>
      </c>
      <c r="D1253" s="6">
        <v>0.99990000000000001</v>
      </c>
      <c r="E1253" s="6">
        <v>110315.9</v>
      </c>
      <c r="F1253" s="6">
        <v>110252</v>
      </c>
      <c r="G1253" s="6">
        <v>110247.69</v>
      </c>
      <c r="H1253" s="6">
        <v>110266.4</v>
      </c>
      <c r="I1253" s="5">
        <v>45817</v>
      </c>
      <c r="J1253" s="7">
        <f t="shared" si="116"/>
        <v>-4.4871138249336681E-4</v>
      </c>
      <c r="K1253" s="5">
        <v>45817</v>
      </c>
      <c r="L1253" s="8">
        <f t="shared" si="114"/>
        <v>-3.9092261364852081E-5</v>
      </c>
      <c r="M1253" s="5">
        <v>45817</v>
      </c>
      <c r="N1253" s="9">
        <f t="shared" si="115"/>
        <v>-4.8780364385821889E-4</v>
      </c>
      <c r="O1253" s="5">
        <v>45817</v>
      </c>
      <c r="P1253">
        <f t="shared" si="117"/>
        <v>1.0001697087712222</v>
      </c>
      <c r="Q1253" s="6">
        <f t="shared" si="118"/>
        <v>1.000100010001</v>
      </c>
      <c r="R1253">
        <f t="shared" si="119"/>
        <v>6.9689371984412582E-5</v>
      </c>
      <c r="T1253" s="5">
        <v>45817</v>
      </c>
      <c r="U1253" s="1">
        <v>6.9689371984412582E-5</v>
      </c>
    </row>
    <row r="1254" spans="3:21" x14ac:dyDescent="0.2">
      <c r="C1254" s="5">
        <v>45818</v>
      </c>
      <c r="D1254" s="6">
        <v>0.99983</v>
      </c>
      <c r="E1254" s="6">
        <v>110295.5</v>
      </c>
      <c r="F1254" s="6">
        <v>110229.5</v>
      </c>
      <c r="G1254" s="6">
        <v>110258.32</v>
      </c>
      <c r="H1254" s="6">
        <v>110245.9</v>
      </c>
      <c r="I1254" s="5">
        <v>45818</v>
      </c>
      <c r="J1254" s="7">
        <f t="shared" si="116"/>
        <v>-4.4970103041380493E-4</v>
      </c>
      <c r="K1254" s="5">
        <v>45818</v>
      </c>
      <c r="L1254" s="8">
        <f t="shared" si="114"/>
        <v>2.6145451081613347E-4</v>
      </c>
      <c r="M1254" s="5">
        <v>45818</v>
      </c>
      <c r="N1254" s="9">
        <f t="shared" si="115"/>
        <v>-1.8824651959767146E-4</v>
      </c>
      <c r="O1254" s="5">
        <v>45818</v>
      </c>
      <c r="P1254">
        <f t="shared" si="117"/>
        <v>0.9998873554394806</v>
      </c>
      <c r="Q1254" s="6">
        <f t="shared" si="118"/>
        <v>1.0001700289049138</v>
      </c>
      <c r="R1254">
        <f t="shared" si="119"/>
        <v>-2.8266535703219003E-4</v>
      </c>
      <c r="T1254" s="5">
        <v>45818</v>
      </c>
      <c r="U1254" s="1">
        <v>-2.8266535703219003E-4</v>
      </c>
    </row>
    <row r="1255" spans="3:21" x14ac:dyDescent="0.2">
      <c r="C1255" s="5">
        <v>45819</v>
      </c>
      <c r="D1255" s="6">
        <v>0.99990000000000001</v>
      </c>
      <c r="E1255" s="6">
        <v>108686.2</v>
      </c>
      <c r="F1255" s="6">
        <v>108628.2</v>
      </c>
      <c r="G1255" s="6">
        <v>108686.05</v>
      </c>
      <c r="H1255" s="6">
        <v>108640.1</v>
      </c>
      <c r="I1255" s="5">
        <v>45819</v>
      </c>
      <c r="J1255" s="7">
        <f t="shared" si="116"/>
        <v>-4.241568846826117E-4</v>
      </c>
      <c r="K1255" s="5">
        <v>45819</v>
      </c>
      <c r="L1255" s="8">
        <f t="shared" si="114"/>
        <v>5.3255047952562799E-4</v>
      </c>
      <c r="M1255" s="5">
        <v>45819</v>
      </c>
      <c r="N1255" s="9">
        <f t="shared" si="115"/>
        <v>1.0839359484301629E-4</v>
      </c>
      <c r="O1255" s="5">
        <v>45819</v>
      </c>
      <c r="P1255">
        <f t="shared" si="117"/>
        <v>0.99957722265184901</v>
      </c>
      <c r="Q1255" s="6">
        <f t="shared" si="118"/>
        <v>1.000100010001</v>
      </c>
      <c r="R1255">
        <f t="shared" si="119"/>
        <v>-5.2287174402450287E-4</v>
      </c>
      <c r="T1255" s="5">
        <v>45819</v>
      </c>
      <c r="U1255" s="1">
        <v>-5.2287174402450287E-4</v>
      </c>
    </row>
    <row r="1256" spans="3:21" x14ac:dyDescent="0.2">
      <c r="C1256" s="5">
        <v>45820</v>
      </c>
      <c r="D1256" s="6">
        <v>0.99990999999999997</v>
      </c>
      <c r="E1256" s="6">
        <v>105724</v>
      </c>
      <c r="F1256" s="6">
        <v>105644.2</v>
      </c>
      <c r="G1256" s="6">
        <v>105826.57</v>
      </c>
      <c r="H1256" s="6">
        <v>105681.8</v>
      </c>
      <c r="I1256" s="5">
        <v>45820</v>
      </c>
      <c r="J1256" s="7">
        <f t="shared" si="116"/>
        <v>-3.991525103098359E-4</v>
      </c>
      <c r="K1256" s="5">
        <v>45820</v>
      </c>
      <c r="L1256" s="8">
        <f t="shared" si="114"/>
        <v>1.726266089383136E-3</v>
      </c>
      <c r="M1256" s="5">
        <v>45820</v>
      </c>
      <c r="N1256" s="9">
        <f t="shared" si="115"/>
        <v>1.3271135790733002E-3</v>
      </c>
      <c r="O1256" s="5">
        <v>45820</v>
      </c>
      <c r="P1256">
        <f t="shared" si="117"/>
        <v>0.99863200706590027</v>
      </c>
      <c r="Q1256" s="6">
        <f t="shared" si="118"/>
        <v>1.0000900081007291</v>
      </c>
      <c r="R1256">
        <f t="shared" si="119"/>
        <v>-1.4589335409093017E-3</v>
      </c>
      <c r="T1256" s="5">
        <v>45820</v>
      </c>
      <c r="U1256" s="1">
        <v>-1.4589335409093017E-3</v>
      </c>
    </row>
    <row r="1257" spans="3:21" x14ac:dyDescent="0.2">
      <c r="C1257" s="5">
        <v>45821</v>
      </c>
      <c r="D1257" s="6">
        <v>0.99985999999999997</v>
      </c>
      <c r="E1257" s="6">
        <v>106124</v>
      </c>
      <c r="F1257" s="6">
        <v>106068</v>
      </c>
      <c r="G1257" s="6">
        <v>106106.51</v>
      </c>
      <c r="H1257" s="6">
        <v>106097.8</v>
      </c>
      <c r="I1257" s="5">
        <v>45821</v>
      </c>
      <c r="J1257" s="7">
        <f t="shared" si="116"/>
        <v>-2.4688100712371461E-4</v>
      </c>
      <c r="K1257" s="5">
        <v>45821</v>
      </c>
      <c r="L1257" s="8">
        <f t="shared" si="114"/>
        <v>3.6306897462000566E-4</v>
      </c>
      <c r="M1257" s="5">
        <v>45821</v>
      </c>
      <c r="N1257" s="9">
        <f t="shared" si="115"/>
        <v>1.1618796749629105E-4</v>
      </c>
      <c r="O1257" s="5">
        <v>45821</v>
      </c>
      <c r="P1257">
        <f t="shared" si="117"/>
        <v>0.99991791267095687</v>
      </c>
      <c r="Q1257" s="6">
        <f t="shared" si="118"/>
        <v>1.0001400196027443</v>
      </c>
      <c r="R1257">
        <f t="shared" si="119"/>
        <v>-2.2210049930700479E-4</v>
      </c>
      <c r="T1257" s="5">
        <v>45821</v>
      </c>
      <c r="U1257" s="1">
        <v>-2.2210049930700479E-4</v>
      </c>
    </row>
    <row r="1258" spans="3:21" x14ac:dyDescent="0.2">
      <c r="C1258" s="5">
        <v>45822</v>
      </c>
      <c r="D1258" s="6">
        <v>0.99997000000000003</v>
      </c>
      <c r="E1258" s="6">
        <v>105466.3</v>
      </c>
      <c r="F1258" s="6">
        <v>105402.1</v>
      </c>
      <c r="G1258" s="6">
        <v>105482.22</v>
      </c>
      <c r="H1258" s="6">
        <v>105430.7</v>
      </c>
      <c r="I1258" s="5">
        <v>45822</v>
      </c>
      <c r="J1258" s="7">
        <f t="shared" si="116"/>
        <v>-3.3754858186933474E-4</v>
      </c>
      <c r="K1258" s="5">
        <v>45822</v>
      </c>
      <c r="L1258" s="8">
        <f t="shared" si="114"/>
        <v>7.6013665761873184E-4</v>
      </c>
      <c r="M1258" s="5">
        <v>45822</v>
      </c>
      <c r="N1258" s="9">
        <f t="shared" si="115"/>
        <v>4.225880757493971E-4</v>
      </c>
      <c r="O1258" s="5">
        <v>45822</v>
      </c>
      <c r="P1258">
        <f t="shared" si="117"/>
        <v>0.99951157645335875</v>
      </c>
      <c r="Q1258" s="6">
        <f t="shared" si="118"/>
        <v>1.0000300009000269</v>
      </c>
      <c r="R1258">
        <f t="shared" si="119"/>
        <v>-5.1854331428386228E-4</v>
      </c>
      <c r="T1258" s="5">
        <v>45822</v>
      </c>
      <c r="U1258" s="1">
        <v>-5.1854331428386228E-4</v>
      </c>
    </row>
    <row r="1259" spans="3:21" x14ac:dyDescent="0.2">
      <c r="C1259" s="5">
        <v>45823</v>
      </c>
      <c r="D1259" s="6">
        <v>0.99997999999999998</v>
      </c>
      <c r="E1259" s="6">
        <v>105621.9</v>
      </c>
      <c r="F1259" s="6">
        <v>105558.2</v>
      </c>
      <c r="G1259" s="6">
        <v>105561.61</v>
      </c>
      <c r="H1259" s="6">
        <v>105575.3</v>
      </c>
      <c r="I1259" s="5">
        <v>45823</v>
      </c>
      <c r="J1259" s="7">
        <f t="shared" si="116"/>
        <v>-4.4119638067475846E-4</v>
      </c>
      <c r="K1259" s="5">
        <v>45823</v>
      </c>
      <c r="L1259" s="8">
        <f t="shared" si="114"/>
        <v>3.2304453846347251E-5</v>
      </c>
      <c r="M1259" s="5">
        <v>45823</v>
      </c>
      <c r="N1259" s="9">
        <f t="shared" si="115"/>
        <v>-4.088919268284112E-4</v>
      </c>
      <c r="O1259" s="5">
        <v>45823</v>
      </c>
      <c r="P1259">
        <f t="shared" si="117"/>
        <v>1.0001296872982517</v>
      </c>
      <c r="Q1259" s="6">
        <f t="shared" si="118"/>
        <v>1.0000200004000079</v>
      </c>
      <c r="R1259">
        <f t="shared" si="119"/>
        <v>1.096786895785219E-4</v>
      </c>
      <c r="T1259" s="5">
        <v>45823</v>
      </c>
      <c r="U1259" s="1">
        <v>1.096786895785219E-4</v>
      </c>
    </row>
    <row r="1260" spans="3:21" x14ac:dyDescent="0.2">
      <c r="C1260" s="5">
        <v>45824</v>
      </c>
      <c r="D1260" s="6">
        <v>1</v>
      </c>
      <c r="E1260" s="6">
        <v>106846.2</v>
      </c>
      <c r="F1260" s="6">
        <v>106785.9</v>
      </c>
      <c r="G1260" s="6">
        <v>106808.24</v>
      </c>
      <c r="H1260" s="6">
        <v>106764.9</v>
      </c>
      <c r="I1260" s="5">
        <v>45824</v>
      </c>
      <c r="J1260" s="7">
        <f t="shared" si="116"/>
        <v>-7.6090679874439061E-4</v>
      </c>
      <c r="K1260" s="5">
        <v>45824</v>
      </c>
      <c r="L1260" s="8">
        <f t="shared" si="114"/>
        <v>2.09203649545596E-4</v>
      </c>
      <c r="M1260" s="5">
        <v>45824</v>
      </c>
      <c r="N1260" s="9">
        <f t="shared" si="115"/>
        <v>-5.5170314919879455E-4</v>
      </c>
      <c r="O1260" s="5">
        <v>45824</v>
      </c>
      <c r="P1260">
        <f t="shared" si="117"/>
        <v>0.99959422606345716</v>
      </c>
      <c r="Q1260" s="6">
        <f t="shared" si="118"/>
        <v>1</v>
      </c>
      <c r="R1260">
        <f t="shared" si="119"/>
        <v>-4.0585628506397266E-4</v>
      </c>
      <c r="T1260" s="5">
        <v>45824</v>
      </c>
      <c r="U1260" s="1">
        <v>-4.0585628506397266E-4</v>
      </c>
    </row>
    <row r="1261" spans="3:21" x14ac:dyDescent="0.2">
      <c r="C1261" s="5">
        <v>45825</v>
      </c>
      <c r="D1261" s="6">
        <v>0.99990999999999997</v>
      </c>
      <c r="E1261" s="6">
        <v>104577.1</v>
      </c>
      <c r="F1261" s="6">
        <v>104528.5</v>
      </c>
      <c r="G1261" s="6">
        <v>104519.13</v>
      </c>
      <c r="H1261" s="6">
        <v>104545.5</v>
      </c>
      <c r="I1261" s="5">
        <v>45825</v>
      </c>
      <c r="J1261" s="7">
        <f t="shared" si="116"/>
        <v>-3.0216940420040158E-4</v>
      </c>
      <c r="K1261" s="5">
        <v>45825</v>
      </c>
      <c r="L1261" s="8">
        <f t="shared" si="114"/>
        <v>-8.9640624327292016E-5</v>
      </c>
      <c r="M1261" s="5">
        <v>45825</v>
      </c>
      <c r="N1261" s="9">
        <f t="shared" si="115"/>
        <v>-3.9181002852769359E-4</v>
      </c>
      <c r="O1261" s="5">
        <v>45825</v>
      </c>
      <c r="P1261">
        <f t="shared" si="117"/>
        <v>1.0002522983113236</v>
      </c>
      <c r="Q1261" s="6">
        <f t="shared" si="118"/>
        <v>1.0000900081007291</v>
      </c>
      <c r="R1261">
        <f t="shared" si="119"/>
        <v>1.622624392138032E-4</v>
      </c>
      <c r="T1261" s="5">
        <v>45825</v>
      </c>
      <c r="U1261" s="1">
        <v>1.622624392138032E-4</v>
      </c>
    </row>
    <row r="1262" spans="3:21" x14ac:dyDescent="0.2">
      <c r="C1262" s="5">
        <v>45826</v>
      </c>
      <c r="D1262" s="6">
        <v>0.99987000000000004</v>
      </c>
      <c r="E1262" s="6">
        <v>104928.8</v>
      </c>
      <c r="F1262" s="6">
        <v>104861.9</v>
      </c>
      <c r="G1262" s="6">
        <v>104878.32</v>
      </c>
      <c r="H1262" s="6">
        <v>104797</v>
      </c>
      <c r="I1262" s="5">
        <v>45826</v>
      </c>
      <c r="J1262" s="7">
        <f t="shared" si="116"/>
        <v>-1.2560898437798099E-3</v>
      </c>
      <c r="K1262" s="5">
        <v>45826</v>
      </c>
      <c r="L1262" s="8">
        <f t="shared" si="114"/>
        <v>1.5658690143906229E-4</v>
      </c>
      <c r="M1262" s="5">
        <v>45826</v>
      </c>
      <c r="N1262" s="9">
        <f t="shared" si="115"/>
        <v>-1.0995029423407476E-3</v>
      </c>
      <c r="O1262" s="5">
        <v>45826</v>
      </c>
      <c r="P1262">
        <f t="shared" si="117"/>
        <v>0.999224625260969</v>
      </c>
      <c r="Q1262" s="6">
        <f t="shared" si="118"/>
        <v>1.0001300169021972</v>
      </c>
      <c r="R1262">
        <f t="shared" si="119"/>
        <v>-9.0568394823331566E-4</v>
      </c>
      <c r="T1262" s="5">
        <v>45826</v>
      </c>
      <c r="U1262" s="1">
        <v>-9.0568394823331566E-4</v>
      </c>
    </row>
    <row r="1263" spans="3:21" x14ac:dyDescent="0.2">
      <c r="C1263" s="5">
        <v>45827</v>
      </c>
      <c r="D1263" s="6">
        <v>0.99999000000000005</v>
      </c>
      <c r="E1263" s="6">
        <v>104682.1</v>
      </c>
      <c r="F1263" s="6">
        <v>104634.7</v>
      </c>
      <c r="G1263" s="6">
        <v>104626.9</v>
      </c>
      <c r="H1263" s="6">
        <v>104627.8</v>
      </c>
      <c r="I1263" s="5">
        <v>45827</v>
      </c>
      <c r="J1263" s="7">
        <f t="shared" si="116"/>
        <v>-5.187133234813106E-4</v>
      </c>
      <c r="K1263" s="5">
        <v>45827</v>
      </c>
      <c r="L1263" s="8">
        <f t="shared" si="114"/>
        <v>-7.4545060099593256E-5</v>
      </c>
      <c r="M1263" s="5">
        <v>45827</v>
      </c>
      <c r="N1263" s="9">
        <f t="shared" si="115"/>
        <v>-5.9325838358090385E-4</v>
      </c>
      <c r="O1263" s="5">
        <v>45827</v>
      </c>
      <c r="P1263">
        <f t="shared" si="117"/>
        <v>1.0000086019943246</v>
      </c>
      <c r="Q1263" s="6">
        <f t="shared" si="118"/>
        <v>1.000010000100001</v>
      </c>
      <c r="R1263">
        <f t="shared" si="119"/>
        <v>-1.39809267263491E-6</v>
      </c>
      <c r="T1263" s="5">
        <v>45827</v>
      </c>
      <c r="U1263" s="1">
        <v>-1.39809267263491E-6</v>
      </c>
    </row>
    <row r="1264" spans="3:21" x14ac:dyDescent="0.2">
      <c r="C1264" s="5">
        <v>45828</v>
      </c>
      <c r="D1264" s="6">
        <v>1</v>
      </c>
      <c r="E1264" s="6">
        <v>103312</v>
      </c>
      <c r="F1264" s="6">
        <v>103256</v>
      </c>
      <c r="G1264" s="6">
        <v>103388.89</v>
      </c>
      <c r="H1264" s="6">
        <v>103263</v>
      </c>
      <c r="I1264" s="5">
        <v>45828</v>
      </c>
      <c r="J1264" s="7">
        <f t="shared" si="116"/>
        <v>-4.742914666253678E-4</v>
      </c>
      <c r="K1264" s="5">
        <v>45828</v>
      </c>
      <c r="L1264" s="8">
        <f t="shared" si="114"/>
        <v>1.2869954288370596E-3</v>
      </c>
      <c r="M1264" s="5">
        <v>45828</v>
      </c>
      <c r="N1264" s="9">
        <f t="shared" si="115"/>
        <v>8.1270396221169174E-4</v>
      </c>
      <c r="O1264" s="5">
        <v>45828</v>
      </c>
      <c r="P1264">
        <f t="shared" si="117"/>
        <v>0.99878236433334366</v>
      </c>
      <c r="Q1264" s="6">
        <f t="shared" si="118"/>
        <v>1</v>
      </c>
      <c r="R1264">
        <f t="shared" si="119"/>
        <v>-1.2183775872851898E-3</v>
      </c>
      <c r="T1264" s="5">
        <v>45828</v>
      </c>
      <c r="U1264" s="1">
        <v>-1.2183775872851898E-3</v>
      </c>
    </row>
    <row r="1265" spans="3:21" x14ac:dyDescent="0.2">
      <c r="C1265" s="5">
        <v>45829</v>
      </c>
      <c r="D1265" s="6">
        <v>0.99997999999999998</v>
      </c>
      <c r="E1265" s="6">
        <v>102154.1</v>
      </c>
      <c r="F1265" s="6">
        <v>102095.9</v>
      </c>
      <c r="G1265" s="6">
        <v>102180.51</v>
      </c>
      <c r="H1265" s="6">
        <v>102102.1</v>
      </c>
      <c r="I1265" s="5">
        <v>45829</v>
      </c>
      <c r="J1265" s="7">
        <f t="shared" si="116"/>
        <v>-5.0903487965730198E-4</v>
      </c>
      <c r="K1265" s="5">
        <v>45829</v>
      </c>
      <c r="L1265" s="8">
        <f t="shared" si="114"/>
        <v>8.2873063462882038E-4</v>
      </c>
      <c r="M1265" s="5">
        <v>45829</v>
      </c>
      <c r="N1265" s="9">
        <f t="shared" si="115"/>
        <v>3.196957549715184E-4</v>
      </c>
      <c r="O1265" s="5">
        <v>45829</v>
      </c>
      <c r="P1265">
        <f t="shared" si="117"/>
        <v>0.99923263252453931</v>
      </c>
      <c r="Q1265" s="6">
        <f t="shared" si="118"/>
        <v>1.0000200004000079</v>
      </c>
      <c r="R1265">
        <f t="shared" si="119"/>
        <v>-7.8766225259338269E-4</v>
      </c>
      <c r="T1265" s="5">
        <v>45829</v>
      </c>
      <c r="U1265" s="1">
        <v>-7.8766225259338269E-4</v>
      </c>
    </row>
    <row r="1266" spans="3:21" x14ac:dyDescent="0.2">
      <c r="C1266" s="5">
        <v>45830</v>
      </c>
      <c r="D1266" s="6">
        <v>1.0001</v>
      </c>
      <c r="E1266" s="6">
        <v>101003.9</v>
      </c>
      <c r="F1266" s="6">
        <v>100945.1</v>
      </c>
      <c r="G1266" s="6">
        <v>100985.79</v>
      </c>
      <c r="H1266" s="6">
        <v>100964.5</v>
      </c>
      <c r="I1266" s="5">
        <v>45830</v>
      </c>
      <c r="J1266" s="7">
        <f t="shared" si="116"/>
        <v>-3.9008394725346431E-4</v>
      </c>
      <c r="K1266" s="5">
        <v>45830</v>
      </c>
      <c r="L1266" s="8">
        <f t="shared" si="114"/>
        <v>4.0309039269848434E-4</v>
      </c>
      <c r="M1266" s="5">
        <v>45830</v>
      </c>
      <c r="N1266" s="9">
        <f t="shared" si="115"/>
        <v>1.3006445445020039E-5</v>
      </c>
      <c r="O1266" s="5">
        <v>45830</v>
      </c>
      <c r="P1266">
        <f t="shared" si="117"/>
        <v>0.99978917825963431</v>
      </c>
      <c r="Q1266" s="6">
        <f t="shared" si="118"/>
        <v>0.99990000999900008</v>
      </c>
      <c r="R1266">
        <f t="shared" si="119"/>
        <v>-1.1084896605933808E-4</v>
      </c>
      <c r="T1266" s="5">
        <v>45830</v>
      </c>
      <c r="U1266" s="1">
        <v>-1.1084896605933808E-4</v>
      </c>
    </row>
    <row r="1267" spans="3:21" x14ac:dyDescent="0.2">
      <c r="C1267" s="5">
        <v>45831</v>
      </c>
      <c r="D1267" s="6">
        <v>0.99997999999999998</v>
      </c>
      <c r="E1267" s="6">
        <v>105425.9</v>
      </c>
      <c r="F1267" s="6">
        <v>105374.9</v>
      </c>
      <c r="G1267" s="6">
        <v>105443.27</v>
      </c>
      <c r="H1267" s="6">
        <v>105397.8</v>
      </c>
      <c r="I1267" s="5">
        <v>45831</v>
      </c>
      <c r="J1267" s="7">
        <f t="shared" si="116"/>
        <v>-2.6653791905016953E-4</v>
      </c>
      <c r="K1267" s="5">
        <v>45831</v>
      </c>
      <c r="L1267" s="8">
        <f t="shared" si="114"/>
        <v>6.4882623850660739E-4</v>
      </c>
      <c r="M1267" s="5">
        <v>45831</v>
      </c>
      <c r="N1267" s="9">
        <f t="shared" si="115"/>
        <v>3.8228831945643786E-4</v>
      </c>
      <c r="O1267" s="5">
        <v>45831</v>
      </c>
      <c r="P1267">
        <f t="shared" si="117"/>
        <v>0.99956877285767021</v>
      </c>
      <c r="Q1267" s="6">
        <f t="shared" si="118"/>
        <v>1.0000200004000079</v>
      </c>
      <c r="R1267">
        <f t="shared" si="119"/>
        <v>-4.5132034749502669E-4</v>
      </c>
      <c r="T1267" s="5">
        <v>45831</v>
      </c>
      <c r="U1267" s="1">
        <v>-4.5132034749502669E-4</v>
      </c>
    </row>
    <row r="1268" spans="3:21" x14ac:dyDescent="0.2">
      <c r="C1268" s="5">
        <v>45832</v>
      </c>
      <c r="D1268" s="6">
        <v>1.00007</v>
      </c>
      <c r="E1268" s="6">
        <v>106140.3</v>
      </c>
      <c r="F1268" s="6">
        <v>106080</v>
      </c>
      <c r="G1268" s="6">
        <v>106137.7</v>
      </c>
      <c r="H1268" s="6">
        <v>106078.3</v>
      </c>
      <c r="I1268" s="5">
        <v>45832</v>
      </c>
      <c r="J1268" s="7">
        <f t="shared" si="116"/>
        <v>-5.8413251140236079E-4</v>
      </c>
      <c r="K1268" s="5">
        <v>45832</v>
      </c>
      <c r="L1268" s="8">
        <f t="shared" si="114"/>
        <v>5.4392911010555322E-4</v>
      </c>
      <c r="M1268" s="5">
        <v>45832</v>
      </c>
      <c r="N1268" s="9">
        <f t="shared" si="115"/>
        <v>-4.0203401296807573E-5</v>
      </c>
      <c r="O1268" s="5">
        <v>45832</v>
      </c>
      <c r="P1268">
        <f t="shared" si="117"/>
        <v>0.99944034965898076</v>
      </c>
      <c r="Q1268" s="6">
        <f t="shared" si="118"/>
        <v>0.999930004899657</v>
      </c>
      <c r="R1268">
        <f t="shared" si="119"/>
        <v>-4.8980945361056666E-4</v>
      </c>
      <c r="T1268" s="5">
        <v>45832</v>
      </c>
      <c r="U1268" s="1">
        <v>-4.8980945361056666E-4</v>
      </c>
    </row>
    <row r="1269" spans="3:21" x14ac:dyDescent="0.2">
      <c r="C1269" s="5">
        <v>45833</v>
      </c>
      <c r="D1269" s="6">
        <v>0.99997000000000003</v>
      </c>
      <c r="E1269" s="6">
        <v>107390.7</v>
      </c>
      <c r="F1269" s="6">
        <v>107344.1</v>
      </c>
      <c r="G1269" s="6">
        <v>107397.72</v>
      </c>
      <c r="H1269" s="6">
        <v>107345.3</v>
      </c>
      <c r="I1269" s="5">
        <v>45833</v>
      </c>
      <c r="J1269" s="7">
        <f t="shared" si="116"/>
        <v>-4.2275541550613024E-4</v>
      </c>
      <c r="K1269" s="5">
        <v>45833</v>
      </c>
      <c r="L1269" s="8">
        <f t="shared" si="114"/>
        <v>4.9951511075126945E-4</v>
      </c>
      <c r="M1269" s="5">
        <v>45833</v>
      </c>
      <c r="N1269" s="9">
        <f t="shared" si="115"/>
        <v>7.6759695245139212E-5</v>
      </c>
      <c r="O1269" s="5">
        <v>45833</v>
      </c>
      <c r="P1269">
        <f t="shared" si="117"/>
        <v>0.99951190770157883</v>
      </c>
      <c r="Q1269" s="6">
        <f t="shared" si="118"/>
        <v>1.0000300009000269</v>
      </c>
      <c r="R1269">
        <f t="shared" si="119"/>
        <v>-5.182119042502608E-4</v>
      </c>
      <c r="T1269" s="5">
        <v>45833</v>
      </c>
      <c r="U1269" s="1">
        <v>-5.182119042502608E-4</v>
      </c>
    </row>
    <row r="1270" spans="3:21" x14ac:dyDescent="0.2">
      <c r="C1270" s="5">
        <v>45834</v>
      </c>
      <c r="D1270" s="6">
        <v>0.99999000000000005</v>
      </c>
      <c r="E1270" s="6">
        <v>107012.5</v>
      </c>
      <c r="F1270" s="6">
        <v>106969.4</v>
      </c>
      <c r="G1270" s="6">
        <v>106980.1</v>
      </c>
      <c r="H1270" s="6">
        <v>106932.5</v>
      </c>
      <c r="I1270" s="5">
        <v>45834</v>
      </c>
      <c r="J1270" s="7">
        <f t="shared" si="116"/>
        <v>-7.4757621773157345E-4</v>
      </c>
      <c r="K1270" s="5">
        <v>45834</v>
      </c>
      <c r="L1270" s="8">
        <f t="shared" si="114"/>
        <v>1.0002860631182041E-4</v>
      </c>
      <c r="M1270" s="5">
        <v>45834</v>
      </c>
      <c r="N1270" s="9">
        <f t="shared" si="115"/>
        <v>-6.4754761141975299E-4</v>
      </c>
      <c r="O1270" s="5">
        <v>45834</v>
      </c>
      <c r="P1270">
        <f t="shared" si="117"/>
        <v>0.99955505743591566</v>
      </c>
      <c r="Q1270" s="6">
        <f t="shared" si="118"/>
        <v>1.000010000100001</v>
      </c>
      <c r="R1270">
        <f t="shared" si="119"/>
        <v>-4.550416303994664E-4</v>
      </c>
      <c r="T1270" s="5">
        <v>45834</v>
      </c>
      <c r="U1270" s="1">
        <v>-4.550416303994664E-4</v>
      </c>
    </row>
    <row r="1271" spans="3:21" x14ac:dyDescent="0.2">
      <c r="C1271" s="5">
        <v>45835</v>
      </c>
      <c r="D1271" s="6">
        <v>0.99997999999999998</v>
      </c>
      <c r="E1271" s="6">
        <v>107106</v>
      </c>
      <c r="F1271" s="6">
        <v>107054.1</v>
      </c>
      <c r="G1271" s="6">
        <v>107129.46</v>
      </c>
      <c r="H1271" s="6">
        <v>107018.7</v>
      </c>
      <c r="I1271" s="5">
        <v>45835</v>
      </c>
      <c r="J1271" s="7">
        <f t="shared" si="116"/>
        <v>-8.1508038765337992E-4</v>
      </c>
      <c r="K1271" s="5">
        <v>45835</v>
      </c>
      <c r="L1271" s="8">
        <f t="shared" si="114"/>
        <v>7.0394314650256817E-4</v>
      </c>
      <c r="M1271" s="5">
        <v>45835</v>
      </c>
      <c r="N1271" s="9">
        <f t="shared" si="115"/>
        <v>-1.1113724115081175E-4</v>
      </c>
      <c r="O1271" s="5">
        <v>45835</v>
      </c>
      <c r="P1271">
        <f t="shared" si="117"/>
        <v>0.99896611072248465</v>
      </c>
      <c r="Q1271" s="6">
        <f t="shared" si="118"/>
        <v>1.0000200004000079</v>
      </c>
      <c r="R1271">
        <f t="shared" si="119"/>
        <v>-1.0544243097070324E-3</v>
      </c>
      <c r="T1271" s="5">
        <v>45835</v>
      </c>
      <c r="U1271" s="1">
        <v>-1.0544243097070324E-3</v>
      </c>
    </row>
    <row r="1272" spans="3:21" x14ac:dyDescent="0.2">
      <c r="C1272" s="5">
        <v>45836</v>
      </c>
      <c r="D1272" s="6">
        <v>1</v>
      </c>
      <c r="E1272" s="6">
        <v>107344</v>
      </c>
      <c r="F1272" s="6">
        <v>107300.1</v>
      </c>
      <c r="G1272" s="6">
        <v>107339.62</v>
      </c>
      <c r="H1272" s="6">
        <v>107305.4</v>
      </c>
      <c r="I1272" s="5">
        <v>45836</v>
      </c>
      <c r="J1272" s="7">
        <f t="shared" si="116"/>
        <v>-3.5959159338207837E-4</v>
      </c>
      <c r="K1272" s="5">
        <v>45836</v>
      </c>
      <c r="L1272" s="8">
        <f t="shared" si="114"/>
        <v>3.683127974716661E-4</v>
      </c>
      <c r="M1272" s="5">
        <v>45836</v>
      </c>
      <c r="N1272" s="9">
        <f t="shared" si="115"/>
        <v>8.721204089587732E-6</v>
      </c>
      <c r="O1272" s="5">
        <v>45836</v>
      </c>
      <c r="P1272">
        <f t="shared" si="117"/>
        <v>0.99968119879686546</v>
      </c>
      <c r="Q1272" s="6">
        <f t="shared" si="118"/>
        <v>1</v>
      </c>
      <c r="R1272">
        <f t="shared" si="119"/>
        <v>-3.1885203104105661E-4</v>
      </c>
      <c r="T1272" s="5">
        <v>45836</v>
      </c>
      <c r="U1272" s="1">
        <v>-3.1885203104105661E-4</v>
      </c>
    </row>
    <row r="1273" spans="3:21" x14ac:dyDescent="0.2">
      <c r="C1273" s="5">
        <v>45837</v>
      </c>
      <c r="D1273" s="6">
        <v>0.99997999999999998</v>
      </c>
      <c r="E1273" s="6">
        <v>108388.7</v>
      </c>
      <c r="F1273" s="6">
        <v>108335.5</v>
      </c>
      <c r="G1273" s="6">
        <v>108350.38</v>
      </c>
      <c r="H1273" s="6">
        <v>108354.8</v>
      </c>
      <c r="I1273" s="5">
        <v>45837</v>
      </c>
      <c r="J1273" s="7">
        <f t="shared" si="116"/>
        <v>-3.127632308533471E-4</v>
      </c>
      <c r="K1273" s="5">
        <v>45837</v>
      </c>
      <c r="L1273" s="8">
        <f t="shared" si="114"/>
        <v>1.3735109913190651E-4</v>
      </c>
      <c r="M1273" s="5">
        <v>45837</v>
      </c>
      <c r="N1273" s="9">
        <f t="shared" si="115"/>
        <v>-1.7541213172144059E-4</v>
      </c>
      <c r="O1273" s="5">
        <v>45837</v>
      </c>
      <c r="P1273">
        <f t="shared" si="117"/>
        <v>1.0000407935809732</v>
      </c>
      <c r="Q1273" s="6">
        <f t="shared" si="118"/>
        <v>1.0000200004000079</v>
      </c>
      <c r="R1273">
        <f t="shared" si="119"/>
        <v>2.0792548935152095E-5</v>
      </c>
      <c r="T1273" s="5">
        <v>45837</v>
      </c>
      <c r="U1273" s="1">
        <v>2.0792548935152095E-5</v>
      </c>
    </row>
    <row r="1274" spans="3:21" x14ac:dyDescent="0.2">
      <c r="C1274" s="5">
        <v>45838</v>
      </c>
      <c r="D1274" s="6">
        <v>0.99995000000000001</v>
      </c>
      <c r="E1274" s="6">
        <v>107179.8</v>
      </c>
      <c r="F1274" s="6">
        <v>107117.8</v>
      </c>
      <c r="G1274" s="6">
        <v>107168.23</v>
      </c>
      <c r="H1274" s="6">
        <v>107136.4</v>
      </c>
      <c r="I1274" s="5">
        <v>45838</v>
      </c>
      <c r="J1274" s="7">
        <f t="shared" si="116"/>
        <v>-4.0492704782065956E-4</v>
      </c>
      <c r="K1274" s="5">
        <v>45838</v>
      </c>
      <c r="L1274" s="8">
        <f t="shared" si="114"/>
        <v>4.7079010211181532E-4</v>
      </c>
      <c r="M1274" s="5">
        <v>45838</v>
      </c>
      <c r="N1274" s="9">
        <f t="shared" si="115"/>
        <v>6.5863054291155762E-5</v>
      </c>
      <c r="O1274" s="5">
        <v>45838</v>
      </c>
      <c r="P1274">
        <f t="shared" si="117"/>
        <v>0.99970299033584864</v>
      </c>
      <c r="Q1274" s="6">
        <f t="shared" si="118"/>
        <v>1.0000500025001251</v>
      </c>
      <c r="R1274">
        <f t="shared" si="119"/>
        <v>-3.470550302989537E-4</v>
      </c>
      <c r="T1274" s="5">
        <v>45838</v>
      </c>
      <c r="U1274" s="1">
        <v>-3.470550302989537E-4</v>
      </c>
    </row>
    <row r="1275" spans="3:21" x14ac:dyDescent="0.2">
      <c r="C1275" s="5">
        <v>45839</v>
      </c>
      <c r="D1275" s="6">
        <v>1</v>
      </c>
      <c r="E1275" s="6">
        <v>105706</v>
      </c>
      <c r="F1275" s="6">
        <v>105648.9</v>
      </c>
      <c r="G1275" s="6">
        <v>105740.17</v>
      </c>
      <c r="H1275" s="6">
        <v>105663.5</v>
      </c>
      <c r="I1275" s="5">
        <v>45839</v>
      </c>
      <c r="J1275" s="7">
        <f t="shared" si="116"/>
        <v>-4.0205853972338372E-4</v>
      </c>
      <c r="K1275" s="5">
        <v>45839</v>
      </c>
      <c r="L1275" s="8">
        <f t="shared" si="114"/>
        <v>8.6389919819329945E-4</v>
      </c>
      <c r="M1275" s="5">
        <v>45839</v>
      </c>
      <c r="N1275" s="9">
        <f t="shared" si="115"/>
        <v>4.6184065846991573E-4</v>
      </c>
      <c r="O1275" s="5">
        <v>45839</v>
      </c>
      <c r="P1275">
        <f t="shared" si="117"/>
        <v>0.99927492077987001</v>
      </c>
      <c r="Q1275" s="6">
        <f t="shared" si="118"/>
        <v>1</v>
      </c>
      <c r="R1275">
        <f t="shared" si="119"/>
        <v>-7.2534221720454636E-4</v>
      </c>
      <c r="T1275" s="5">
        <v>45839</v>
      </c>
      <c r="U1275" s="1">
        <v>-7.2534221720454636E-4</v>
      </c>
    </row>
    <row r="1276" spans="3:21" x14ac:dyDescent="0.2">
      <c r="C1276" s="5">
        <v>45840</v>
      </c>
      <c r="D1276" s="6">
        <v>0.99990000000000001</v>
      </c>
      <c r="E1276" s="6">
        <v>108890</v>
      </c>
      <c r="F1276" s="6">
        <v>108843.6</v>
      </c>
      <c r="G1276" s="6">
        <v>108845.59</v>
      </c>
      <c r="H1276" s="6">
        <v>108836.9</v>
      </c>
      <c r="I1276" s="5">
        <v>45840</v>
      </c>
      <c r="J1276" s="7">
        <f t="shared" si="116"/>
        <v>-4.8764808522367364E-4</v>
      </c>
      <c r="K1276" s="5">
        <v>45840</v>
      </c>
      <c r="L1276" s="8">
        <f t="shared" si="114"/>
        <v>1.8283114487123602E-5</v>
      </c>
      <c r="M1276" s="5">
        <v>45840</v>
      </c>
      <c r="N1276" s="9">
        <f t="shared" si="115"/>
        <v>-4.6936497073655001E-4</v>
      </c>
      <c r="O1276" s="5">
        <v>45840</v>
      </c>
      <c r="P1276">
        <f t="shared" si="117"/>
        <v>0.99992016213059243</v>
      </c>
      <c r="Q1276" s="6">
        <f t="shared" si="118"/>
        <v>1.000100010001</v>
      </c>
      <c r="R1276">
        <f t="shared" si="119"/>
        <v>-1.7984605695323325E-4</v>
      </c>
      <c r="T1276" s="5">
        <v>45840</v>
      </c>
      <c r="U1276" s="1">
        <v>-1.7984605695323325E-4</v>
      </c>
    </row>
    <row r="1277" spans="3:21" x14ac:dyDescent="0.2">
      <c r="C1277" s="5">
        <v>45841</v>
      </c>
      <c r="D1277" s="6">
        <v>0.99999000000000005</v>
      </c>
      <c r="E1277" s="6">
        <v>109637.2</v>
      </c>
      <c r="F1277" s="6">
        <v>109573.4</v>
      </c>
      <c r="G1277" s="6">
        <v>109637.73</v>
      </c>
      <c r="H1277" s="6">
        <v>109580.9</v>
      </c>
      <c r="I1277" s="5">
        <v>45841</v>
      </c>
      <c r="J1277" s="7">
        <f t="shared" si="116"/>
        <v>-5.1351183722315888E-4</v>
      </c>
      <c r="K1277" s="5">
        <v>45841</v>
      </c>
      <c r="L1277" s="8">
        <f t="shared" si="114"/>
        <v>5.8709504314004811E-4</v>
      </c>
      <c r="M1277" s="5">
        <v>45841</v>
      </c>
      <c r="N1277" s="9">
        <f t="shared" si="115"/>
        <v>7.3583205916889229E-5</v>
      </c>
      <c r="O1277" s="5">
        <v>45841</v>
      </c>
      <c r="P1277">
        <f t="shared" si="117"/>
        <v>0.9994816565428708</v>
      </c>
      <c r="Q1277" s="6">
        <f t="shared" si="118"/>
        <v>1.000010000100001</v>
      </c>
      <c r="R1277">
        <f t="shared" si="119"/>
        <v>-5.2847789354014733E-4</v>
      </c>
      <c r="T1277" s="5">
        <v>45841</v>
      </c>
      <c r="U1277" s="1">
        <v>-5.2847789354014733E-4</v>
      </c>
    </row>
    <row r="1278" spans="3:21" x14ac:dyDescent="0.2">
      <c r="C1278" s="5">
        <v>45842</v>
      </c>
      <c r="D1278" s="6">
        <v>1</v>
      </c>
      <c r="E1278" s="6">
        <v>108022</v>
      </c>
      <c r="F1278" s="6">
        <v>107973.6</v>
      </c>
      <c r="G1278" s="6">
        <v>108097</v>
      </c>
      <c r="H1278" s="6">
        <v>107966.2</v>
      </c>
      <c r="I1278" s="5">
        <v>45842</v>
      </c>
      <c r="J1278" s="7">
        <f t="shared" si="116"/>
        <v>-5.165614411879331E-4</v>
      </c>
      <c r="K1278" s="5">
        <v>45842</v>
      </c>
      <c r="L1278" s="8">
        <f t="shared" si="114"/>
        <v>1.1428719612941883E-3</v>
      </c>
      <c r="M1278" s="5">
        <v>45842</v>
      </c>
      <c r="N1278" s="9">
        <f t="shared" si="115"/>
        <v>6.263105201062552E-4</v>
      </c>
      <c r="O1278" s="5">
        <v>45842</v>
      </c>
      <c r="P1278">
        <f t="shared" si="117"/>
        <v>0.99878997567000005</v>
      </c>
      <c r="Q1278" s="6">
        <f t="shared" si="118"/>
        <v>1</v>
      </c>
      <c r="R1278">
        <f t="shared" si="119"/>
        <v>-1.2107570005319593E-3</v>
      </c>
      <c r="T1278" s="5">
        <v>45842</v>
      </c>
      <c r="U1278" s="1">
        <v>-1.2107570005319593E-3</v>
      </c>
    </row>
    <row r="1279" spans="3:21" x14ac:dyDescent="0.2">
      <c r="C1279" s="5">
        <v>45843</v>
      </c>
      <c r="D1279" s="6">
        <v>1.00003</v>
      </c>
      <c r="E1279" s="6">
        <v>108227.9</v>
      </c>
      <c r="F1279" s="6">
        <v>108186</v>
      </c>
      <c r="G1279" s="6">
        <v>108302.54</v>
      </c>
      <c r="H1279" s="6">
        <v>108166.5</v>
      </c>
      <c r="I1279" s="5">
        <v>45843</v>
      </c>
      <c r="J1279" s="7">
        <f t="shared" si="116"/>
        <v>-5.6732136537800495E-4</v>
      </c>
      <c r="K1279" s="5">
        <v>45843</v>
      </c>
      <c r="L1279" s="8">
        <f t="shared" si="114"/>
        <v>1.0772188638085668E-3</v>
      </c>
      <c r="M1279" s="5">
        <v>45843</v>
      </c>
      <c r="N1279" s="9">
        <f t="shared" si="115"/>
        <v>5.0989749843056184E-4</v>
      </c>
      <c r="O1279" s="5">
        <v>45843</v>
      </c>
      <c r="P1279">
        <f t="shared" si="117"/>
        <v>0.99874388910915679</v>
      </c>
      <c r="Q1279" s="6">
        <f t="shared" si="118"/>
        <v>0.99997000089997301</v>
      </c>
      <c r="R1279">
        <f t="shared" si="119"/>
        <v>-1.2269009093789278E-3</v>
      </c>
      <c r="T1279" s="5">
        <v>45843</v>
      </c>
      <c r="U1279" s="1">
        <v>-1.2269009093789278E-3</v>
      </c>
    </row>
    <row r="1280" spans="3:21" x14ac:dyDescent="0.2">
      <c r="C1280" s="5">
        <v>45844</v>
      </c>
      <c r="D1280" s="6">
        <v>0.99997999999999998</v>
      </c>
      <c r="E1280" s="6">
        <v>109226</v>
      </c>
      <c r="F1280" s="6">
        <v>109182.1</v>
      </c>
      <c r="G1280" s="6">
        <v>109231.87</v>
      </c>
      <c r="H1280" s="6">
        <v>109258.7</v>
      </c>
      <c r="I1280" s="5">
        <v>45844</v>
      </c>
      <c r="J1280" s="7">
        <f t="shared" si="116"/>
        <v>2.9937926867226749E-4</v>
      </c>
      <c r="K1280" s="5">
        <v>45844</v>
      </c>
      <c r="L1280" s="8">
        <f t="shared" si="114"/>
        <v>4.5584395244265788E-4</v>
      </c>
      <c r="M1280" s="5">
        <v>45844</v>
      </c>
      <c r="N1280" s="9">
        <f t="shared" si="115"/>
        <v>7.5522322111492538E-4</v>
      </c>
      <c r="O1280" s="5">
        <v>45844</v>
      </c>
      <c r="P1280">
        <f t="shared" si="117"/>
        <v>1.0002456242852933</v>
      </c>
      <c r="Q1280" s="6">
        <f t="shared" si="118"/>
        <v>1.0000200004000079</v>
      </c>
      <c r="R1280">
        <f t="shared" si="119"/>
        <v>2.2559392458460474E-4</v>
      </c>
      <c r="T1280" s="5">
        <v>45844</v>
      </c>
      <c r="U1280" s="1">
        <v>2.2559392458460474E-4</v>
      </c>
    </row>
    <row r="1281" spans="3:21" x14ac:dyDescent="0.2">
      <c r="C1281" s="5">
        <v>45845</v>
      </c>
      <c r="D1281" s="6">
        <v>1</v>
      </c>
      <c r="E1281" s="6">
        <v>108265</v>
      </c>
      <c r="F1281" s="6">
        <v>108222.3</v>
      </c>
      <c r="G1281" s="6">
        <v>108273.61</v>
      </c>
      <c r="H1281" s="6">
        <v>108236.8</v>
      </c>
      <c r="I1281" s="5">
        <v>45845</v>
      </c>
      <c r="J1281" s="7">
        <f t="shared" si="116"/>
        <v>-2.6047199002445008E-4</v>
      </c>
      <c r="K1281" s="5">
        <v>45845</v>
      </c>
      <c r="L1281" s="8">
        <f t="shared" si="114"/>
        <v>4.7411670238017183E-4</v>
      </c>
      <c r="M1281" s="5">
        <v>45845</v>
      </c>
      <c r="N1281" s="9">
        <f t="shared" si="115"/>
        <v>2.1364471235572175E-4</v>
      </c>
      <c r="O1281" s="5">
        <v>45845</v>
      </c>
      <c r="P1281">
        <f t="shared" si="117"/>
        <v>0.99966002796064535</v>
      </c>
      <c r="Q1281" s="6">
        <f t="shared" si="118"/>
        <v>1</v>
      </c>
      <c r="R1281">
        <f t="shared" si="119"/>
        <v>-3.4002984294986583E-4</v>
      </c>
      <c r="T1281" s="5">
        <v>45845</v>
      </c>
      <c r="U1281" s="1">
        <v>-3.4002984294986583E-4</v>
      </c>
    </row>
    <row r="1282" spans="3:21" x14ac:dyDescent="0.2">
      <c r="C1282" s="5">
        <v>45846</v>
      </c>
      <c r="D1282" s="6">
        <v>1</v>
      </c>
      <c r="E1282" s="6">
        <v>108952</v>
      </c>
      <c r="F1282" s="6">
        <v>108904</v>
      </c>
      <c r="G1282" s="6">
        <v>108942.12</v>
      </c>
      <c r="H1282" s="6">
        <v>108911.5</v>
      </c>
      <c r="I1282" s="5">
        <v>45846</v>
      </c>
      <c r="J1282" s="7">
        <f t="shared" si="116"/>
        <v>-3.7172332770394305E-4</v>
      </c>
      <c r="K1282" s="5">
        <v>45846</v>
      </c>
      <c r="L1282" s="8">
        <f t="shared" si="114"/>
        <v>3.5003305663699536E-4</v>
      </c>
      <c r="M1282" s="5">
        <v>45846</v>
      </c>
      <c r="N1282" s="9">
        <f t="shared" si="115"/>
        <v>-2.1690271066947687E-5</v>
      </c>
      <c r="O1282" s="5">
        <v>45846</v>
      </c>
      <c r="P1282">
        <f t="shared" si="117"/>
        <v>0.99971893331982165</v>
      </c>
      <c r="Q1282" s="6">
        <f t="shared" si="118"/>
        <v>1</v>
      </c>
      <c r="R1282">
        <f t="shared" si="119"/>
        <v>-2.8110618682054839E-4</v>
      </c>
      <c r="T1282" s="5">
        <v>45846</v>
      </c>
      <c r="U1282" s="1">
        <v>-2.8110618682054839E-4</v>
      </c>
    </row>
    <row r="1283" spans="3:21" x14ac:dyDescent="0.2">
      <c r="C1283" s="5">
        <v>45847</v>
      </c>
      <c r="D1283" s="6">
        <v>1</v>
      </c>
      <c r="E1283" s="6">
        <v>111290.1</v>
      </c>
      <c r="F1283" s="6">
        <v>111252.1</v>
      </c>
      <c r="G1283" s="6">
        <v>111255.76</v>
      </c>
      <c r="H1283" s="6">
        <v>111312.3</v>
      </c>
      <c r="I1283" s="5">
        <v>45847</v>
      </c>
      <c r="J1283" s="7">
        <f t="shared" si="116"/>
        <v>1.9947865982685871E-4</v>
      </c>
      <c r="K1283" s="5">
        <v>45847</v>
      </c>
      <c r="L1283" s="8">
        <f t="shared" si="114"/>
        <v>3.2898255403618809E-5</v>
      </c>
      <c r="M1283" s="5">
        <v>45847</v>
      </c>
      <c r="N1283" s="9">
        <f t="shared" si="115"/>
        <v>2.3237691523047752E-4</v>
      </c>
      <c r="O1283" s="5">
        <v>45847</v>
      </c>
      <c r="P1283">
        <f t="shared" si="117"/>
        <v>1.0005081984069859</v>
      </c>
      <c r="Q1283" s="6">
        <f t="shared" si="118"/>
        <v>1</v>
      </c>
      <c r="R1283">
        <f t="shared" si="119"/>
        <v>5.0806931790886372E-4</v>
      </c>
      <c r="T1283" s="5">
        <v>45847</v>
      </c>
      <c r="U1283" s="1">
        <v>5.0806931790886372E-4</v>
      </c>
    </row>
    <row r="1284" spans="3:21" x14ac:dyDescent="0.2">
      <c r="C1284" s="5">
        <v>45848</v>
      </c>
      <c r="D1284" s="6">
        <v>0.99987999999999999</v>
      </c>
      <c r="E1284" s="6">
        <v>116038</v>
      </c>
      <c r="F1284" s="6">
        <v>115990.7</v>
      </c>
      <c r="G1284" s="6">
        <v>115160.05</v>
      </c>
      <c r="H1284" s="6">
        <v>115973</v>
      </c>
      <c r="I1284" s="5">
        <v>45848</v>
      </c>
      <c r="J1284" s="7">
        <f t="shared" si="116"/>
        <v>-5.6016132646202104E-4</v>
      </c>
      <c r="K1284" s="5">
        <v>45848</v>
      </c>
      <c r="L1284" s="8">
        <f t="shared" si="114"/>
        <v>-7.1613500047848161E-3</v>
      </c>
      <c r="M1284" s="5">
        <v>45848</v>
      </c>
      <c r="N1284" s="9">
        <f t="shared" si="115"/>
        <v>-7.7215113312468376E-3</v>
      </c>
      <c r="O1284" s="5">
        <v>45848</v>
      </c>
      <c r="P1284">
        <f t="shared" si="117"/>
        <v>1.0070593057227746</v>
      </c>
      <c r="Q1284" s="6">
        <f t="shared" si="118"/>
        <v>1.0001200144017282</v>
      </c>
      <c r="R1284">
        <f t="shared" si="119"/>
        <v>6.9144982701921107E-3</v>
      </c>
      <c r="T1284" s="5">
        <v>45848</v>
      </c>
      <c r="U1284" s="1">
        <v>6.9144982701921107E-3</v>
      </c>
    </row>
    <row r="1285" spans="3:21" x14ac:dyDescent="0.2">
      <c r="C1285" s="5">
        <v>45849</v>
      </c>
      <c r="D1285" s="6">
        <v>1</v>
      </c>
      <c r="E1285" s="6">
        <v>117570.1</v>
      </c>
      <c r="F1285" s="6">
        <v>117546.2</v>
      </c>
      <c r="G1285" s="6">
        <v>116885.69</v>
      </c>
      <c r="H1285" s="6">
        <v>117534.7</v>
      </c>
      <c r="I1285" s="5">
        <v>45849</v>
      </c>
      <c r="J1285" s="7">
        <f t="shared" si="116"/>
        <v>-3.0109696257814468E-4</v>
      </c>
      <c r="K1285" s="5">
        <v>45849</v>
      </c>
      <c r="L1285" s="8">
        <f t="shared" si="114"/>
        <v>-5.6191522992661167E-3</v>
      </c>
      <c r="M1285" s="5">
        <v>45849</v>
      </c>
      <c r="N1285" s="9">
        <f t="shared" si="115"/>
        <v>-5.9202492618442614E-3</v>
      </c>
      <c r="O1285" s="5">
        <v>45849</v>
      </c>
      <c r="P1285">
        <f t="shared" si="117"/>
        <v>1.0055525188754928</v>
      </c>
      <c r="Q1285" s="6">
        <f t="shared" si="118"/>
        <v>1</v>
      </c>
      <c r="R1285">
        <f t="shared" si="119"/>
        <v>5.5371604682306107E-3</v>
      </c>
      <c r="T1285" s="5">
        <v>45849</v>
      </c>
      <c r="U1285" s="1">
        <v>5.5371604682306107E-3</v>
      </c>
    </row>
    <row r="1286" spans="3:21" x14ac:dyDescent="0.2">
      <c r="C1286" s="5">
        <v>45850</v>
      </c>
      <c r="D1286" s="6">
        <v>0.99995000000000001</v>
      </c>
      <c r="E1286" s="6">
        <v>117456.8</v>
      </c>
      <c r="F1286" s="6">
        <v>117429.5</v>
      </c>
      <c r="G1286" s="6">
        <v>116616.92</v>
      </c>
      <c r="H1286" s="6">
        <v>117394.3</v>
      </c>
      <c r="I1286" s="5">
        <v>45850</v>
      </c>
      <c r="J1286" s="7">
        <f t="shared" si="116"/>
        <v>-5.321105291477377E-4</v>
      </c>
      <c r="K1286" s="5">
        <v>45850</v>
      </c>
      <c r="L1286" s="8">
        <f t="shared" si="114"/>
        <v>-6.9197263038674418E-3</v>
      </c>
      <c r="M1286" s="5">
        <v>45850</v>
      </c>
      <c r="N1286" s="9">
        <f t="shared" si="115"/>
        <v>-7.4518368330151793E-3</v>
      </c>
      <c r="O1286" s="5">
        <v>45850</v>
      </c>
      <c r="P1286">
        <f t="shared" si="117"/>
        <v>1.0066660995677128</v>
      </c>
      <c r="Q1286" s="6">
        <f t="shared" si="118"/>
        <v>1.0000500025001251</v>
      </c>
      <c r="R1286">
        <f t="shared" si="119"/>
        <v>6.5939781251365751E-3</v>
      </c>
      <c r="T1286" s="5">
        <v>45850</v>
      </c>
      <c r="U1286" s="1">
        <v>6.5939781251365751E-3</v>
      </c>
    </row>
    <row r="1287" spans="3:21" x14ac:dyDescent="0.2">
      <c r="C1287" s="5">
        <v>45851</v>
      </c>
      <c r="D1287" s="6">
        <v>0.99992999999999999</v>
      </c>
      <c r="E1287" s="6">
        <v>119134</v>
      </c>
      <c r="F1287" s="6">
        <v>119066</v>
      </c>
      <c r="G1287" s="6">
        <v>118626.97</v>
      </c>
      <c r="H1287" s="6">
        <v>119086.3</v>
      </c>
      <c r="I1287" s="5">
        <v>45851</v>
      </c>
      <c r="J1287" s="7">
        <f t="shared" si="116"/>
        <v>-4.0038947739517761E-4</v>
      </c>
      <c r="K1287" s="5">
        <v>45851</v>
      </c>
      <c r="L1287" s="8">
        <f t="shared" si="114"/>
        <v>-3.6872826835536495E-3</v>
      </c>
      <c r="M1287" s="5">
        <v>45851</v>
      </c>
      <c r="N1287" s="9">
        <f t="shared" si="115"/>
        <v>-4.0876721609488268E-3</v>
      </c>
      <c r="O1287" s="5">
        <v>45851</v>
      </c>
      <c r="P1287">
        <f t="shared" si="117"/>
        <v>1.0038720537159467</v>
      </c>
      <c r="Q1287" s="6">
        <f t="shared" si="118"/>
        <v>1.000070004900343</v>
      </c>
      <c r="R1287">
        <f t="shared" si="119"/>
        <v>3.7945741607958751E-3</v>
      </c>
      <c r="T1287" s="5">
        <v>45851</v>
      </c>
      <c r="U1287" s="1">
        <v>3.7945741607958751E-3</v>
      </c>
    </row>
    <row r="1288" spans="3:21" x14ac:dyDescent="0.2">
      <c r="C1288" s="5">
        <v>45852</v>
      </c>
      <c r="D1288" s="6">
        <v>0.99995000000000001</v>
      </c>
      <c r="E1288" s="6">
        <v>119866.1</v>
      </c>
      <c r="F1288" s="6">
        <v>119909.5</v>
      </c>
      <c r="G1288" s="6">
        <v>119716.76</v>
      </c>
      <c r="H1288" s="6">
        <v>119881.8</v>
      </c>
      <c r="I1288" s="5">
        <v>45852</v>
      </c>
      <c r="J1288" s="7">
        <f t="shared" si="116"/>
        <v>1.3097948460821774E-4</v>
      </c>
      <c r="K1288" s="5">
        <v>45852</v>
      </c>
      <c r="L1288" s="8">
        <f t="shared" si="114"/>
        <v>-1.6073788982524757E-3</v>
      </c>
      <c r="M1288" s="5">
        <v>45852</v>
      </c>
      <c r="N1288" s="9">
        <f t="shared" si="115"/>
        <v>-1.4763994136442579E-3</v>
      </c>
      <c r="O1288" s="5">
        <v>45852</v>
      </c>
      <c r="P1288">
        <f t="shared" si="117"/>
        <v>1.0013785872587933</v>
      </c>
      <c r="Q1288" s="6">
        <f t="shared" si="118"/>
        <v>1.0000500025001251</v>
      </c>
      <c r="R1288">
        <f t="shared" si="119"/>
        <v>1.3276366297708254E-3</v>
      </c>
      <c r="T1288" s="5">
        <v>45852</v>
      </c>
      <c r="U1288" s="1">
        <v>1.3276366297708254E-3</v>
      </c>
    </row>
    <row r="1289" spans="3:21" x14ac:dyDescent="0.2">
      <c r="C1289" s="5">
        <v>45853</v>
      </c>
      <c r="D1289" s="6">
        <v>0.99995000000000001</v>
      </c>
      <c r="E1289" s="6">
        <v>117768.3</v>
      </c>
      <c r="F1289" s="6">
        <v>117792.7</v>
      </c>
      <c r="G1289" s="6">
        <v>117682.12</v>
      </c>
      <c r="H1289" s="6">
        <v>117816.4</v>
      </c>
      <c r="I1289" s="5">
        <v>45853</v>
      </c>
      <c r="J1289" s="7">
        <f t="shared" si="116"/>
        <v>4.0842909339772475E-4</v>
      </c>
      <c r="K1289" s="5">
        <v>45853</v>
      </c>
      <c r="L1289" s="8">
        <f t="shared" si="114"/>
        <v>-9.3876785233721401E-4</v>
      </c>
      <c r="M1289" s="5">
        <v>45853</v>
      </c>
      <c r="N1289" s="9">
        <f t="shared" si="115"/>
        <v>-5.3033875893948926E-4</v>
      </c>
      <c r="O1289" s="5">
        <v>45853</v>
      </c>
      <c r="P1289">
        <f t="shared" si="117"/>
        <v>1.0011410399472749</v>
      </c>
      <c r="Q1289" s="6">
        <f t="shared" si="118"/>
        <v>1.0000500025001251</v>
      </c>
      <c r="R1289">
        <f t="shared" si="119"/>
        <v>1.0903882059298353E-3</v>
      </c>
      <c r="T1289" s="5">
        <v>45853</v>
      </c>
      <c r="U1289" s="1">
        <v>1.0903882059298353E-3</v>
      </c>
    </row>
    <row r="1290" spans="3:21" x14ac:dyDescent="0.2">
      <c r="C1290" s="5">
        <v>45854</v>
      </c>
      <c r="D1290" s="6">
        <v>0.99992000000000003</v>
      </c>
      <c r="E1290" s="6">
        <v>118704</v>
      </c>
      <c r="F1290" s="6">
        <v>118698.9</v>
      </c>
      <c r="G1290" s="6">
        <v>118641.3</v>
      </c>
      <c r="H1290" s="6">
        <v>118712</v>
      </c>
      <c r="I1290" s="5">
        <v>45854</v>
      </c>
      <c r="J1290" s="7">
        <f t="shared" si="116"/>
        <v>6.739452756436177E-5</v>
      </c>
      <c r="K1290" s="5">
        <v>45854</v>
      </c>
      <c r="L1290" s="8">
        <f t="shared" si="114"/>
        <v>-4.8526144724164478E-4</v>
      </c>
      <c r="M1290" s="5">
        <v>45854</v>
      </c>
      <c r="N1290" s="9">
        <f t="shared" si="115"/>
        <v>-4.1786691967728303E-4</v>
      </c>
      <c r="O1290" s="5">
        <v>45854</v>
      </c>
      <c r="P1290">
        <f t="shared" si="117"/>
        <v>1.0005959139018199</v>
      </c>
      <c r="Q1290" s="6">
        <f t="shared" si="118"/>
        <v>1.000080006400512</v>
      </c>
      <c r="R1290">
        <f t="shared" si="119"/>
        <v>5.1573321546768318E-4</v>
      </c>
      <c r="T1290" s="5">
        <v>45854</v>
      </c>
      <c r="U1290" s="1">
        <v>5.1573321546768318E-4</v>
      </c>
    </row>
    <row r="1291" spans="3:21" x14ac:dyDescent="0.2">
      <c r="C1291" s="5">
        <v>45855</v>
      </c>
      <c r="D1291" s="6">
        <v>0.99995000000000001</v>
      </c>
      <c r="E1291" s="6">
        <v>119269.9</v>
      </c>
      <c r="F1291" s="6">
        <v>119242</v>
      </c>
      <c r="G1291" s="6">
        <v>119101.81</v>
      </c>
      <c r="H1291" s="6">
        <v>119257.3</v>
      </c>
      <c r="I1291" s="5">
        <v>45855</v>
      </c>
      <c r="J1291" s="7">
        <f t="shared" si="116"/>
        <v>-1.0564274808640965E-4</v>
      </c>
      <c r="K1291" s="5">
        <v>45855</v>
      </c>
      <c r="L1291" s="8">
        <f t="shared" ref="L1291:L1354" si="120">(G1291-F1291)/F1291</f>
        <v>-1.1756763556465199E-3</v>
      </c>
      <c r="M1291" s="5">
        <v>45855</v>
      </c>
      <c r="N1291" s="9">
        <f t="shared" ref="N1291:N1354" si="121">J1291+L1291</f>
        <v>-1.2813191037329295E-3</v>
      </c>
      <c r="O1291" s="5">
        <v>45855</v>
      </c>
      <c r="P1291">
        <f t="shared" si="117"/>
        <v>1.0013055217212905</v>
      </c>
      <c r="Q1291" s="6">
        <f t="shared" si="118"/>
        <v>1.0000500025001251</v>
      </c>
      <c r="R1291">
        <f t="shared" si="119"/>
        <v>1.2546690187455803E-3</v>
      </c>
      <c r="T1291" s="5">
        <v>45855</v>
      </c>
      <c r="U1291" s="1">
        <v>1.2546690187455803E-3</v>
      </c>
    </row>
    <row r="1292" spans="3:21" x14ac:dyDescent="0.2">
      <c r="C1292" s="5">
        <v>45856</v>
      </c>
      <c r="D1292" s="6">
        <v>0.99999000000000005</v>
      </c>
      <c r="E1292" s="6">
        <v>118016</v>
      </c>
      <c r="F1292" s="6">
        <v>118005.7</v>
      </c>
      <c r="G1292" s="6">
        <v>117877.79</v>
      </c>
      <c r="H1292" s="6">
        <v>117979.1</v>
      </c>
      <c r="I1292" s="5">
        <v>45856</v>
      </c>
      <c r="J1292" s="7">
        <f t="shared" ref="J1292:J1355" si="122">(H1292-E1292)/E1292</f>
        <v>-3.1266946854658842E-4</v>
      </c>
      <c r="K1292" s="5">
        <v>45856</v>
      </c>
      <c r="L1292" s="8">
        <f t="shared" si="120"/>
        <v>-1.0839306914835767E-3</v>
      </c>
      <c r="M1292" s="5">
        <v>45856</v>
      </c>
      <c r="N1292" s="9">
        <f t="shared" si="121"/>
        <v>-1.3966001600301651E-3</v>
      </c>
      <c r="O1292" s="5">
        <v>45856</v>
      </c>
      <c r="P1292">
        <f t="shared" ref="P1292:P1355" si="123">(1/G1292)*H1292</f>
        <v>1.0008594494348768</v>
      </c>
      <c r="Q1292" s="6">
        <f t="shared" ref="Q1292:Q1355" si="124">1/D1292</f>
        <v>1.000010000100001</v>
      </c>
      <c r="R1292">
        <f t="shared" ref="R1292:R1355" si="125">LN(P1292/Q1292)</f>
        <v>8.4908026968640168E-4</v>
      </c>
      <c r="T1292" s="5">
        <v>45856</v>
      </c>
      <c r="U1292" s="1">
        <v>8.4908026968640168E-4</v>
      </c>
    </row>
    <row r="1293" spans="3:21" x14ac:dyDescent="0.2">
      <c r="C1293" s="5">
        <v>45857</v>
      </c>
      <c r="D1293" s="6">
        <v>0.99999000000000005</v>
      </c>
      <c r="E1293" s="6">
        <v>117916.3</v>
      </c>
      <c r="F1293" s="6">
        <v>117904.5</v>
      </c>
      <c r="G1293" s="6">
        <v>117809.72</v>
      </c>
      <c r="H1293" s="6">
        <v>117901.5</v>
      </c>
      <c r="I1293" s="5">
        <v>45857</v>
      </c>
      <c r="J1293" s="7">
        <f t="shared" si="122"/>
        <v>-1.255127577782114E-4</v>
      </c>
      <c r="K1293" s="5">
        <v>45857</v>
      </c>
      <c r="L1293" s="8">
        <f t="shared" si="120"/>
        <v>-8.0387092943864599E-4</v>
      </c>
      <c r="M1293" s="5">
        <v>45857</v>
      </c>
      <c r="N1293" s="9">
        <f t="shared" si="121"/>
        <v>-9.2938368721685741E-4</v>
      </c>
      <c r="O1293" s="5">
        <v>45857</v>
      </c>
      <c r="P1293">
        <f t="shared" si="123"/>
        <v>1.0007790528659264</v>
      </c>
      <c r="Q1293" s="6">
        <f t="shared" si="124"/>
        <v>1.000010000100001</v>
      </c>
      <c r="R1293">
        <f t="shared" si="125"/>
        <v>7.6874951175845971E-4</v>
      </c>
      <c r="T1293" s="5">
        <v>45857</v>
      </c>
      <c r="U1293" s="1">
        <v>7.6874951175845971E-4</v>
      </c>
    </row>
    <row r="1294" spans="3:21" x14ac:dyDescent="0.2">
      <c r="C1294" s="5">
        <v>45858</v>
      </c>
      <c r="D1294" s="6">
        <v>0.99985000000000002</v>
      </c>
      <c r="E1294" s="6">
        <v>117334</v>
      </c>
      <c r="F1294" s="6">
        <v>117350</v>
      </c>
      <c r="G1294" s="6">
        <v>117240.87</v>
      </c>
      <c r="H1294" s="6">
        <v>117369.2</v>
      </c>
      <c r="I1294" s="5">
        <v>45858</v>
      </c>
      <c r="J1294" s="7">
        <f t="shared" si="122"/>
        <v>2.9999829546420551E-4</v>
      </c>
      <c r="K1294" s="5">
        <v>45858</v>
      </c>
      <c r="L1294" s="8">
        <f t="shared" si="120"/>
        <v>-9.2995313165747471E-4</v>
      </c>
      <c r="M1294" s="5">
        <v>45858</v>
      </c>
      <c r="N1294" s="9">
        <f t="shared" si="121"/>
        <v>-6.299548361932692E-4</v>
      </c>
      <c r="O1294" s="5">
        <v>45858</v>
      </c>
      <c r="P1294">
        <f t="shared" si="123"/>
        <v>1.0010945841667671</v>
      </c>
      <c r="Q1294" s="6">
        <f t="shared" si="124"/>
        <v>1.0001500225033755</v>
      </c>
      <c r="R1294">
        <f t="shared" si="125"/>
        <v>9.439742951801699E-4</v>
      </c>
      <c r="T1294" s="5">
        <v>45858</v>
      </c>
      <c r="U1294" s="1">
        <v>9.439742951801699E-4</v>
      </c>
    </row>
    <row r="1295" spans="3:21" x14ac:dyDescent="0.2">
      <c r="C1295" s="5">
        <v>45859</v>
      </c>
      <c r="D1295" s="6">
        <v>0.99994000000000005</v>
      </c>
      <c r="E1295" s="6">
        <v>117434</v>
      </c>
      <c r="F1295" s="6">
        <v>117442.5</v>
      </c>
      <c r="G1295" s="6">
        <v>117402.48</v>
      </c>
      <c r="H1295" s="6">
        <v>117451.8</v>
      </c>
      <c r="I1295" s="5">
        <v>45859</v>
      </c>
      <c r="J1295" s="7">
        <f t="shared" si="122"/>
        <v>1.5157450142210015E-4</v>
      </c>
      <c r="K1295" s="5">
        <v>45859</v>
      </c>
      <c r="L1295" s="8">
        <f t="shared" si="120"/>
        <v>-3.4076250079829768E-4</v>
      </c>
      <c r="M1295" s="5">
        <v>45859</v>
      </c>
      <c r="N1295" s="9">
        <f t="shared" si="121"/>
        <v>-1.8918799937619752E-4</v>
      </c>
      <c r="O1295" s="5">
        <v>45859</v>
      </c>
      <c r="P1295">
        <f t="shared" si="123"/>
        <v>1.0004200933404475</v>
      </c>
      <c r="Q1295" s="6">
        <f t="shared" si="124"/>
        <v>1.0000600036002159</v>
      </c>
      <c r="R1295">
        <f t="shared" si="125"/>
        <v>3.6000332587300042E-4</v>
      </c>
      <c r="T1295" s="5">
        <v>45859</v>
      </c>
      <c r="U1295" s="1">
        <v>3.6000332587300042E-4</v>
      </c>
    </row>
    <row r="1296" spans="3:21" x14ac:dyDescent="0.2">
      <c r="C1296" s="5">
        <v>45860</v>
      </c>
      <c r="D1296" s="6">
        <v>0.99995000000000001</v>
      </c>
      <c r="E1296" s="6">
        <v>120024</v>
      </c>
      <c r="F1296" s="6">
        <v>120098.1</v>
      </c>
      <c r="G1296" s="6">
        <v>119982.29</v>
      </c>
      <c r="H1296" s="6">
        <v>120082.1</v>
      </c>
      <c r="I1296" s="5">
        <v>45860</v>
      </c>
      <c r="J1296" s="7">
        <f t="shared" si="122"/>
        <v>4.8406985269617593E-4</v>
      </c>
      <c r="K1296" s="5">
        <v>45860</v>
      </c>
      <c r="L1296" s="8">
        <f t="shared" si="120"/>
        <v>-9.6429502215282525E-4</v>
      </c>
      <c r="M1296" s="5">
        <v>45860</v>
      </c>
      <c r="N1296" s="9">
        <f t="shared" si="121"/>
        <v>-4.8022516945664932E-4</v>
      </c>
      <c r="O1296" s="5">
        <v>45860</v>
      </c>
      <c r="P1296">
        <f t="shared" si="123"/>
        <v>1.0008318727705565</v>
      </c>
      <c r="Q1296" s="6">
        <f t="shared" si="124"/>
        <v>1.0000500025001251</v>
      </c>
      <c r="R1296">
        <f t="shared" si="125"/>
        <v>7.8152570613063371E-4</v>
      </c>
      <c r="T1296" s="5">
        <v>45860</v>
      </c>
      <c r="U1296" s="1">
        <v>7.8152570613063371E-4</v>
      </c>
    </row>
    <row r="1297" spans="3:21" x14ac:dyDescent="0.2">
      <c r="C1297" s="5">
        <v>45861</v>
      </c>
      <c r="D1297" s="6">
        <v>0.99995999999999996</v>
      </c>
      <c r="E1297" s="6">
        <v>118815.6</v>
      </c>
      <c r="F1297" s="6">
        <v>118804.8</v>
      </c>
      <c r="G1297" s="6">
        <v>118798.55</v>
      </c>
      <c r="H1297" s="6">
        <v>118801.3</v>
      </c>
      <c r="I1297" s="5">
        <v>45861</v>
      </c>
      <c r="J1297" s="7">
        <f t="shared" si="122"/>
        <v>-1.2035456623543466E-4</v>
      </c>
      <c r="K1297" s="5">
        <v>45861</v>
      </c>
      <c r="L1297" s="8">
        <f t="shared" si="120"/>
        <v>-5.2607302061869556E-5</v>
      </c>
      <c r="M1297" s="5">
        <v>45861</v>
      </c>
      <c r="N1297" s="9">
        <f t="shared" si="121"/>
        <v>-1.7296186829730421E-4</v>
      </c>
      <c r="O1297" s="5">
        <v>45861</v>
      </c>
      <c r="P1297">
        <f t="shared" si="123"/>
        <v>1.0000231484306836</v>
      </c>
      <c r="Q1297" s="6">
        <f t="shared" si="124"/>
        <v>1.0000400016000641</v>
      </c>
      <c r="R1297">
        <f t="shared" si="125"/>
        <v>-1.6852637258632118E-5</v>
      </c>
      <c r="T1297" s="5">
        <v>45861</v>
      </c>
      <c r="U1297" s="1">
        <v>-1.6852637258632118E-5</v>
      </c>
    </row>
    <row r="1298" spans="3:21" x14ac:dyDescent="0.2">
      <c r="C1298" s="5">
        <v>45862</v>
      </c>
      <c r="D1298" s="6">
        <v>1</v>
      </c>
      <c r="E1298" s="6">
        <v>118408.1</v>
      </c>
      <c r="F1298" s="6">
        <v>118380.8</v>
      </c>
      <c r="G1298" s="6">
        <v>118381.49</v>
      </c>
      <c r="H1298" s="6">
        <v>118377.4</v>
      </c>
      <c r="I1298" s="5">
        <v>45862</v>
      </c>
      <c r="J1298" s="7">
        <f t="shared" si="122"/>
        <v>-2.5927280312758707E-4</v>
      </c>
      <c r="K1298" s="5">
        <v>45862</v>
      </c>
      <c r="L1298" s="8">
        <f t="shared" si="120"/>
        <v>5.8286478888665076E-6</v>
      </c>
      <c r="M1298" s="5">
        <v>45862</v>
      </c>
      <c r="N1298" s="9">
        <f t="shared" si="121"/>
        <v>-2.5344415523872055E-4</v>
      </c>
      <c r="O1298" s="5">
        <v>45862</v>
      </c>
      <c r="P1298">
        <f t="shared" si="123"/>
        <v>0.99996545067983167</v>
      </c>
      <c r="Q1298" s="6">
        <f t="shared" si="124"/>
        <v>1</v>
      </c>
      <c r="R1298">
        <f t="shared" si="125"/>
        <v>-3.4549917009840184E-5</v>
      </c>
      <c r="T1298" s="5">
        <v>45862</v>
      </c>
      <c r="U1298" s="1">
        <v>-3.4549917009840184E-5</v>
      </c>
    </row>
    <row r="1299" spans="3:21" x14ac:dyDescent="0.2">
      <c r="C1299" s="5">
        <v>45863</v>
      </c>
      <c r="D1299" s="6">
        <v>0.99999000000000005</v>
      </c>
      <c r="E1299" s="6">
        <v>117654.1</v>
      </c>
      <c r="F1299" s="6">
        <v>117693.6</v>
      </c>
      <c r="G1299" s="6">
        <v>117565.98</v>
      </c>
      <c r="H1299" s="6">
        <v>117676.6</v>
      </c>
      <c r="I1299" s="5">
        <v>45863</v>
      </c>
      <c r="J1299" s="7">
        <f t="shared" si="122"/>
        <v>1.912385543725208E-4</v>
      </c>
      <c r="K1299" s="5">
        <v>45863</v>
      </c>
      <c r="L1299" s="8">
        <f t="shared" si="120"/>
        <v>-1.0843410346867619E-3</v>
      </c>
      <c r="M1299" s="5">
        <v>45863</v>
      </c>
      <c r="N1299" s="9">
        <f t="shared" si="121"/>
        <v>-8.9310248031424107E-4</v>
      </c>
      <c r="O1299" s="5">
        <v>45863</v>
      </c>
      <c r="P1299">
        <f t="shared" si="123"/>
        <v>1.0009409184527702</v>
      </c>
      <c r="Q1299" s="6">
        <f t="shared" si="124"/>
        <v>1.000010000100001</v>
      </c>
      <c r="R1299">
        <f t="shared" si="125"/>
        <v>9.30476016480517E-4</v>
      </c>
      <c r="T1299" s="5">
        <v>45863</v>
      </c>
      <c r="U1299" s="1">
        <v>9.30476016480517E-4</v>
      </c>
    </row>
    <row r="1300" spans="3:21" x14ac:dyDescent="0.2">
      <c r="C1300" s="5">
        <v>45864</v>
      </c>
      <c r="D1300" s="6">
        <v>0.99999000000000005</v>
      </c>
      <c r="E1300" s="6">
        <v>117953.9</v>
      </c>
      <c r="F1300" s="6">
        <v>117950.2</v>
      </c>
      <c r="G1300" s="6">
        <v>117851.43</v>
      </c>
      <c r="H1300" s="6">
        <v>117931.5</v>
      </c>
      <c r="I1300" s="5">
        <v>45864</v>
      </c>
      <c r="J1300" s="7">
        <f t="shared" si="122"/>
        <v>-1.8990470005649817E-4</v>
      </c>
      <c r="K1300" s="5">
        <v>45864</v>
      </c>
      <c r="L1300" s="8">
        <f t="shared" si="120"/>
        <v>-8.3738730413347392E-4</v>
      </c>
      <c r="M1300" s="5">
        <v>45864</v>
      </c>
      <c r="N1300" s="9">
        <f t="shared" si="121"/>
        <v>-1.0272920041899721E-3</v>
      </c>
      <c r="O1300" s="5">
        <v>45864</v>
      </c>
      <c r="P1300">
        <f t="shared" si="123"/>
        <v>1.0006794147512679</v>
      </c>
      <c r="Q1300" s="6">
        <f t="shared" si="124"/>
        <v>1.000010000100001</v>
      </c>
      <c r="R1300">
        <f t="shared" si="125"/>
        <v>6.6918400355243718E-4</v>
      </c>
      <c r="T1300" s="5">
        <v>45864</v>
      </c>
      <c r="U1300" s="1">
        <v>6.6918400355243718E-4</v>
      </c>
    </row>
    <row r="1301" spans="3:21" x14ac:dyDescent="0.2">
      <c r="C1301" s="5">
        <v>45865</v>
      </c>
      <c r="D1301" s="6">
        <v>0.99997000000000003</v>
      </c>
      <c r="E1301" s="6">
        <v>119482</v>
      </c>
      <c r="F1301" s="6">
        <v>119481.3</v>
      </c>
      <c r="G1301" s="6">
        <v>119398.29</v>
      </c>
      <c r="H1301" s="6">
        <v>119448</v>
      </c>
      <c r="I1301" s="5">
        <v>45865</v>
      </c>
      <c r="J1301" s="7">
        <f t="shared" si="122"/>
        <v>-2.8456169130078172E-4</v>
      </c>
      <c r="K1301" s="5">
        <v>45865</v>
      </c>
      <c r="L1301" s="8">
        <f t="shared" si="120"/>
        <v>-6.9475307014578273E-4</v>
      </c>
      <c r="M1301" s="5">
        <v>45865</v>
      </c>
      <c r="N1301" s="9">
        <f t="shared" si="121"/>
        <v>-9.7931476144656445E-4</v>
      </c>
      <c r="O1301" s="5">
        <v>45865</v>
      </c>
      <c r="P1301">
        <f t="shared" si="123"/>
        <v>1.0004163376209156</v>
      </c>
      <c r="Q1301" s="6">
        <f t="shared" si="124"/>
        <v>1.0000300009000269</v>
      </c>
      <c r="R1301">
        <f t="shared" si="125"/>
        <v>3.8625052644757643E-4</v>
      </c>
      <c r="T1301" s="5">
        <v>45865</v>
      </c>
      <c r="U1301" s="1">
        <v>3.8625052644757643E-4</v>
      </c>
    </row>
    <row r="1302" spans="3:21" x14ac:dyDescent="0.2">
      <c r="C1302" s="5">
        <v>45866</v>
      </c>
      <c r="D1302" s="6">
        <v>0.99995000000000001</v>
      </c>
      <c r="E1302" s="6">
        <v>118086</v>
      </c>
      <c r="F1302" s="6">
        <v>118073.9</v>
      </c>
      <c r="G1302" s="6">
        <v>118069.93</v>
      </c>
      <c r="H1302" s="6">
        <v>117980.9</v>
      </c>
      <c r="I1302" s="5">
        <v>45866</v>
      </c>
      <c r="J1302" s="7">
        <f t="shared" si="122"/>
        <v>-8.9002930067921533E-4</v>
      </c>
      <c r="K1302" s="5">
        <v>45866</v>
      </c>
      <c r="L1302" s="8">
        <f t="shared" si="120"/>
        <v>-3.3623010673833629E-5</v>
      </c>
      <c r="M1302" s="5">
        <v>45866</v>
      </c>
      <c r="N1302" s="9">
        <f t="shared" si="121"/>
        <v>-9.2365231135304899E-4</v>
      </c>
      <c r="O1302" s="5">
        <v>45866</v>
      </c>
      <c r="P1302">
        <f t="shared" si="123"/>
        <v>0.99924595534188931</v>
      </c>
      <c r="Q1302" s="6">
        <f t="shared" si="124"/>
        <v>1.0000500025001251</v>
      </c>
      <c r="R1302">
        <f t="shared" si="125"/>
        <v>-8.043303428189693E-4</v>
      </c>
      <c r="T1302" s="5">
        <v>45866</v>
      </c>
      <c r="U1302" s="1">
        <v>-8.043303428189693E-4</v>
      </c>
    </row>
    <row r="1303" spans="3:21" x14ac:dyDescent="0.2">
      <c r="C1303" s="5">
        <v>45867</v>
      </c>
      <c r="D1303" s="6">
        <v>0.99995999999999996</v>
      </c>
      <c r="E1303" s="6">
        <v>117929.9</v>
      </c>
      <c r="F1303" s="6">
        <v>117899.4</v>
      </c>
      <c r="G1303" s="6">
        <v>117925.42</v>
      </c>
      <c r="H1303" s="6">
        <v>117934.5</v>
      </c>
      <c r="I1303" s="5">
        <v>45867</v>
      </c>
      <c r="J1303" s="7">
        <f t="shared" si="122"/>
        <v>3.9006223188570678E-5</v>
      </c>
      <c r="K1303" s="5">
        <v>45867</v>
      </c>
      <c r="L1303" s="8">
        <f t="shared" si="120"/>
        <v>2.2069662780305985E-4</v>
      </c>
      <c r="M1303" s="5">
        <v>45867</v>
      </c>
      <c r="N1303" s="9">
        <f t="shared" si="121"/>
        <v>2.5970285099163052E-4</v>
      </c>
      <c r="O1303" s="5">
        <v>45867</v>
      </c>
      <c r="P1303">
        <f t="shared" si="123"/>
        <v>1.0000769978177735</v>
      </c>
      <c r="Q1303" s="6">
        <f t="shared" si="124"/>
        <v>1.0000400016000641</v>
      </c>
      <c r="R1303">
        <f t="shared" si="125"/>
        <v>3.6994053572235839E-5</v>
      </c>
      <c r="T1303" s="5">
        <v>45867</v>
      </c>
      <c r="U1303" s="1">
        <v>3.6994053572235839E-5</v>
      </c>
    </row>
    <row r="1304" spans="3:21" x14ac:dyDescent="0.2">
      <c r="C1304" s="5">
        <v>45868</v>
      </c>
      <c r="D1304" s="6">
        <v>0.99983</v>
      </c>
      <c r="E1304" s="6">
        <v>117835.3</v>
      </c>
      <c r="F1304" s="6">
        <v>117797.8</v>
      </c>
      <c r="G1304" s="6">
        <v>117783.03</v>
      </c>
      <c r="H1304" s="6">
        <v>117803.5</v>
      </c>
      <c r="I1304" s="5">
        <v>45868</v>
      </c>
      <c r="J1304" s="7">
        <f t="shared" si="122"/>
        <v>-2.6986819739078963E-4</v>
      </c>
      <c r="K1304" s="5">
        <v>45868</v>
      </c>
      <c r="L1304" s="8">
        <f t="shared" si="120"/>
        <v>-1.2538434503873649E-4</v>
      </c>
      <c r="M1304" s="5">
        <v>45868</v>
      </c>
      <c r="N1304" s="9">
        <f t="shared" si="121"/>
        <v>-3.9525254242952612E-4</v>
      </c>
      <c r="O1304" s="5">
        <v>45868</v>
      </c>
      <c r="P1304">
        <f t="shared" si="123"/>
        <v>1.0001737941365576</v>
      </c>
      <c r="Q1304" s="6">
        <f t="shared" si="124"/>
        <v>1.0001700289049138</v>
      </c>
      <c r="R1304">
        <f t="shared" si="125"/>
        <v>3.7645844684322696E-6</v>
      </c>
      <c r="T1304" s="5">
        <v>45868</v>
      </c>
      <c r="U1304" s="1">
        <v>3.7645844684322696E-6</v>
      </c>
    </row>
    <row r="1305" spans="3:21" x14ac:dyDescent="0.2">
      <c r="C1305" s="5">
        <v>45869</v>
      </c>
      <c r="D1305" s="6">
        <v>0.99992000000000003</v>
      </c>
      <c r="E1305" s="6">
        <v>115753</v>
      </c>
      <c r="F1305" s="6">
        <v>115717.2</v>
      </c>
      <c r="G1305" s="6">
        <v>115802.77</v>
      </c>
      <c r="H1305" s="6">
        <v>115723.9</v>
      </c>
      <c r="I1305" s="5">
        <v>45869</v>
      </c>
      <c r="J1305" s="7">
        <f t="shared" si="122"/>
        <v>-2.5139737199040906E-4</v>
      </c>
      <c r="K1305" s="5">
        <v>45869</v>
      </c>
      <c r="L1305" s="8">
        <f t="shared" si="120"/>
        <v>7.3947520334061818E-4</v>
      </c>
      <c r="M1305" s="5">
        <v>45869</v>
      </c>
      <c r="N1305" s="9">
        <f t="shared" si="121"/>
        <v>4.8807783135020912E-4</v>
      </c>
      <c r="O1305" s="5">
        <v>45869</v>
      </c>
      <c r="P1305">
        <f t="shared" si="123"/>
        <v>0.99931892820871215</v>
      </c>
      <c r="Q1305" s="6">
        <f t="shared" si="124"/>
        <v>1.000080006400512</v>
      </c>
      <c r="R1305">
        <f t="shared" si="125"/>
        <v>-7.6130702621174254E-4</v>
      </c>
      <c r="T1305" s="5">
        <v>45869</v>
      </c>
      <c r="U1305" s="1">
        <v>-7.6130702621174254E-4</v>
      </c>
    </row>
    <row r="1306" spans="3:21" x14ac:dyDescent="0.2">
      <c r="C1306" s="5">
        <v>45870</v>
      </c>
      <c r="D1306" s="6">
        <v>0.99983999999999995</v>
      </c>
      <c r="E1306" s="6">
        <v>113252.1</v>
      </c>
      <c r="F1306" s="6">
        <v>113224.1</v>
      </c>
      <c r="G1306" s="6">
        <v>113365.14</v>
      </c>
      <c r="H1306" s="6">
        <v>113215.1</v>
      </c>
      <c r="I1306" s="5">
        <v>45870</v>
      </c>
      <c r="J1306" s="7">
        <f t="shared" si="122"/>
        <v>-3.2670475867555655E-4</v>
      </c>
      <c r="K1306" s="5">
        <v>45870</v>
      </c>
      <c r="L1306" s="8">
        <f t="shared" si="120"/>
        <v>1.2456711954433163E-3</v>
      </c>
      <c r="M1306" s="5">
        <v>45870</v>
      </c>
      <c r="N1306" s="9">
        <f t="shared" si="121"/>
        <v>9.1896643676775977E-4</v>
      </c>
      <c r="O1306" s="5">
        <v>45870</v>
      </c>
      <c r="P1306">
        <f t="shared" si="123"/>
        <v>0.99867648908650397</v>
      </c>
      <c r="Q1306" s="6">
        <f t="shared" si="124"/>
        <v>1.0001600256040968</v>
      </c>
      <c r="R1306">
        <f t="shared" si="125"/>
        <v>-1.4844003289882785E-3</v>
      </c>
      <c r="T1306" s="5">
        <v>45870</v>
      </c>
      <c r="U1306" s="1">
        <v>-1.4844003289882785E-3</v>
      </c>
    </row>
    <row r="1307" spans="3:21" x14ac:dyDescent="0.2">
      <c r="C1307" s="5">
        <v>45871</v>
      </c>
      <c r="D1307" s="6">
        <v>0.99985000000000002</v>
      </c>
      <c r="E1307" s="6">
        <v>112544</v>
      </c>
      <c r="F1307" s="6">
        <v>112502</v>
      </c>
      <c r="G1307" s="6">
        <v>112601.12</v>
      </c>
      <c r="H1307" s="6">
        <v>112484.3</v>
      </c>
      <c r="I1307" s="5">
        <v>45871</v>
      </c>
      <c r="J1307" s="7">
        <f t="shared" si="122"/>
        <v>-5.3045919818024137E-4</v>
      </c>
      <c r="K1307" s="5">
        <v>45871</v>
      </c>
      <c r="L1307" s="8">
        <f t="shared" si="120"/>
        <v>8.8105100353767351E-4</v>
      </c>
      <c r="M1307" s="5">
        <v>45871</v>
      </c>
      <c r="N1307" s="9">
        <f t="shared" si="121"/>
        <v>3.5059180535743214E-4</v>
      </c>
      <c r="O1307" s="5">
        <v>45871</v>
      </c>
      <c r="P1307">
        <f t="shared" si="123"/>
        <v>0.99896253252187905</v>
      </c>
      <c r="Q1307" s="6">
        <f t="shared" si="124"/>
        <v>1.0001500225033755</v>
      </c>
      <c r="R1307">
        <f t="shared" si="125"/>
        <v>-1.1880172711421981E-3</v>
      </c>
      <c r="T1307" s="5">
        <v>45871</v>
      </c>
      <c r="U1307" s="1">
        <v>-1.1880172711421981E-3</v>
      </c>
    </row>
    <row r="1308" spans="3:21" x14ac:dyDescent="0.2">
      <c r="C1308" s="5">
        <v>45872</v>
      </c>
      <c r="D1308" s="6">
        <v>0.99997999999999998</v>
      </c>
      <c r="E1308" s="6">
        <v>114226.1</v>
      </c>
      <c r="F1308" s="6">
        <v>114163.3</v>
      </c>
      <c r="G1308" s="6">
        <v>114307.76</v>
      </c>
      <c r="H1308" s="6">
        <v>114165</v>
      </c>
      <c r="I1308" s="5">
        <v>45872</v>
      </c>
      <c r="J1308" s="7">
        <f t="shared" si="122"/>
        <v>-5.3490401930912299E-4</v>
      </c>
      <c r="K1308" s="5">
        <v>45872</v>
      </c>
      <c r="L1308" s="8">
        <f t="shared" si="120"/>
        <v>1.2653803805600561E-3</v>
      </c>
      <c r="M1308" s="5">
        <v>45872</v>
      </c>
      <c r="N1308" s="9">
        <f t="shared" si="121"/>
        <v>7.3047636125093312E-4</v>
      </c>
      <c r="O1308" s="5">
        <v>45872</v>
      </c>
      <c r="P1308">
        <f t="shared" si="123"/>
        <v>0.9987510909145626</v>
      </c>
      <c r="Q1308" s="6">
        <f t="shared" si="124"/>
        <v>1.0000200004000079</v>
      </c>
      <c r="R1308">
        <f t="shared" si="125"/>
        <v>-1.2696898223393258E-3</v>
      </c>
      <c r="T1308" s="5">
        <v>45872</v>
      </c>
      <c r="U1308" s="1">
        <v>-1.2696898223393258E-3</v>
      </c>
    </row>
    <row r="1309" spans="3:21" x14ac:dyDescent="0.2">
      <c r="C1309" s="5">
        <v>45873</v>
      </c>
      <c r="D1309" s="6">
        <v>0.99982000000000004</v>
      </c>
      <c r="E1309" s="6">
        <v>115058.6</v>
      </c>
      <c r="F1309" s="6">
        <v>115020.3</v>
      </c>
      <c r="G1309" s="6">
        <v>115097.82</v>
      </c>
      <c r="H1309" s="6">
        <v>115019.1</v>
      </c>
      <c r="I1309" s="5">
        <v>45873</v>
      </c>
      <c r="J1309" s="7">
        <f t="shared" si="122"/>
        <v>-3.433033254359083E-4</v>
      </c>
      <c r="K1309" s="5">
        <v>45873</v>
      </c>
      <c r="L1309" s="8">
        <f t="shared" si="120"/>
        <v>6.7396798652067573E-4</v>
      </c>
      <c r="M1309" s="5">
        <v>45873</v>
      </c>
      <c r="N1309" s="9">
        <f t="shared" si="121"/>
        <v>3.3066466108476743E-4</v>
      </c>
      <c r="O1309" s="5">
        <v>45873</v>
      </c>
      <c r="P1309">
        <f t="shared" si="123"/>
        <v>0.99931606002615869</v>
      </c>
      <c r="Q1309" s="6">
        <f t="shared" si="124"/>
        <v>1.000180032405833</v>
      </c>
      <c r="R1309">
        <f t="shared" si="125"/>
        <v>-8.6419016942726598E-4</v>
      </c>
      <c r="T1309" s="5">
        <v>45873</v>
      </c>
      <c r="U1309" s="1">
        <v>-8.6419016942726598E-4</v>
      </c>
    </row>
    <row r="1310" spans="3:21" x14ac:dyDescent="0.2">
      <c r="C1310" s="5">
        <v>45874</v>
      </c>
      <c r="D1310" s="6">
        <v>0.99992000000000003</v>
      </c>
      <c r="E1310" s="6">
        <v>114132.5</v>
      </c>
      <c r="F1310" s="6">
        <v>114096.6</v>
      </c>
      <c r="G1310" s="6">
        <v>114139.42</v>
      </c>
      <c r="H1310" s="6">
        <v>114098</v>
      </c>
      <c r="I1310" s="5">
        <v>45874</v>
      </c>
      <c r="J1310" s="7">
        <f t="shared" si="122"/>
        <v>-3.0228024445271945E-4</v>
      </c>
      <c r="K1310" s="5">
        <v>45874</v>
      </c>
      <c r="L1310" s="8">
        <f t="shared" si="120"/>
        <v>3.7529602109083384E-4</v>
      </c>
      <c r="M1310" s="5">
        <v>45874</v>
      </c>
      <c r="N1310" s="9">
        <f t="shared" si="121"/>
        <v>7.3015776638114393E-5</v>
      </c>
      <c r="O1310" s="5">
        <v>45874</v>
      </c>
      <c r="P1310">
        <f t="shared" si="123"/>
        <v>0.99963711047419024</v>
      </c>
      <c r="Q1310" s="6">
        <f t="shared" si="124"/>
        <v>1.000080006400512</v>
      </c>
      <c r="R1310">
        <f t="shared" si="125"/>
        <v>-4.4295858631813599E-4</v>
      </c>
      <c r="T1310" s="5">
        <v>45874</v>
      </c>
      <c r="U1310" s="1">
        <v>-4.4295858631813599E-4</v>
      </c>
    </row>
    <row r="1311" spans="3:21" x14ac:dyDescent="0.2">
      <c r="C1311" s="5">
        <v>45875</v>
      </c>
      <c r="D1311" s="6">
        <v>0.99995000000000001</v>
      </c>
      <c r="E1311" s="6">
        <v>115043.1</v>
      </c>
      <c r="F1311" s="6">
        <v>114985.8</v>
      </c>
      <c r="G1311" s="6">
        <v>115047.78</v>
      </c>
      <c r="H1311" s="6">
        <v>114982.8</v>
      </c>
      <c r="I1311" s="5">
        <v>45875</v>
      </c>
      <c r="J1311" s="7">
        <f t="shared" si="122"/>
        <v>-5.2415138326421056E-4</v>
      </c>
      <c r="K1311" s="5">
        <v>45875</v>
      </c>
      <c r="L1311" s="8">
        <f t="shared" si="120"/>
        <v>5.3902307937150429E-4</v>
      </c>
      <c r="M1311" s="5">
        <v>45875</v>
      </c>
      <c r="N1311" s="9">
        <f t="shared" si="121"/>
        <v>1.4871696107293729E-5</v>
      </c>
      <c r="O1311" s="5">
        <v>45875</v>
      </c>
      <c r="P1311">
        <f t="shared" si="123"/>
        <v>0.99943519118752233</v>
      </c>
      <c r="Q1311" s="6">
        <f t="shared" si="124"/>
        <v>1.0000500025001251</v>
      </c>
      <c r="R1311">
        <f t="shared" si="125"/>
        <v>-6.1496962710188999E-4</v>
      </c>
      <c r="T1311" s="5">
        <v>45875</v>
      </c>
      <c r="U1311" s="1">
        <v>-6.1496962710188999E-4</v>
      </c>
    </row>
    <row r="1312" spans="3:21" x14ac:dyDescent="0.2">
      <c r="C1312" s="5">
        <v>45876</v>
      </c>
      <c r="D1312" s="6">
        <v>0.99985000000000002</v>
      </c>
      <c r="E1312" s="6">
        <v>117516</v>
      </c>
      <c r="F1312" s="6">
        <v>117464</v>
      </c>
      <c r="G1312" s="6">
        <v>117483.7</v>
      </c>
      <c r="H1312" s="6">
        <v>117456.9</v>
      </c>
      <c r="I1312" s="5">
        <v>45876</v>
      </c>
      <c r="J1312" s="7">
        <f t="shared" si="122"/>
        <v>-5.0291024200964818E-4</v>
      </c>
      <c r="K1312" s="5">
        <v>45876</v>
      </c>
      <c r="L1312" s="8">
        <f t="shared" si="120"/>
        <v>1.6771095825101384E-4</v>
      </c>
      <c r="M1312" s="5">
        <v>45876</v>
      </c>
      <c r="N1312" s="9">
        <f t="shared" si="121"/>
        <v>-3.3519928375863432E-4</v>
      </c>
      <c r="O1312" s="5">
        <v>45876</v>
      </c>
      <c r="P1312">
        <f t="shared" si="123"/>
        <v>0.99977188324848454</v>
      </c>
      <c r="Q1312" s="6">
        <f t="shared" si="124"/>
        <v>1.0001500225033755</v>
      </c>
      <c r="R1312">
        <f t="shared" si="125"/>
        <v>-3.7815402522428101E-4</v>
      </c>
      <c r="T1312" s="5">
        <v>45876</v>
      </c>
      <c r="U1312" s="1">
        <v>-3.7815402522428101E-4</v>
      </c>
    </row>
    <row r="1313" spans="3:21" x14ac:dyDescent="0.2">
      <c r="C1313" s="5">
        <v>45877</v>
      </c>
      <c r="D1313" s="6">
        <v>0.99990999999999997</v>
      </c>
      <c r="E1313" s="6">
        <v>116687.4</v>
      </c>
      <c r="F1313" s="6">
        <v>116647</v>
      </c>
      <c r="G1313" s="6">
        <v>116512.08</v>
      </c>
      <c r="H1313" s="6">
        <v>116642.3</v>
      </c>
      <c r="I1313" s="5">
        <v>45877</v>
      </c>
      <c r="J1313" s="7">
        <f t="shared" si="122"/>
        <v>-3.8650274151271922E-4</v>
      </c>
      <c r="K1313" s="5">
        <v>45877</v>
      </c>
      <c r="L1313" s="8">
        <f t="shared" si="120"/>
        <v>-1.1566521213575852E-3</v>
      </c>
      <c r="M1313" s="5">
        <v>45877</v>
      </c>
      <c r="N1313" s="9">
        <f t="shared" si="121"/>
        <v>-1.5431548628703044E-3</v>
      </c>
      <c r="O1313" s="5">
        <v>45877</v>
      </c>
      <c r="P1313">
        <f t="shared" si="123"/>
        <v>1.0011176523498679</v>
      </c>
      <c r="Q1313" s="6">
        <f t="shared" si="124"/>
        <v>1.0000900081007291</v>
      </c>
      <c r="R1313">
        <f t="shared" si="125"/>
        <v>1.0270241912181863E-3</v>
      </c>
      <c r="T1313" s="5">
        <v>45877</v>
      </c>
      <c r="U1313" s="1">
        <v>1.0270241912181863E-3</v>
      </c>
    </row>
    <row r="1314" spans="3:21" x14ac:dyDescent="0.2">
      <c r="C1314" s="5">
        <v>45878</v>
      </c>
      <c r="D1314" s="6">
        <v>0.99992999999999999</v>
      </c>
      <c r="E1314" s="6">
        <v>116501.7</v>
      </c>
      <c r="F1314" s="6">
        <v>116500</v>
      </c>
      <c r="G1314" s="6">
        <v>115957.48</v>
      </c>
      <c r="H1314" s="6">
        <v>116466.3</v>
      </c>
      <c r="I1314" s="5">
        <v>45878</v>
      </c>
      <c r="J1314" s="7">
        <f t="shared" si="122"/>
        <v>-3.0385822696144503E-4</v>
      </c>
      <c r="K1314" s="5">
        <v>45878</v>
      </c>
      <c r="L1314" s="8">
        <f t="shared" si="120"/>
        <v>-4.6568240343347993E-3</v>
      </c>
      <c r="M1314" s="5">
        <v>45878</v>
      </c>
      <c r="N1314" s="9">
        <f t="shared" si="121"/>
        <v>-4.9606822612962443E-3</v>
      </c>
      <c r="O1314" s="5">
        <v>45878</v>
      </c>
      <c r="P1314">
        <f t="shared" si="123"/>
        <v>1.0043879877348145</v>
      </c>
      <c r="Q1314" s="6">
        <f t="shared" si="124"/>
        <v>1.000070004900343</v>
      </c>
      <c r="R1314">
        <f t="shared" si="125"/>
        <v>4.3083861369040818E-3</v>
      </c>
      <c r="T1314" s="5">
        <v>45878</v>
      </c>
      <c r="U1314" s="1">
        <v>4.3083861369040818E-3</v>
      </c>
    </row>
    <row r="1315" spans="3:21" x14ac:dyDescent="0.2">
      <c r="C1315" s="5">
        <v>45879</v>
      </c>
      <c r="D1315" s="6">
        <v>0.99992000000000003</v>
      </c>
      <c r="E1315" s="6">
        <v>119316.4</v>
      </c>
      <c r="F1315" s="6">
        <v>119279.9</v>
      </c>
      <c r="G1315" s="6">
        <v>119044.48</v>
      </c>
      <c r="H1315" s="6">
        <v>119299.2</v>
      </c>
      <c r="I1315" s="5">
        <v>45879</v>
      </c>
      <c r="J1315" s="7">
        <f t="shared" si="122"/>
        <v>-1.4415453366005922E-4</v>
      </c>
      <c r="K1315" s="5">
        <v>45879</v>
      </c>
      <c r="L1315" s="8">
        <f t="shared" si="120"/>
        <v>-1.973677040306022E-3</v>
      </c>
      <c r="M1315" s="5">
        <v>45879</v>
      </c>
      <c r="N1315" s="9">
        <f t="shared" si="121"/>
        <v>-2.1178315739660814E-3</v>
      </c>
      <c r="O1315" s="5">
        <v>45879</v>
      </c>
      <c r="P1315">
        <f t="shared" si="123"/>
        <v>1.0021397044197262</v>
      </c>
      <c r="Q1315" s="6">
        <f t="shared" si="124"/>
        <v>1.000080006400512</v>
      </c>
      <c r="R1315">
        <f t="shared" si="125"/>
        <v>2.0574153122501528E-3</v>
      </c>
      <c r="T1315" s="5">
        <v>45879</v>
      </c>
      <c r="U1315" s="1">
        <v>2.0574153122501528E-3</v>
      </c>
    </row>
    <row r="1316" spans="3:21" x14ac:dyDescent="0.2">
      <c r="C1316" s="5">
        <v>45880</v>
      </c>
      <c r="D1316" s="6">
        <v>0.99988999999999995</v>
      </c>
      <c r="E1316" s="6">
        <v>118709.5</v>
      </c>
      <c r="F1316" s="6">
        <v>118711</v>
      </c>
      <c r="G1316" s="6">
        <v>118699.16</v>
      </c>
      <c r="H1316" s="6">
        <v>118699.5</v>
      </c>
      <c r="I1316" s="5">
        <v>45880</v>
      </c>
      <c r="J1316" s="7">
        <f t="shared" si="122"/>
        <v>-8.4239256335845065E-5</v>
      </c>
      <c r="K1316" s="5">
        <v>45880</v>
      </c>
      <c r="L1316" s="8">
        <f t="shared" si="120"/>
        <v>-9.973801922312598E-5</v>
      </c>
      <c r="M1316" s="5">
        <v>45880</v>
      </c>
      <c r="N1316" s="9">
        <f t="shared" si="121"/>
        <v>-1.8397727555897103E-4</v>
      </c>
      <c r="O1316" s="5">
        <v>45880</v>
      </c>
      <c r="P1316">
        <f t="shared" si="123"/>
        <v>1.0000028643842129</v>
      </c>
      <c r="Q1316" s="6">
        <f t="shared" si="124"/>
        <v>1.0001100121013311</v>
      </c>
      <c r="R1316">
        <f t="shared" si="125"/>
        <v>-1.0714167033308698E-4</v>
      </c>
      <c r="T1316" s="5">
        <v>45880</v>
      </c>
      <c r="U1316" s="1">
        <v>-1.0714167033308698E-4</v>
      </c>
    </row>
    <row r="1317" spans="3:21" x14ac:dyDescent="0.2">
      <c r="C1317" s="5">
        <v>45881</v>
      </c>
      <c r="D1317" s="6">
        <v>0.99992999999999999</v>
      </c>
      <c r="E1317" s="6">
        <v>120130.3</v>
      </c>
      <c r="F1317" s="6">
        <v>120114.2</v>
      </c>
      <c r="G1317" s="6">
        <v>120001.05</v>
      </c>
      <c r="H1317" s="6">
        <v>120106.1</v>
      </c>
      <c r="I1317" s="5">
        <v>45881</v>
      </c>
      <c r="J1317" s="7">
        <f t="shared" si="122"/>
        <v>-2.0144792779171522E-4</v>
      </c>
      <c r="K1317" s="5">
        <v>45881</v>
      </c>
      <c r="L1317" s="8">
        <f t="shared" si="120"/>
        <v>-9.420201774643979E-4</v>
      </c>
      <c r="M1317" s="5">
        <v>45881</v>
      </c>
      <c r="N1317" s="9">
        <f t="shared" si="121"/>
        <v>-1.1434681052561132E-3</v>
      </c>
      <c r="O1317" s="5">
        <v>45881</v>
      </c>
      <c r="P1317">
        <f t="shared" si="123"/>
        <v>1.0008754090068379</v>
      </c>
      <c r="Q1317" s="6">
        <f t="shared" si="124"/>
        <v>1.000070004900343</v>
      </c>
      <c r="R1317">
        <f t="shared" si="125"/>
        <v>8.0502360973288601E-4</v>
      </c>
      <c r="T1317" s="5">
        <v>45881</v>
      </c>
      <c r="U1317" s="1">
        <v>8.0502360973288601E-4</v>
      </c>
    </row>
    <row r="1318" spans="3:21" x14ac:dyDescent="0.2">
      <c r="C1318" s="5">
        <v>45882</v>
      </c>
      <c r="D1318" s="6">
        <v>0.99992999999999999</v>
      </c>
      <c r="E1318" s="6">
        <v>123354.1</v>
      </c>
      <c r="F1318" s="6">
        <v>123352.2</v>
      </c>
      <c r="G1318" s="6">
        <v>122739.49</v>
      </c>
      <c r="H1318" s="6">
        <v>123388.3</v>
      </c>
      <c r="I1318" s="5">
        <v>45882</v>
      </c>
      <c r="J1318" s="7">
        <f t="shared" si="122"/>
        <v>2.7725061428843538E-4</v>
      </c>
      <c r="K1318" s="5">
        <v>45882</v>
      </c>
      <c r="L1318" s="8">
        <f t="shared" si="120"/>
        <v>-4.967159077827488E-3</v>
      </c>
      <c r="M1318" s="5">
        <v>45882</v>
      </c>
      <c r="N1318" s="9">
        <f t="shared" si="121"/>
        <v>-4.6899084635390522E-3</v>
      </c>
      <c r="O1318" s="5">
        <v>45882</v>
      </c>
      <c r="P1318">
        <f t="shared" si="123"/>
        <v>1.005286073781144</v>
      </c>
      <c r="Q1318" s="6">
        <f t="shared" si="124"/>
        <v>1.000070004900343</v>
      </c>
      <c r="R1318">
        <f t="shared" si="125"/>
        <v>5.2021490841508422E-3</v>
      </c>
      <c r="T1318" s="5">
        <v>45882</v>
      </c>
      <c r="U1318" s="1">
        <v>5.2021490841508422E-3</v>
      </c>
    </row>
    <row r="1319" spans="3:21" x14ac:dyDescent="0.2">
      <c r="C1319" s="5">
        <v>45883</v>
      </c>
      <c r="D1319" s="6">
        <v>0.99985999999999997</v>
      </c>
      <c r="E1319" s="6">
        <v>118389.4</v>
      </c>
      <c r="F1319" s="6">
        <v>118356.4</v>
      </c>
      <c r="G1319" s="6">
        <v>118399.25</v>
      </c>
      <c r="H1319" s="6">
        <v>118330.6</v>
      </c>
      <c r="I1319" s="5">
        <v>45883</v>
      </c>
      <c r="J1319" s="7">
        <f t="shared" si="122"/>
        <v>-4.9666608665968712E-4</v>
      </c>
      <c r="K1319" s="5">
        <v>45883</v>
      </c>
      <c r="L1319" s="8">
        <f t="shared" si="120"/>
        <v>3.6204210334215826E-4</v>
      </c>
      <c r="M1319" s="5">
        <v>45883</v>
      </c>
      <c r="N1319" s="9">
        <f t="shared" si="121"/>
        <v>-1.3462398331752886E-4</v>
      </c>
      <c r="O1319" s="5">
        <v>45883</v>
      </c>
      <c r="P1319">
        <f t="shared" si="123"/>
        <v>0.99942018213797812</v>
      </c>
      <c r="Q1319" s="6">
        <f t="shared" si="124"/>
        <v>1.0001400196027443</v>
      </c>
      <c r="R1319">
        <f t="shared" si="125"/>
        <v>-7.1999582231747764E-4</v>
      </c>
      <c r="T1319" s="5">
        <v>45883</v>
      </c>
      <c r="U1319" s="1">
        <v>-7.1999582231747764E-4</v>
      </c>
    </row>
    <row r="1320" spans="3:21" x14ac:dyDescent="0.2">
      <c r="C1320" s="5">
        <v>45884</v>
      </c>
      <c r="D1320" s="6">
        <v>0.99988999999999995</v>
      </c>
      <c r="E1320" s="6">
        <v>117428.2</v>
      </c>
      <c r="F1320" s="6">
        <v>117375.6</v>
      </c>
      <c r="G1320" s="6">
        <v>117527.19</v>
      </c>
      <c r="H1320" s="6">
        <v>117376</v>
      </c>
      <c r="I1320" s="5">
        <v>45884</v>
      </c>
      <c r="J1320" s="7">
        <f t="shared" si="122"/>
        <v>-4.4452695349155561E-4</v>
      </c>
      <c r="K1320" s="5">
        <v>45884</v>
      </c>
      <c r="L1320" s="8">
        <f t="shared" si="120"/>
        <v>1.2914949955527086E-3</v>
      </c>
      <c r="M1320" s="5">
        <v>45884</v>
      </c>
      <c r="N1320" s="9">
        <f t="shared" si="121"/>
        <v>8.4696804206115298E-4</v>
      </c>
      <c r="O1320" s="5">
        <v>45884</v>
      </c>
      <c r="P1320">
        <f t="shared" si="123"/>
        <v>0.99871357428013041</v>
      </c>
      <c r="Q1320" s="6">
        <f t="shared" si="124"/>
        <v>1.0001100121013311</v>
      </c>
      <c r="R1320">
        <f t="shared" si="125"/>
        <v>-1.3972599261965256E-3</v>
      </c>
      <c r="T1320" s="5">
        <v>45884</v>
      </c>
      <c r="U1320" s="1">
        <v>-1.3972599261965256E-3</v>
      </c>
    </row>
    <row r="1321" spans="3:21" x14ac:dyDescent="0.2">
      <c r="C1321" s="5">
        <v>45885</v>
      </c>
      <c r="D1321" s="6">
        <v>0.99988999999999995</v>
      </c>
      <c r="E1321" s="6">
        <v>117470</v>
      </c>
      <c r="F1321" s="6">
        <v>117400.7</v>
      </c>
      <c r="G1321" s="6">
        <v>117630.57</v>
      </c>
      <c r="H1321" s="6">
        <v>117394.6</v>
      </c>
      <c r="I1321" s="5">
        <v>45885</v>
      </c>
      <c r="J1321" s="7">
        <f t="shared" si="122"/>
        <v>-6.4186600834250599E-4</v>
      </c>
      <c r="K1321" s="5">
        <v>45885</v>
      </c>
      <c r="L1321" s="8">
        <f t="shared" si="120"/>
        <v>1.95799513972242E-3</v>
      </c>
      <c r="M1321" s="5">
        <v>45885</v>
      </c>
      <c r="N1321" s="9">
        <f t="shared" si="121"/>
        <v>1.316129131379914E-3</v>
      </c>
      <c r="O1321" s="5">
        <v>45885</v>
      </c>
      <c r="P1321">
        <f t="shared" si="123"/>
        <v>0.99799397384540423</v>
      </c>
      <c r="Q1321" s="6">
        <f t="shared" si="124"/>
        <v>1.0001100121013311</v>
      </c>
      <c r="R1321">
        <f t="shared" si="125"/>
        <v>-2.11804697040484E-3</v>
      </c>
      <c r="T1321" s="5">
        <v>45885</v>
      </c>
      <c r="U1321" s="1">
        <v>-2.11804697040484E-3</v>
      </c>
    </row>
    <row r="1322" spans="3:21" x14ac:dyDescent="0.2">
      <c r="C1322" s="5">
        <v>45886</v>
      </c>
      <c r="D1322" s="6">
        <v>0.99994000000000005</v>
      </c>
      <c r="E1322" s="6">
        <v>117489.7</v>
      </c>
      <c r="F1322" s="6">
        <v>117438.3</v>
      </c>
      <c r="G1322" s="6">
        <v>117497.71</v>
      </c>
      <c r="H1322" s="6">
        <v>117419</v>
      </c>
      <c r="I1322" s="5">
        <v>45886</v>
      </c>
      <c r="J1322" s="7">
        <f t="shared" si="122"/>
        <v>-6.0175487723602235E-4</v>
      </c>
      <c r="K1322" s="5">
        <v>45886</v>
      </c>
      <c r="L1322" s="8">
        <f t="shared" si="120"/>
        <v>5.0588266349226355E-4</v>
      </c>
      <c r="M1322" s="5">
        <v>45886</v>
      </c>
      <c r="N1322" s="9">
        <f t="shared" si="121"/>
        <v>-9.5872213743758796E-5</v>
      </c>
      <c r="O1322" s="5">
        <v>45886</v>
      </c>
      <c r="P1322">
        <f t="shared" si="123"/>
        <v>0.99933011460393562</v>
      </c>
      <c r="Q1322" s="6">
        <f t="shared" si="124"/>
        <v>1.0000600036002159</v>
      </c>
      <c r="R1322">
        <f t="shared" si="125"/>
        <v>-7.3011166961146846E-4</v>
      </c>
      <c r="T1322" s="5">
        <v>45886</v>
      </c>
      <c r="U1322" s="1">
        <v>-7.3011166961146846E-4</v>
      </c>
    </row>
    <row r="1323" spans="3:21" x14ac:dyDescent="0.2">
      <c r="C1323" s="5">
        <v>45887</v>
      </c>
      <c r="D1323" s="6">
        <v>0.99990000000000001</v>
      </c>
      <c r="E1323" s="6">
        <v>116274</v>
      </c>
      <c r="F1323" s="6">
        <v>116216.1</v>
      </c>
      <c r="G1323" s="6">
        <v>116300.63</v>
      </c>
      <c r="H1323" s="6">
        <v>116218.6</v>
      </c>
      <c r="I1323" s="5">
        <v>45887</v>
      </c>
      <c r="J1323" s="7">
        <f t="shared" si="122"/>
        <v>-4.764607736896828E-4</v>
      </c>
      <c r="K1323" s="5">
        <v>45887</v>
      </c>
      <c r="L1323" s="8">
        <f t="shared" si="120"/>
        <v>7.2735189014257781E-4</v>
      </c>
      <c r="M1323" s="5">
        <v>45887</v>
      </c>
      <c r="N1323" s="9">
        <f t="shared" si="121"/>
        <v>2.5089111645289501E-4</v>
      </c>
      <c r="O1323" s="5">
        <v>45887</v>
      </c>
      <c r="P1323">
        <f t="shared" si="123"/>
        <v>0.99929467278036244</v>
      </c>
      <c r="Q1323" s="6">
        <f t="shared" si="124"/>
        <v>1.000100010001</v>
      </c>
      <c r="R1323">
        <f t="shared" si="125"/>
        <v>-8.0558108023975428E-4</v>
      </c>
      <c r="T1323" s="5">
        <v>45887</v>
      </c>
      <c r="U1323" s="1">
        <v>-8.0558108023975428E-4</v>
      </c>
    </row>
    <row r="1324" spans="3:21" x14ac:dyDescent="0.2">
      <c r="C1324" s="5">
        <v>45888</v>
      </c>
      <c r="D1324" s="6">
        <v>0.99988999999999995</v>
      </c>
      <c r="E1324" s="6">
        <v>112870</v>
      </c>
      <c r="F1324" s="6">
        <v>112818.9</v>
      </c>
      <c r="G1324" s="6">
        <v>112876.83</v>
      </c>
      <c r="H1324" s="6">
        <v>112842.4</v>
      </c>
      <c r="I1324" s="5">
        <v>45888</v>
      </c>
      <c r="J1324" s="7">
        <f t="shared" si="122"/>
        <v>-2.4452910427931088E-4</v>
      </c>
      <c r="K1324" s="5">
        <v>45888</v>
      </c>
      <c r="L1324" s="8">
        <f t="shared" si="120"/>
        <v>5.1347779494399933E-4</v>
      </c>
      <c r="M1324" s="5">
        <v>45888</v>
      </c>
      <c r="N1324" s="9">
        <f t="shared" si="121"/>
        <v>2.6894869066468845E-4</v>
      </c>
      <c r="O1324" s="5">
        <v>45888</v>
      </c>
      <c r="P1324">
        <f t="shared" si="123"/>
        <v>0.99969497725972634</v>
      </c>
      <c r="Q1324" s="6">
        <f t="shared" si="124"/>
        <v>1.0001100121013311</v>
      </c>
      <c r="R1324">
        <f t="shared" si="125"/>
        <v>-4.1507531961516061E-4</v>
      </c>
      <c r="T1324" s="5">
        <v>45888</v>
      </c>
      <c r="U1324" s="1">
        <v>-4.1507531961516061E-4</v>
      </c>
    </row>
    <row r="1325" spans="3:21" x14ac:dyDescent="0.2">
      <c r="C1325" s="5">
        <v>45889</v>
      </c>
      <c r="D1325" s="6">
        <v>0.99983</v>
      </c>
      <c r="E1325" s="6">
        <v>114287</v>
      </c>
      <c r="F1325" s="6">
        <v>114223.4</v>
      </c>
      <c r="G1325" s="6">
        <v>114306.12</v>
      </c>
      <c r="H1325" s="6">
        <v>114252.5</v>
      </c>
      <c r="I1325" s="5">
        <v>45889</v>
      </c>
      <c r="J1325" s="7">
        <f t="shared" si="122"/>
        <v>-3.0187160394445564E-4</v>
      </c>
      <c r="K1325" s="5">
        <v>45889</v>
      </c>
      <c r="L1325" s="8">
        <f t="shared" si="120"/>
        <v>7.2419486725137905E-4</v>
      </c>
      <c r="M1325" s="5">
        <v>45889</v>
      </c>
      <c r="N1325" s="9">
        <f t="shared" si="121"/>
        <v>4.2232326330692341E-4</v>
      </c>
      <c r="O1325" s="5">
        <v>45889</v>
      </c>
      <c r="P1325">
        <f t="shared" si="123"/>
        <v>0.99953090875624162</v>
      </c>
      <c r="Q1325" s="6">
        <f t="shared" si="124"/>
        <v>1.0001700289049138</v>
      </c>
      <c r="R1325">
        <f t="shared" si="125"/>
        <v>-6.392157531130751E-4</v>
      </c>
      <c r="T1325" s="5">
        <v>45889</v>
      </c>
      <c r="U1325" s="1">
        <v>-6.392157531130751E-4</v>
      </c>
    </row>
    <row r="1326" spans="3:21" x14ac:dyDescent="0.2">
      <c r="C1326" s="5">
        <v>45890</v>
      </c>
      <c r="D1326" s="6">
        <v>0.99990000000000001</v>
      </c>
      <c r="E1326" s="6">
        <v>112480.1</v>
      </c>
      <c r="F1326" s="6">
        <v>112455.3</v>
      </c>
      <c r="G1326" s="6">
        <v>112463.03999999999</v>
      </c>
      <c r="H1326" s="6">
        <v>112441.4</v>
      </c>
      <c r="I1326" s="5">
        <v>45890</v>
      </c>
      <c r="J1326" s="7">
        <f t="shared" si="122"/>
        <v>-3.4406086054343516E-4</v>
      </c>
      <c r="K1326" s="5">
        <v>45890</v>
      </c>
      <c r="L1326" s="8">
        <f t="shared" si="120"/>
        <v>6.8827347399283857E-5</v>
      </c>
      <c r="M1326" s="5">
        <v>45890</v>
      </c>
      <c r="N1326" s="9">
        <f t="shared" si="121"/>
        <v>-2.752335131441513E-4</v>
      </c>
      <c r="O1326" s="5">
        <v>45890</v>
      </c>
      <c r="P1326">
        <f t="shared" si="123"/>
        <v>0.99980758122846414</v>
      </c>
      <c r="Q1326" s="6">
        <f t="shared" si="124"/>
        <v>1.000100010001</v>
      </c>
      <c r="R1326">
        <f t="shared" si="125"/>
        <v>-2.9244228673609067E-4</v>
      </c>
      <c r="T1326" s="5">
        <v>45890</v>
      </c>
      <c r="U1326" s="1">
        <v>-2.9244228673609067E-4</v>
      </c>
    </row>
    <row r="1327" spans="3:21" x14ac:dyDescent="0.2">
      <c r="C1327" s="5">
        <v>45891</v>
      </c>
      <c r="D1327" s="6">
        <v>0.99978</v>
      </c>
      <c r="E1327" s="6">
        <v>116914.1</v>
      </c>
      <c r="F1327" s="6">
        <v>116878.7</v>
      </c>
      <c r="G1327" s="6">
        <v>116145.58</v>
      </c>
      <c r="H1327" s="6">
        <v>116870</v>
      </c>
      <c r="I1327" s="5">
        <v>45891</v>
      </c>
      <c r="J1327" s="7">
        <f t="shared" si="122"/>
        <v>-3.772000126589164E-4</v>
      </c>
      <c r="K1327" s="5">
        <v>45891</v>
      </c>
      <c r="L1327" s="8">
        <f t="shared" si="120"/>
        <v>-6.2724859191623057E-3</v>
      </c>
      <c r="M1327" s="5">
        <v>45891</v>
      </c>
      <c r="N1327" s="9">
        <f t="shared" si="121"/>
        <v>-6.6496859318212224E-3</v>
      </c>
      <c r="O1327" s="5">
        <v>45891</v>
      </c>
      <c r="P1327">
        <f t="shared" si="123"/>
        <v>1.0062371723487022</v>
      </c>
      <c r="Q1327" s="6">
        <f t="shared" si="124"/>
        <v>1.0002200484106503</v>
      </c>
      <c r="R1327">
        <f t="shared" si="125"/>
        <v>5.9977774893850214E-3</v>
      </c>
      <c r="T1327" s="5">
        <v>45891</v>
      </c>
      <c r="U1327" s="1">
        <v>5.9977774893850214E-3</v>
      </c>
    </row>
    <row r="1328" spans="3:21" x14ac:dyDescent="0.2">
      <c r="C1328" s="5">
        <v>45892</v>
      </c>
      <c r="D1328" s="6">
        <v>0.99978</v>
      </c>
      <c r="E1328" s="6">
        <v>115396</v>
      </c>
      <c r="F1328" s="6">
        <v>115402.9</v>
      </c>
      <c r="G1328" s="6">
        <v>114678.47</v>
      </c>
      <c r="H1328" s="6">
        <v>115387.7</v>
      </c>
      <c r="I1328" s="5">
        <v>45892</v>
      </c>
      <c r="J1328" s="7">
        <f t="shared" si="122"/>
        <v>-7.1926236611346241E-5</v>
      </c>
      <c r="K1328" s="5">
        <v>45892</v>
      </c>
      <c r="L1328" s="8">
        <f t="shared" si="120"/>
        <v>-6.2773985749057697E-3</v>
      </c>
      <c r="M1328" s="5">
        <v>45892</v>
      </c>
      <c r="N1328" s="9">
        <f t="shared" si="121"/>
        <v>-6.3493248115171156E-3</v>
      </c>
      <c r="O1328" s="5">
        <v>45892</v>
      </c>
      <c r="P1328">
        <f t="shared" si="123"/>
        <v>1.0061845087399579</v>
      </c>
      <c r="Q1328" s="6">
        <f t="shared" si="124"/>
        <v>1.0002200484106503</v>
      </c>
      <c r="R1328">
        <f t="shared" si="125"/>
        <v>5.945438946969939E-3</v>
      </c>
      <c r="T1328" s="5">
        <v>45892</v>
      </c>
      <c r="U1328" s="1">
        <v>5.945438946969939E-3</v>
      </c>
    </row>
    <row r="1329" spans="3:21" x14ac:dyDescent="0.2">
      <c r="C1329" s="5">
        <v>45893</v>
      </c>
      <c r="D1329" s="6">
        <v>0.99985999999999997</v>
      </c>
      <c r="E1329" s="6">
        <v>113489.1</v>
      </c>
      <c r="F1329" s="6">
        <v>113511.4</v>
      </c>
      <c r="G1329" s="6">
        <v>113331.01</v>
      </c>
      <c r="H1329" s="6">
        <v>113490</v>
      </c>
      <c r="I1329" s="5">
        <v>45893</v>
      </c>
      <c r="J1329" s="7">
        <f t="shared" si="122"/>
        <v>7.9302770045244804E-6</v>
      </c>
      <c r="K1329" s="5">
        <v>45893</v>
      </c>
      <c r="L1329" s="8">
        <f t="shared" si="120"/>
        <v>-1.5891795890104379E-3</v>
      </c>
      <c r="M1329" s="5">
        <v>45893</v>
      </c>
      <c r="N1329" s="9">
        <f t="shared" si="121"/>
        <v>-1.5812493120059134E-3</v>
      </c>
      <c r="O1329" s="5">
        <v>45893</v>
      </c>
      <c r="P1329">
        <f t="shared" si="123"/>
        <v>1.0014028817002514</v>
      </c>
      <c r="Q1329" s="6">
        <f t="shared" si="124"/>
        <v>1.0001400196027443</v>
      </c>
      <c r="R1329">
        <f t="shared" si="125"/>
        <v>1.2618887801634018E-3</v>
      </c>
      <c r="T1329" s="5">
        <v>45893</v>
      </c>
      <c r="U1329" s="1">
        <v>1.2618887801634018E-3</v>
      </c>
    </row>
    <row r="1330" spans="3:21" x14ac:dyDescent="0.2">
      <c r="C1330" s="5">
        <v>45894</v>
      </c>
      <c r="D1330" s="6">
        <v>0.99985999999999997</v>
      </c>
      <c r="E1330" s="6">
        <v>110137.8</v>
      </c>
      <c r="F1330" s="6">
        <v>110087.3</v>
      </c>
      <c r="G1330" s="6">
        <v>110190.65</v>
      </c>
      <c r="H1330" s="6">
        <v>110121.9</v>
      </c>
      <c r="I1330" s="5">
        <v>45894</v>
      </c>
      <c r="J1330" s="7">
        <f t="shared" si="122"/>
        <v>-1.443646050675493E-4</v>
      </c>
      <c r="K1330" s="5">
        <v>45894</v>
      </c>
      <c r="L1330" s="8">
        <f t="shared" si="120"/>
        <v>9.3880038841892999E-4</v>
      </c>
      <c r="M1330" s="5">
        <v>45894</v>
      </c>
      <c r="N1330" s="9">
        <f t="shared" si="121"/>
        <v>7.9443578335138074E-4</v>
      </c>
      <c r="O1330" s="5">
        <v>45894</v>
      </c>
      <c r="P1330">
        <f t="shared" si="123"/>
        <v>0.99937608136443523</v>
      </c>
      <c r="Q1330" s="6">
        <f t="shared" si="124"/>
        <v>1.0001400196027443</v>
      </c>
      <c r="R1330">
        <f t="shared" si="125"/>
        <v>-7.6412315470786264E-4</v>
      </c>
      <c r="T1330" s="5">
        <v>45894</v>
      </c>
      <c r="U1330" s="1">
        <v>-7.6412315470786264E-4</v>
      </c>
    </row>
    <row r="1331" spans="3:21" x14ac:dyDescent="0.2">
      <c r="C1331" s="5">
        <v>45895</v>
      </c>
      <c r="D1331" s="6">
        <v>0.99995000000000001</v>
      </c>
      <c r="E1331" s="6">
        <v>111798.3</v>
      </c>
      <c r="F1331" s="6">
        <v>111742.39999999999</v>
      </c>
      <c r="G1331" s="6">
        <v>111788.85</v>
      </c>
      <c r="H1331" s="6">
        <v>111718.6</v>
      </c>
      <c r="I1331" s="5">
        <v>45895</v>
      </c>
      <c r="J1331" s="7">
        <f t="shared" si="122"/>
        <v>-7.128909831365691E-4</v>
      </c>
      <c r="K1331" s="5">
        <v>45895</v>
      </c>
      <c r="L1331" s="8">
        <f t="shared" si="120"/>
        <v>4.1568822577653283E-4</v>
      </c>
      <c r="M1331" s="5">
        <v>45895</v>
      </c>
      <c r="N1331" s="9">
        <f t="shared" si="121"/>
        <v>-2.9720275736003628E-4</v>
      </c>
      <c r="O1331" s="5">
        <v>45895</v>
      </c>
      <c r="P1331">
        <f t="shared" si="123"/>
        <v>0.99937158312300389</v>
      </c>
      <c r="Q1331" s="6">
        <f t="shared" si="124"/>
        <v>1.0000500025001251</v>
      </c>
      <c r="R1331">
        <f t="shared" si="125"/>
        <v>-6.7861566368480582E-4</v>
      </c>
      <c r="T1331" s="5">
        <v>45895</v>
      </c>
      <c r="U1331" s="1">
        <v>-6.7861566368480582E-4</v>
      </c>
    </row>
    <row r="1332" spans="3:21" x14ac:dyDescent="0.2">
      <c r="C1332" s="5">
        <v>45896</v>
      </c>
      <c r="D1332" s="6">
        <v>1</v>
      </c>
      <c r="E1332" s="6">
        <v>111264</v>
      </c>
      <c r="F1332" s="6">
        <v>111208</v>
      </c>
      <c r="G1332" s="6">
        <v>111269.37</v>
      </c>
      <c r="H1332" s="6">
        <v>111213</v>
      </c>
      <c r="I1332" s="5">
        <v>45896</v>
      </c>
      <c r="J1332" s="7">
        <f t="shared" si="122"/>
        <v>-4.5836928386540121E-4</v>
      </c>
      <c r="K1332" s="5">
        <v>45896</v>
      </c>
      <c r="L1332" s="8">
        <f t="shared" si="120"/>
        <v>5.5184878785694686E-4</v>
      </c>
      <c r="M1332" s="5">
        <v>45896</v>
      </c>
      <c r="N1332" s="9">
        <f t="shared" si="121"/>
        <v>9.3479503991545645E-5</v>
      </c>
      <c r="O1332" s="5">
        <v>45896</v>
      </c>
      <c r="P1332">
        <f t="shared" si="123"/>
        <v>0.99949339157757433</v>
      </c>
      <c r="Q1332" s="6">
        <f t="shared" si="124"/>
        <v>1</v>
      </c>
      <c r="R1332">
        <f t="shared" si="125"/>
        <v>-5.0673679182968421E-4</v>
      </c>
      <c r="T1332" s="5">
        <v>45896</v>
      </c>
      <c r="U1332" s="1">
        <v>-5.0673679182968421E-4</v>
      </c>
    </row>
    <row r="1333" spans="3:21" x14ac:dyDescent="0.2">
      <c r="C1333" s="5">
        <v>45897</v>
      </c>
      <c r="D1333" s="6">
        <v>0.99999000000000005</v>
      </c>
      <c r="E1333" s="6">
        <v>112586.1</v>
      </c>
      <c r="F1333" s="6">
        <v>112526.8</v>
      </c>
      <c r="G1333" s="6">
        <v>112562.36</v>
      </c>
      <c r="H1333" s="6">
        <v>112532.7</v>
      </c>
      <c r="I1333" s="5">
        <v>45897</v>
      </c>
      <c r="J1333" s="7">
        <f t="shared" si="122"/>
        <v>-4.7430366626083261E-4</v>
      </c>
      <c r="K1333" s="5">
        <v>45897</v>
      </c>
      <c r="L1333" s="8">
        <f t="shared" si="120"/>
        <v>3.1601360742505494E-4</v>
      </c>
      <c r="M1333" s="5">
        <v>45897</v>
      </c>
      <c r="N1333" s="9">
        <f t="shared" si="121"/>
        <v>-1.5829005883577767E-4</v>
      </c>
      <c r="O1333" s="5">
        <v>45897</v>
      </c>
      <c r="P1333">
        <f t="shared" si="123"/>
        <v>0.99973650161563776</v>
      </c>
      <c r="Q1333" s="6">
        <f t="shared" si="124"/>
        <v>1.000010000100001</v>
      </c>
      <c r="R1333">
        <f t="shared" si="125"/>
        <v>-2.7353315616142208E-4</v>
      </c>
      <c r="T1333" s="5">
        <v>45897</v>
      </c>
      <c r="U1333" s="1">
        <v>-2.7353315616142208E-4</v>
      </c>
    </row>
    <row r="1334" spans="3:21" x14ac:dyDescent="0.2">
      <c r="C1334" s="5">
        <v>45898</v>
      </c>
      <c r="D1334" s="6">
        <v>0.99999000000000005</v>
      </c>
      <c r="E1334" s="6">
        <v>108390</v>
      </c>
      <c r="F1334" s="6">
        <v>108361.2</v>
      </c>
      <c r="G1334" s="6">
        <v>108436.21</v>
      </c>
      <c r="H1334" s="6">
        <v>108331.9</v>
      </c>
      <c r="I1334" s="5">
        <v>45898</v>
      </c>
      <c r="J1334" s="7">
        <f t="shared" si="122"/>
        <v>-5.3602730879237775E-4</v>
      </c>
      <c r="K1334" s="5">
        <v>45898</v>
      </c>
      <c r="L1334" s="8">
        <f t="shared" si="120"/>
        <v>6.9222193921818253E-4</v>
      </c>
      <c r="M1334" s="5">
        <v>45898</v>
      </c>
      <c r="N1334" s="9">
        <f t="shared" si="121"/>
        <v>1.5619463042580478E-4</v>
      </c>
      <c r="O1334" s="5">
        <v>45898</v>
      </c>
      <c r="P1334">
        <f t="shared" si="123"/>
        <v>0.99903805195699846</v>
      </c>
      <c r="Q1334" s="6">
        <f t="shared" si="124"/>
        <v>1.000010000100001</v>
      </c>
      <c r="R1334">
        <f t="shared" si="125"/>
        <v>-9.7241106194572986E-4</v>
      </c>
      <c r="T1334" s="5">
        <v>45898</v>
      </c>
      <c r="U1334" s="1">
        <v>-9.7241106194572986E-4</v>
      </c>
    </row>
    <row r="1335" spans="3:21" x14ac:dyDescent="0.2">
      <c r="C1335" s="5">
        <v>45899</v>
      </c>
      <c r="D1335" s="6">
        <v>1</v>
      </c>
      <c r="E1335" s="6">
        <v>108822</v>
      </c>
      <c r="F1335" s="6">
        <v>108767.8</v>
      </c>
      <c r="G1335" s="6">
        <v>108889.97</v>
      </c>
      <c r="H1335" s="6">
        <v>108756.2</v>
      </c>
      <c r="I1335" s="5">
        <v>45899</v>
      </c>
      <c r="J1335" s="7">
        <f t="shared" si="122"/>
        <v>-6.0465714653289691E-4</v>
      </c>
      <c r="K1335" s="5">
        <v>45899</v>
      </c>
      <c r="L1335" s="8">
        <f t="shared" si="120"/>
        <v>1.1232184525199393E-3</v>
      </c>
      <c r="M1335" s="5">
        <v>45899</v>
      </c>
      <c r="N1335" s="9">
        <f t="shared" si="121"/>
        <v>5.1856130598704241E-4</v>
      </c>
      <c r="O1335" s="5">
        <v>45899</v>
      </c>
      <c r="P1335">
        <f t="shared" si="123"/>
        <v>0.9987715121971289</v>
      </c>
      <c r="Q1335" s="6">
        <f t="shared" si="124"/>
        <v>1</v>
      </c>
      <c r="R1335">
        <f t="shared" si="125"/>
        <v>-1.2292430125859812E-3</v>
      </c>
      <c r="T1335" s="5">
        <v>45899</v>
      </c>
      <c r="U1335" s="1">
        <v>-1.2292430125859812E-3</v>
      </c>
    </row>
    <row r="1336" spans="3:21" x14ac:dyDescent="0.2">
      <c r="C1336" s="5">
        <v>45900</v>
      </c>
      <c r="D1336" s="6">
        <v>0.99992000000000003</v>
      </c>
      <c r="E1336" s="6">
        <v>108260.3</v>
      </c>
      <c r="F1336" s="6">
        <v>108216.7</v>
      </c>
      <c r="G1336" s="6">
        <v>108271.35</v>
      </c>
      <c r="H1336" s="6">
        <v>108197.3</v>
      </c>
      <c r="I1336" s="5">
        <v>45900</v>
      </c>
      <c r="J1336" s="7">
        <f t="shared" si="122"/>
        <v>-5.8193077240687493E-4</v>
      </c>
      <c r="K1336" s="5">
        <v>45900</v>
      </c>
      <c r="L1336" s="8">
        <f t="shared" si="120"/>
        <v>5.0500523486678801E-4</v>
      </c>
      <c r="M1336" s="5">
        <v>45900</v>
      </c>
      <c r="N1336" s="9">
        <f t="shared" si="121"/>
        <v>-7.6925537540086918E-5</v>
      </c>
      <c r="O1336" s="5">
        <v>45900</v>
      </c>
      <c r="P1336">
        <f t="shared" si="123"/>
        <v>0.99931607022541047</v>
      </c>
      <c r="Q1336" s="6">
        <f t="shared" si="124"/>
        <v>1.000080006400512</v>
      </c>
      <c r="R1336">
        <f t="shared" si="125"/>
        <v>-7.6416696142144987E-4</v>
      </c>
      <c r="T1336" s="5">
        <v>45900</v>
      </c>
      <c r="U1336" s="1">
        <v>-7.6416696142144987E-4</v>
      </c>
    </row>
    <row r="1337" spans="3:21" x14ac:dyDescent="0.2">
      <c r="C1337" s="5">
        <v>45901</v>
      </c>
      <c r="D1337" s="6">
        <v>0.99999000000000005</v>
      </c>
      <c r="E1337" s="6">
        <v>109242</v>
      </c>
      <c r="F1337" s="6">
        <v>109192.3</v>
      </c>
      <c r="G1337" s="6">
        <v>109264.86</v>
      </c>
      <c r="H1337" s="6">
        <v>109194.8</v>
      </c>
      <c r="I1337" s="5">
        <v>45901</v>
      </c>
      <c r="J1337" s="7">
        <f t="shared" si="122"/>
        <v>-4.3206825213742967E-4</v>
      </c>
      <c r="K1337" s="5">
        <v>45901</v>
      </c>
      <c r="L1337" s="8">
        <f t="shared" si="120"/>
        <v>6.6451572134663039E-4</v>
      </c>
      <c r="M1337" s="5">
        <v>45901</v>
      </c>
      <c r="N1337" s="9">
        <f t="shared" si="121"/>
        <v>2.3244746920920073E-4</v>
      </c>
      <c r="O1337" s="5">
        <v>45901</v>
      </c>
      <c r="P1337">
        <f t="shared" si="123"/>
        <v>0.99935880574962521</v>
      </c>
      <c r="Q1337" s="6">
        <f t="shared" si="124"/>
        <v>1.000010000100001</v>
      </c>
      <c r="R1337">
        <f t="shared" si="125"/>
        <v>-6.5139995332209421E-4</v>
      </c>
      <c r="T1337" s="5">
        <v>45901</v>
      </c>
      <c r="U1337" s="1">
        <v>-6.5139995332209421E-4</v>
      </c>
    </row>
    <row r="1338" spans="3:21" x14ac:dyDescent="0.2">
      <c r="C1338" s="5">
        <v>45902</v>
      </c>
      <c r="D1338" s="6">
        <v>0.99992000000000003</v>
      </c>
      <c r="E1338" s="6">
        <v>111249.2</v>
      </c>
      <c r="F1338" s="6">
        <v>111191.3</v>
      </c>
      <c r="G1338" s="6">
        <v>111187.5</v>
      </c>
      <c r="H1338" s="6">
        <v>111190.6</v>
      </c>
      <c r="I1338" s="5">
        <v>45902</v>
      </c>
      <c r="J1338" s="7">
        <f t="shared" si="122"/>
        <v>-5.2674536086543791E-4</v>
      </c>
      <c r="K1338" s="5">
        <v>45902</v>
      </c>
      <c r="L1338" s="8">
        <f t="shared" si="120"/>
        <v>-3.4175335660280167E-5</v>
      </c>
      <c r="M1338" s="5">
        <v>45902</v>
      </c>
      <c r="N1338" s="9">
        <f t="shared" si="121"/>
        <v>-5.6092069652571809E-4</v>
      </c>
      <c r="O1338" s="5">
        <v>45902</v>
      </c>
      <c r="P1338">
        <f t="shared" si="123"/>
        <v>1.0000278808319281</v>
      </c>
      <c r="Q1338" s="6">
        <f t="shared" si="124"/>
        <v>1.000080006400512</v>
      </c>
      <c r="R1338">
        <f t="shared" si="125"/>
        <v>-5.2122756905678047E-5</v>
      </c>
      <c r="T1338" s="5">
        <v>45902</v>
      </c>
      <c r="U1338" s="1">
        <v>-5.2122756905678047E-5</v>
      </c>
    </row>
    <row r="1339" spans="3:21" x14ac:dyDescent="0.2">
      <c r="C1339" s="5">
        <v>45903</v>
      </c>
      <c r="D1339" s="6">
        <v>0.99994000000000005</v>
      </c>
      <c r="E1339" s="6">
        <v>111761.7</v>
      </c>
      <c r="F1339" s="6">
        <v>111692.4</v>
      </c>
      <c r="G1339" s="6">
        <v>111759.39</v>
      </c>
      <c r="H1339" s="6">
        <v>111672.2</v>
      </c>
      <c r="I1339" s="5">
        <v>45903</v>
      </c>
      <c r="J1339" s="7">
        <f t="shared" si="122"/>
        <v>-8.0081101128561937E-4</v>
      </c>
      <c r="K1339" s="5">
        <v>45903</v>
      </c>
      <c r="L1339" s="8">
        <f t="shared" si="120"/>
        <v>5.9977223159324398E-4</v>
      </c>
      <c r="M1339" s="5">
        <v>45903</v>
      </c>
      <c r="N1339" s="9">
        <f t="shared" si="121"/>
        <v>-2.010387796923754E-4</v>
      </c>
      <c r="O1339" s="5">
        <v>45903</v>
      </c>
      <c r="P1339">
        <f t="shared" si="123"/>
        <v>0.99921984184058277</v>
      </c>
      <c r="Q1339" s="6">
        <f t="shared" si="124"/>
        <v>1.0000600036002159</v>
      </c>
      <c r="R1339">
        <f t="shared" si="125"/>
        <v>-8.4046444123878766E-4</v>
      </c>
      <c r="T1339" s="5">
        <v>45903</v>
      </c>
      <c r="U1339" s="1">
        <v>-8.4046444123878766E-4</v>
      </c>
    </row>
    <row r="1340" spans="3:21" x14ac:dyDescent="0.2">
      <c r="C1340" s="5">
        <v>45904</v>
      </c>
      <c r="D1340" s="6">
        <v>0.99999000000000005</v>
      </c>
      <c r="E1340" s="6">
        <v>110739.9</v>
      </c>
      <c r="F1340" s="6">
        <v>110671.7</v>
      </c>
      <c r="G1340" s="6">
        <v>110758.01</v>
      </c>
      <c r="H1340" s="6">
        <v>110693.7</v>
      </c>
      <c r="I1340" s="5">
        <v>45904</v>
      </c>
      <c r="J1340" s="7">
        <f t="shared" si="122"/>
        <v>-4.1719380277566707E-4</v>
      </c>
      <c r="K1340" s="5">
        <v>45904</v>
      </c>
      <c r="L1340" s="8">
        <f t="shared" si="120"/>
        <v>7.7987416837364636E-4</v>
      </c>
      <c r="M1340" s="5">
        <v>45904</v>
      </c>
      <c r="N1340" s="9">
        <f t="shared" si="121"/>
        <v>3.6268036559797929E-4</v>
      </c>
      <c r="O1340" s="5">
        <v>45904</v>
      </c>
      <c r="P1340">
        <f t="shared" si="123"/>
        <v>0.99941936479357119</v>
      </c>
      <c r="Q1340" s="6">
        <f t="shared" si="124"/>
        <v>1.000010000100001</v>
      </c>
      <c r="R1340">
        <f t="shared" si="125"/>
        <v>-5.9080389033025254E-4</v>
      </c>
      <c r="T1340" s="5">
        <v>45904</v>
      </c>
      <c r="U1340" s="1">
        <v>-5.9080389033025254E-4</v>
      </c>
    </row>
    <row r="1341" spans="3:21" x14ac:dyDescent="0.2">
      <c r="C1341" s="5">
        <v>45905</v>
      </c>
      <c r="D1341" s="6">
        <v>0.99988999999999995</v>
      </c>
      <c r="E1341" s="6">
        <v>110683.7</v>
      </c>
      <c r="F1341" s="6">
        <v>110640.1</v>
      </c>
      <c r="G1341" s="6">
        <v>110692.59</v>
      </c>
      <c r="H1341" s="6">
        <v>110621.6</v>
      </c>
      <c r="I1341" s="5">
        <v>45905</v>
      </c>
      <c r="J1341" s="7">
        <f t="shared" si="122"/>
        <v>-5.6105822266504712E-4</v>
      </c>
      <c r="K1341" s="5">
        <v>45905</v>
      </c>
      <c r="L1341" s="8">
        <f t="shared" si="120"/>
        <v>4.744211185636192E-4</v>
      </c>
      <c r="M1341" s="5">
        <v>45905</v>
      </c>
      <c r="N1341" s="9">
        <f t="shared" si="121"/>
        <v>-8.6637104101427922E-5</v>
      </c>
      <c r="O1341" s="5">
        <v>45905</v>
      </c>
      <c r="P1341">
        <f t="shared" si="123"/>
        <v>0.99935867432499326</v>
      </c>
      <c r="Q1341" s="6">
        <f t="shared" si="124"/>
        <v>1.0001100121013311</v>
      </c>
      <c r="R1341">
        <f t="shared" si="125"/>
        <v>-7.5153746272893843E-4</v>
      </c>
      <c r="T1341" s="5">
        <v>45905</v>
      </c>
      <c r="U1341" s="1">
        <v>-7.5153746272893843E-4</v>
      </c>
    </row>
    <row r="1342" spans="3:21" x14ac:dyDescent="0.2">
      <c r="C1342" s="5">
        <v>45906</v>
      </c>
      <c r="D1342" s="6">
        <v>1</v>
      </c>
      <c r="E1342" s="6">
        <v>110226</v>
      </c>
      <c r="F1342" s="6">
        <v>110166.3</v>
      </c>
      <c r="G1342" s="6">
        <v>110262.56</v>
      </c>
      <c r="H1342" s="6">
        <v>110174.7</v>
      </c>
      <c r="I1342" s="5">
        <v>45906</v>
      </c>
      <c r="J1342" s="7">
        <f t="shared" si="122"/>
        <v>-4.6540743563227286E-4</v>
      </c>
      <c r="K1342" s="5">
        <v>45906</v>
      </c>
      <c r="L1342" s="8">
        <f t="shared" si="120"/>
        <v>8.7376992782724628E-4</v>
      </c>
      <c r="M1342" s="5">
        <v>45906</v>
      </c>
      <c r="N1342" s="9">
        <f t="shared" si="121"/>
        <v>4.0836249219497342E-4</v>
      </c>
      <c r="O1342" s="5">
        <v>45906</v>
      </c>
      <c r="P1342">
        <f t="shared" si="123"/>
        <v>0.99920317467688047</v>
      </c>
      <c r="Q1342" s="6">
        <f t="shared" si="124"/>
        <v>1</v>
      </c>
      <c r="R1342">
        <f t="shared" si="125"/>
        <v>-7.9714295716108859E-4</v>
      </c>
      <c r="T1342" s="5">
        <v>45906</v>
      </c>
      <c r="U1342" s="1">
        <v>-7.9714295716108859E-4</v>
      </c>
    </row>
    <row r="1343" spans="3:21" x14ac:dyDescent="0.2">
      <c r="C1343" s="5">
        <v>45907</v>
      </c>
      <c r="D1343" s="6">
        <v>0.99992000000000003</v>
      </c>
      <c r="E1343" s="6">
        <v>111150</v>
      </c>
      <c r="F1343" s="6">
        <v>111089.7</v>
      </c>
      <c r="G1343" s="6">
        <v>111145.1</v>
      </c>
      <c r="H1343" s="6">
        <v>111093</v>
      </c>
      <c r="I1343" s="5">
        <v>45907</v>
      </c>
      <c r="J1343" s="7">
        <f t="shared" si="122"/>
        <v>-5.1282051282051282E-4</v>
      </c>
      <c r="K1343" s="5">
        <v>45907</v>
      </c>
      <c r="L1343" s="8">
        <f t="shared" si="120"/>
        <v>4.9869609873830548E-4</v>
      </c>
      <c r="M1343" s="5">
        <v>45907</v>
      </c>
      <c r="N1343" s="9">
        <f t="shared" si="121"/>
        <v>-1.4124414082207341E-5</v>
      </c>
      <c r="O1343" s="5">
        <v>45907</v>
      </c>
      <c r="P1343">
        <f t="shared" si="123"/>
        <v>0.99953124339264621</v>
      </c>
      <c r="Q1343" s="6">
        <f t="shared" si="124"/>
        <v>1.000080006400512</v>
      </c>
      <c r="R1343">
        <f t="shared" si="125"/>
        <v>-5.4886970824872714E-4</v>
      </c>
      <c r="T1343" s="5">
        <v>45907</v>
      </c>
      <c r="U1343" s="1">
        <v>-5.4886970824872714E-4</v>
      </c>
    </row>
    <row r="1344" spans="3:21" x14ac:dyDescent="0.2">
      <c r="C1344" s="5">
        <v>45908</v>
      </c>
      <c r="D1344" s="6">
        <v>0.99987999999999999</v>
      </c>
      <c r="E1344" s="6">
        <v>112096</v>
      </c>
      <c r="F1344" s="6">
        <v>112029.6</v>
      </c>
      <c r="G1344" s="6">
        <v>112084.45</v>
      </c>
      <c r="H1344" s="6">
        <v>112033.5</v>
      </c>
      <c r="I1344" s="5">
        <v>45908</v>
      </c>
      <c r="J1344" s="7">
        <f t="shared" si="122"/>
        <v>-5.575578075934913E-4</v>
      </c>
      <c r="K1344" s="5">
        <v>45908</v>
      </c>
      <c r="L1344" s="8">
        <f t="shared" si="120"/>
        <v>4.8960274784513435E-4</v>
      </c>
      <c r="M1344" s="5">
        <v>45908</v>
      </c>
      <c r="N1344" s="9">
        <f t="shared" si="121"/>
        <v>-6.7955059748356947E-5</v>
      </c>
      <c r="O1344" s="5">
        <v>45908</v>
      </c>
      <c r="P1344">
        <f t="shared" si="123"/>
        <v>0.99954543203807478</v>
      </c>
      <c r="Q1344" s="6">
        <f t="shared" si="124"/>
        <v>1.0001200144017282</v>
      </c>
      <c r="R1344">
        <f t="shared" si="125"/>
        <v>-5.7467850983728308E-4</v>
      </c>
      <c r="T1344" s="5">
        <v>45908</v>
      </c>
      <c r="U1344" s="1">
        <v>-5.7467850983728308E-4</v>
      </c>
    </row>
    <row r="1345" spans="3:21" x14ac:dyDescent="0.2">
      <c r="C1345" s="5">
        <v>45909</v>
      </c>
      <c r="D1345" s="6">
        <v>0.99990000000000001</v>
      </c>
      <c r="E1345" s="6">
        <v>111546.3</v>
      </c>
      <c r="F1345" s="6">
        <v>111507.2</v>
      </c>
      <c r="G1345" s="6">
        <v>111543.03</v>
      </c>
      <c r="H1345" s="6">
        <v>111481.4</v>
      </c>
      <c r="I1345" s="5">
        <v>45909</v>
      </c>
      <c r="J1345" s="7">
        <f t="shared" si="122"/>
        <v>-5.8182118098053215E-4</v>
      </c>
      <c r="K1345" s="5">
        <v>45909</v>
      </c>
      <c r="L1345" s="8">
        <f t="shared" si="120"/>
        <v>3.2132454227172546E-4</v>
      </c>
      <c r="M1345" s="5">
        <v>45909</v>
      </c>
      <c r="N1345" s="9">
        <f t="shared" si="121"/>
        <v>-2.6049663870880669E-4</v>
      </c>
      <c r="O1345" s="5">
        <v>45909</v>
      </c>
      <c r="P1345">
        <f t="shared" si="123"/>
        <v>0.99944747780296084</v>
      </c>
      <c r="Q1345" s="6">
        <f t="shared" si="124"/>
        <v>1.000100010001</v>
      </c>
      <c r="R1345">
        <f t="shared" si="125"/>
        <v>-6.5267989400963626E-4</v>
      </c>
      <c r="T1345" s="5">
        <v>45909</v>
      </c>
      <c r="U1345" s="1">
        <v>-6.5267989400963626E-4</v>
      </c>
    </row>
    <row r="1346" spans="3:21" x14ac:dyDescent="0.2">
      <c r="C1346" s="5">
        <v>45910</v>
      </c>
      <c r="D1346" s="6">
        <v>0.99987000000000004</v>
      </c>
      <c r="E1346" s="6">
        <v>113996.1</v>
      </c>
      <c r="F1346" s="6">
        <v>113936.7</v>
      </c>
      <c r="G1346" s="6">
        <v>113944.03</v>
      </c>
      <c r="H1346" s="6">
        <v>113937.2</v>
      </c>
      <c r="I1346" s="5">
        <v>45910</v>
      </c>
      <c r="J1346" s="7">
        <f t="shared" si="122"/>
        <v>-5.1668434271004643E-4</v>
      </c>
      <c r="K1346" s="5">
        <v>45910</v>
      </c>
      <c r="L1346" s="8">
        <f t="shared" si="120"/>
        <v>6.4333967896224359E-5</v>
      </c>
      <c r="M1346" s="5">
        <v>45910</v>
      </c>
      <c r="N1346" s="9">
        <f t="shared" si="121"/>
        <v>-4.5235037481382209E-4</v>
      </c>
      <c r="O1346" s="5">
        <v>45910</v>
      </c>
      <c r="P1346">
        <f t="shared" si="123"/>
        <v>0.99994005829002197</v>
      </c>
      <c r="Q1346" s="6">
        <f t="shared" si="124"/>
        <v>1.0001300169021972</v>
      </c>
      <c r="R1346">
        <f t="shared" si="125"/>
        <v>-1.8995195728641105E-4</v>
      </c>
      <c r="T1346" s="5">
        <v>45910</v>
      </c>
      <c r="U1346" s="1">
        <v>-1.8995195728641105E-4</v>
      </c>
    </row>
    <row r="1347" spans="3:21" x14ac:dyDescent="0.2">
      <c r="C1347" s="5">
        <v>45911</v>
      </c>
      <c r="D1347" s="6">
        <v>0.99980999999999998</v>
      </c>
      <c r="E1347" s="6">
        <v>115533.2</v>
      </c>
      <c r="F1347" s="6">
        <v>115477</v>
      </c>
      <c r="G1347" s="6">
        <v>115520.34</v>
      </c>
      <c r="H1347" s="6">
        <v>115481.4</v>
      </c>
      <c r="I1347" s="5">
        <v>45911</v>
      </c>
      <c r="J1347" s="7">
        <f t="shared" si="122"/>
        <v>-4.4835597040506896E-4</v>
      </c>
      <c r="K1347" s="5">
        <v>45911</v>
      </c>
      <c r="L1347" s="8">
        <f t="shared" si="120"/>
        <v>3.7531283285846106E-4</v>
      </c>
      <c r="M1347" s="5">
        <v>45911</v>
      </c>
      <c r="N1347" s="9">
        <f t="shared" si="121"/>
        <v>-7.3043137546607905E-5</v>
      </c>
      <c r="O1347" s="5">
        <v>45911</v>
      </c>
      <c r="P1347">
        <f t="shared" si="123"/>
        <v>0.99966291650457395</v>
      </c>
      <c r="Q1347" s="6">
        <f t="shared" si="124"/>
        <v>1.0001900361068603</v>
      </c>
      <c r="R1347">
        <f t="shared" si="125"/>
        <v>-5.2715837312443728E-4</v>
      </c>
      <c r="T1347" s="5">
        <v>45911</v>
      </c>
      <c r="U1347" s="1">
        <v>-5.2715837312443728E-4</v>
      </c>
    </row>
    <row r="1348" spans="3:21" x14ac:dyDescent="0.2">
      <c r="C1348" s="5">
        <v>45912</v>
      </c>
      <c r="D1348" s="6">
        <v>0.99983999999999995</v>
      </c>
      <c r="E1348" s="6">
        <v>116119</v>
      </c>
      <c r="F1348" s="6">
        <v>116050.8</v>
      </c>
      <c r="G1348" s="6">
        <v>115969.53</v>
      </c>
      <c r="H1348" s="6">
        <v>116048.1</v>
      </c>
      <c r="I1348" s="5">
        <v>45912</v>
      </c>
      <c r="J1348" s="7">
        <f t="shared" si="122"/>
        <v>-6.1058052515087266E-4</v>
      </c>
      <c r="K1348" s="5">
        <v>45912</v>
      </c>
      <c r="L1348" s="8">
        <f t="shared" si="120"/>
        <v>-7.0029676658846013E-4</v>
      </c>
      <c r="M1348" s="5">
        <v>45912</v>
      </c>
      <c r="N1348" s="9">
        <f t="shared" si="121"/>
        <v>-1.3108772917393328E-3</v>
      </c>
      <c r="O1348" s="5">
        <v>45912</v>
      </c>
      <c r="P1348">
        <f t="shared" si="123"/>
        <v>1.0006775055482247</v>
      </c>
      <c r="Q1348" s="6">
        <f t="shared" si="124"/>
        <v>1.0001600256040968</v>
      </c>
      <c r="R1348">
        <f t="shared" si="125"/>
        <v>5.1726334358398994E-4</v>
      </c>
      <c r="T1348" s="5">
        <v>45912</v>
      </c>
      <c r="U1348" s="1">
        <v>5.1726334358398994E-4</v>
      </c>
    </row>
    <row r="1349" spans="3:21" x14ac:dyDescent="0.2">
      <c r="C1349" s="5">
        <v>45913</v>
      </c>
      <c r="D1349" s="6">
        <v>0.99980999999999998</v>
      </c>
      <c r="E1349" s="6">
        <v>115983</v>
      </c>
      <c r="F1349" s="6">
        <v>115925.3</v>
      </c>
      <c r="G1349" s="6">
        <v>115603.49</v>
      </c>
      <c r="H1349" s="6">
        <v>115946.5</v>
      </c>
      <c r="I1349" s="5">
        <v>45913</v>
      </c>
      <c r="J1349" s="7">
        <f t="shared" si="122"/>
        <v>-3.1470129243078729E-4</v>
      </c>
      <c r="K1349" s="5">
        <v>45913</v>
      </c>
      <c r="L1349" s="8">
        <f t="shared" si="120"/>
        <v>-2.7760117938016781E-3</v>
      </c>
      <c r="M1349" s="5">
        <v>45913</v>
      </c>
      <c r="N1349" s="9">
        <f t="shared" si="121"/>
        <v>-3.0907130862324653E-3</v>
      </c>
      <c r="O1349" s="5">
        <v>45913</v>
      </c>
      <c r="P1349">
        <f t="shared" si="123"/>
        <v>1.0029671249544456</v>
      </c>
      <c r="Q1349" s="6">
        <f t="shared" si="124"/>
        <v>1.0001900361068603</v>
      </c>
      <c r="R1349">
        <f t="shared" si="125"/>
        <v>2.7727136749353563E-3</v>
      </c>
      <c r="T1349" s="5">
        <v>45913</v>
      </c>
      <c r="U1349" s="1">
        <v>2.7727136749353563E-3</v>
      </c>
    </row>
    <row r="1350" spans="3:21" x14ac:dyDescent="0.2">
      <c r="C1350" s="5">
        <v>45914</v>
      </c>
      <c r="D1350" s="6">
        <v>0.99980999999999998</v>
      </c>
      <c r="E1350" s="6">
        <v>115340.8</v>
      </c>
      <c r="F1350" s="6">
        <v>115299.6</v>
      </c>
      <c r="G1350" s="6">
        <v>115311.67</v>
      </c>
      <c r="H1350" s="6">
        <v>115312.6</v>
      </c>
      <c r="I1350" s="5">
        <v>45914</v>
      </c>
      <c r="J1350" s="7">
        <f t="shared" si="122"/>
        <v>-2.4449284208187468E-4</v>
      </c>
      <c r="K1350" s="5">
        <v>45914</v>
      </c>
      <c r="L1350" s="8">
        <f t="shared" si="120"/>
        <v>1.0468379768873814E-4</v>
      </c>
      <c r="M1350" s="5">
        <v>45914</v>
      </c>
      <c r="N1350" s="9">
        <f t="shared" si="121"/>
        <v>-1.3980904439313654E-4</v>
      </c>
      <c r="O1350" s="5">
        <v>45914</v>
      </c>
      <c r="P1350">
        <f t="shared" si="123"/>
        <v>1.0000080650987018</v>
      </c>
      <c r="Q1350" s="6">
        <f t="shared" si="124"/>
        <v>1.0001900361068603</v>
      </c>
      <c r="R1350">
        <f t="shared" si="125"/>
        <v>-1.8195298610756887E-4</v>
      </c>
      <c r="T1350" s="5">
        <v>45914</v>
      </c>
      <c r="U1350" s="1">
        <v>-1.8195298610756887E-4</v>
      </c>
    </row>
    <row r="1351" spans="3:21" x14ac:dyDescent="0.2">
      <c r="C1351" s="5">
        <v>45915</v>
      </c>
      <c r="D1351" s="6">
        <v>0.99985000000000002</v>
      </c>
      <c r="E1351" s="6">
        <v>115396.1</v>
      </c>
      <c r="F1351" s="6">
        <v>115366.2</v>
      </c>
      <c r="G1351" s="6">
        <v>115391.8</v>
      </c>
      <c r="H1351" s="6">
        <v>115411.8</v>
      </c>
      <c r="I1351" s="5">
        <v>45915</v>
      </c>
      <c r="J1351" s="7">
        <f t="shared" si="122"/>
        <v>1.3605312484561515E-4</v>
      </c>
      <c r="K1351" s="5">
        <v>45915</v>
      </c>
      <c r="L1351" s="8">
        <f t="shared" si="120"/>
        <v>2.2190208223904246E-4</v>
      </c>
      <c r="M1351" s="5">
        <v>45915</v>
      </c>
      <c r="N1351" s="9">
        <f t="shared" si="121"/>
        <v>3.5795520708465761E-4</v>
      </c>
      <c r="O1351" s="5">
        <v>45915</v>
      </c>
      <c r="P1351">
        <f t="shared" si="123"/>
        <v>1.0001733225411165</v>
      </c>
      <c r="Q1351" s="6">
        <f t="shared" si="124"/>
        <v>1.0001500225033755</v>
      </c>
      <c r="R1351">
        <f t="shared" si="125"/>
        <v>2.329627137512542E-5</v>
      </c>
      <c r="T1351" s="5">
        <v>45915</v>
      </c>
      <c r="U1351" s="1">
        <v>2.329627137512542E-5</v>
      </c>
    </row>
    <row r="1352" spans="3:21" x14ac:dyDescent="0.2">
      <c r="C1352" s="5">
        <v>45916</v>
      </c>
      <c r="D1352" s="6">
        <v>0.99978999999999996</v>
      </c>
      <c r="E1352" s="6">
        <v>116841.1</v>
      </c>
      <c r="F1352" s="6">
        <v>116767.8</v>
      </c>
      <c r="G1352" s="6">
        <v>116851.56</v>
      </c>
      <c r="H1352" s="6">
        <v>116780.9</v>
      </c>
      <c r="I1352" s="5">
        <v>45916</v>
      </c>
      <c r="J1352" s="7">
        <f t="shared" si="122"/>
        <v>-5.1522965805706757E-4</v>
      </c>
      <c r="K1352" s="5">
        <v>45916</v>
      </c>
      <c r="L1352" s="8">
        <f t="shared" si="120"/>
        <v>7.1732104227359558E-4</v>
      </c>
      <c r="M1352" s="5">
        <v>45916</v>
      </c>
      <c r="N1352" s="9">
        <f t="shared" si="121"/>
        <v>2.0209138421652801E-4</v>
      </c>
      <c r="O1352" s="5">
        <v>45916</v>
      </c>
      <c r="P1352">
        <f t="shared" si="123"/>
        <v>0.99939530118382658</v>
      </c>
      <c r="Q1352" s="6">
        <f t="shared" si="124"/>
        <v>1.000210044109263</v>
      </c>
      <c r="R1352">
        <f t="shared" si="125"/>
        <v>-8.1490377332833948E-4</v>
      </c>
      <c r="T1352" s="5">
        <v>45916</v>
      </c>
      <c r="U1352" s="1">
        <v>-8.1490377332833948E-4</v>
      </c>
    </row>
    <row r="1353" spans="3:21" x14ac:dyDescent="0.2">
      <c r="C1353" s="5">
        <v>45917</v>
      </c>
      <c r="D1353" s="6">
        <v>0.99978</v>
      </c>
      <c r="E1353" s="6">
        <v>116499</v>
      </c>
      <c r="F1353" s="6">
        <v>116430.8</v>
      </c>
      <c r="G1353" s="6">
        <v>116443.92</v>
      </c>
      <c r="H1353" s="6">
        <v>116441.2</v>
      </c>
      <c r="I1353" s="5">
        <v>45917</v>
      </c>
      <c r="J1353" s="7">
        <f t="shared" si="122"/>
        <v>-4.9614159778198024E-4</v>
      </c>
      <c r="K1353" s="5">
        <v>45917</v>
      </c>
      <c r="L1353" s="8">
        <f t="shared" si="120"/>
        <v>1.126849596498121E-4</v>
      </c>
      <c r="M1353" s="5">
        <v>45917</v>
      </c>
      <c r="N1353" s="9">
        <f t="shared" si="121"/>
        <v>-3.8345663813216816E-4</v>
      </c>
      <c r="O1353" s="5">
        <v>45917</v>
      </c>
      <c r="P1353">
        <f t="shared" si="123"/>
        <v>0.99997664111616991</v>
      </c>
      <c r="Q1353" s="6">
        <f t="shared" si="124"/>
        <v>1.0002200484106503</v>
      </c>
      <c r="R1353">
        <f t="shared" si="125"/>
        <v>-2.433833602029445E-4</v>
      </c>
      <c r="T1353" s="5">
        <v>45917</v>
      </c>
      <c r="U1353" s="1">
        <v>-2.433833602029445E-4</v>
      </c>
    </row>
    <row r="1354" spans="3:21" x14ac:dyDescent="0.2">
      <c r="C1354" s="5">
        <v>45918</v>
      </c>
      <c r="D1354" s="6">
        <v>0.99978999999999996</v>
      </c>
      <c r="E1354" s="6">
        <v>117144.8</v>
      </c>
      <c r="F1354" s="6">
        <v>117091.5</v>
      </c>
      <c r="G1354" s="6">
        <v>117101.44</v>
      </c>
      <c r="H1354" s="6">
        <v>117088.9</v>
      </c>
      <c r="I1354" s="5">
        <v>45918</v>
      </c>
      <c r="J1354" s="7">
        <f t="shared" si="122"/>
        <v>-4.7718720762687485E-4</v>
      </c>
      <c r="K1354" s="5">
        <v>45918</v>
      </c>
      <c r="L1354" s="8">
        <f t="shared" si="120"/>
        <v>8.489087593892237E-5</v>
      </c>
      <c r="M1354" s="5">
        <v>45918</v>
      </c>
      <c r="N1354" s="9">
        <f t="shared" si="121"/>
        <v>-3.9229633168795248E-4</v>
      </c>
      <c r="O1354" s="5">
        <v>45918</v>
      </c>
      <c r="P1354">
        <f t="shared" si="123"/>
        <v>0.99989291335785446</v>
      </c>
      <c r="Q1354" s="6">
        <f t="shared" si="124"/>
        <v>1.000210044109263</v>
      </c>
      <c r="R1354">
        <f t="shared" si="125"/>
        <v>-3.1711442941689225E-4</v>
      </c>
      <c r="T1354" s="5">
        <v>45918</v>
      </c>
      <c r="U1354" s="1">
        <v>-3.1711442941689225E-4</v>
      </c>
    </row>
    <row r="1355" spans="3:21" x14ac:dyDescent="0.2">
      <c r="C1355" s="5">
        <v>45919</v>
      </c>
      <c r="D1355" s="6">
        <v>0.99983</v>
      </c>
      <c r="E1355" s="6">
        <v>115703.1</v>
      </c>
      <c r="F1355" s="6">
        <v>115642.5</v>
      </c>
      <c r="G1355" s="6">
        <v>115784.31</v>
      </c>
      <c r="H1355" s="6">
        <v>115659.2</v>
      </c>
      <c r="I1355" s="5">
        <v>45919</v>
      </c>
      <c r="J1355" s="7">
        <f t="shared" si="122"/>
        <v>-3.7941939325747306E-4</v>
      </c>
      <c r="K1355" s="5">
        <v>45919</v>
      </c>
      <c r="L1355" s="8">
        <f t="shared" ref="L1355:L1418" si="126">(G1355-F1355)/F1355</f>
        <v>1.2262792658408255E-3</v>
      </c>
      <c r="M1355" s="5">
        <v>45919</v>
      </c>
      <c r="N1355" s="9">
        <f t="shared" ref="N1355:N1418" si="127">J1355+L1355</f>
        <v>8.4685987258335252E-4</v>
      </c>
      <c r="O1355" s="5">
        <v>45919</v>
      </c>
      <c r="P1355">
        <f t="shared" si="123"/>
        <v>0.99891945635811974</v>
      </c>
      <c r="Q1355" s="6">
        <f t="shared" si="124"/>
        <v>1.0001700289049138</v>
      </c>
      <c r="R1355">
        <f t="shared" si="125"/>
        <v>-1.2511423016786241E-3</v>
      </c>
      <c r="T1355" s="5">
        <v>45919</v>
      </c>
      <c r="U1355" s="1">
        <v>-1.2511423016786241E-3</v>
      </c>
    </row>
    <row r="1356" spans="3:21" x14ac:dyDescent="0.2">
      <c r="C1356" s="5">
        <v>45920</v>
      </c>
      <c r="D1356" s="6">
        <v>0.99983999999999995</v>
      </c>
      <c r="E1356" s="6">
        <v>115762.3</v>
      </c>
      <c r="F1356" s="6">
        <v>115691.9</v>
      </c>
      <c r="G1356" s="6">
        <v>115860.24</v>
      </c>
      <c r="H1356" s="6">
        <v>115699.5</v>
      </c>
      <c r="I1356" s="5">
        <v>45920</v>
      </c>
      <c r="J1356" s="7">
        <f t="shared" ref="J1356:J1419" si="128">(H1356-E1356)/E1356</f>
        <v>-5.4249094912594957E-4</v>
      </c>
      <c r="K1356" s="5">
        <v>45920</v>
      </c>
      <c r="L1356" s="8">
        <f t="shared" si="126"/>
        <v>1.4550716169412989E-3</v>
      </c>
      <c r="M1356" s="5">
        <v>45920</v>
      </c>
      <c r="N1356" s="9">
        <f t="shared" si="127"/>
        <v>9.1258066781534932E-4</v>
      </c>
      <c r="O1356" s="5">
        <v>45920</v>
      </c>
      <c r="P1356">
        <f t="shared" ref="P1356:P1419" si="129">(1/G1356)*H1356</f>
        <v>0.99861263881379825</v>
      </c>
      <c r="Q1356" s="6">
        <f t="shared" ref="Q1356:Q1419" si="130">1/D1356</f>
        <v>1.0001600256040968</v>
      </c>
      <c r="R1356">
        <f t="shared" ref="R1356:R1419" si="131">LN(P1356/Q1356)</f>
        <v>-1.5483372641426445E-3</v>
      </c>
      <c r="T1356" s="5">
        <v>45920</v>
      </c>
      <c r="U1356" s="1">
        <v>-1.5483372641426445E-3</v>
      </c>
    </row>
    <row r="1357" spans="3:21" x14ac:dyDescent="0.2">
      <c r="C1357" s="5">
        <v>45921</v>
      </c>
      <c r="D1357" s="6">
        <v>0.99983999999999995</v>
      </c>
      <c r="E1357" s="6">
        <v>115315.2</v>
      </c>
      <c r="F1357" s="6">
        <v>115251.1</v>
      </c>
      <c r="G1357" s="6">
        <v>115326.14</v>
      </c>
      <c r="H1357" s="6">
        <v>115263</v>
      </c>
      <c r="I1357" s="5">
        <v>45921</v>
      </c>
      <c r="J1357" s="7">
        <f t="shared" si="128"/>
        <v>-4.5267232767230242E-4</v>
      </c>
      <c r="K1357" s="5">
        <v>45921</v>
      </c>
      <c r="L1357" s="8">
        <f t="shared" si="126"/>
        <v>6.51100076268197E-4</v>
      </c>
      <c r="M1357" s="5">
        <v>45921</v>
      </c>
      <c r="N1357" s="9">
        <f t="shared" si="127"/>
        <v>1.9842774859589457E-4</v>
      </c>
      <c r="O1357" s="5">
        <v>45921</v>
      </c>
      <c r="P1357">
        <f t="shared" si="129"/>
        <v>0.99945250920563189</v>
      </c>
      <c r="Q1357" s="6">
        <f t="shared" si="130"/>
        <v>1.0001600256040968</v>
      </c>
      <c r="R1357">
        <f t="shared" si="131"/>
        <v>-7.0765352354395508E-4</v>
      </c>
      <c r="T1357" s="5">
        <v>45921</v>
      </c>
      <c r="U1357" s="1">
        <v>-7.0765352354395508E-4</v>
      </c>
    </row>
    <row r="1358" spans="3:21" x14ac:dyDescent="0.2">
      <c r="C1358" s="5">
        <v>45922</v>
      </c>
      <c r="D1358" s="6">
        <v>0.99982000000000004</v>
      </c>
      <c r="E1358" s="6">
        <v>112763</v>
      </c>
      <c r="F1358" s="6">
        <v>112677.6</v>
      </c>
      <c r="G1358" s="6">
        <v>112793.11</v>
      </c>
      <c r="H1358" s="6">
        <v>112715.6</v>
      </c>
      <c r="I1358" s="5">
        <v>45922</v>
      </c>
      <c r="J1358" s="7">
        <f t="shared" si="128"/>
        <v>-4.2035064693200943E-4</v>
      </c>
      <c r="K1358" s="5">
        <v>45922</v>
      </c>
      <c r="L1358" s="8">
        <f t="shared" si="126"/>
        <v>1.0251372056202365E-3</v>
      </c>
      <c r="M1358" s="5">
        <v>45922</v>
      </c>
      <c r="N1358" s="9">
        <f t="shared" si="127"/>
        <v>6.0478655868822714E-4</v>
      </c>
      <c r="O1358" s="5">
        <v>45922</v>
      </c>
      <c r="P1358">
        <f t="shared" si="129"/>
        <v>0.99931281263545269</v>
      </c>
      <c r="Q1358" s="6">
        <f t="shared" si="130"/>
        <v>1.000180032405833</v>
      </c>
      <c r="R1358">
        <f t="shared" si="131"/>
        <v>-8.6743978795357935E-4</v>
      </c>
      <c r="T1358" s="5">
        <v>45922</v>
      </c>
      <c r="U1358" s="1">
        <v>-8.6743978795357935E-4</v>
      </c>
    </row>
    <row r="1359" spans="3:21" x14ac:dyDescent="0.2">
      <c r="C1359" s="5">
        <v>45923</v>
      </c>
      <c r="D1359" s="6">
        <v>0.99980999999999998</v>
      </c>
      <c r="E1359" s="6">
        <v>112038</v>
      </c>
      <c r="F1359" s="6">
        <v>111978.8</v>
      </c>
      <c r="G1359" s="6">
        <v>112063.96</v>
      </c>
      <c r="H1359" s="6">
        <v>111979.1</v>
      </c>
      <c r="I1359" s="5">
        <v>45923</v>
      </c>
      <c r="J1359" s="7">
        <f t="shared" si="128"/>
        <v>-5.2571448972664795E-4</v>
      </c>
      <c r="K1359" s="5">
        <v>45923</v>
      </c>
      <c r="L1359" s="8">
        <f t="shared" si="126"/>
        <v>7.6050109485012777E-4</v>
      </c>
      <c r="M1359" s="5">
        <v>45923</v>
      </c>
      <c r="N1359" s="9">
        <f t="shared" si="127"/>
        <v>2.3478660512347982E-4</v>
      </c>
      <c r="O1359" s="5">
        <v>45923</v>
      </c>
      <c r="P1359">
        <f t="shared" si="129"/>
        <v>0.99924275387020045</v>
      </c>
      <c r="Q1359" s="6">
        <f t="shared" si="130"/>
        <v>1.0001900361068603</v>
      </c>
      <c r="R1359">
        <f t="shared" si="131"/>
        <v>-9.4755103775942518E-4</v>
      </c>
      <c r="T1359" s="5">
        <v>45923</v>
      </c>
      <c r="U1359" s="1">
        <v>-9.4755103775942518E-4</v>
      </c>
    </row>
    <row r="1360" spans="3:21" x14ac:dyDescent="0.2">
      <c r="C1360" s="5">
        <v>45924</v>
      </c>
      <c r="D1360" s="6">
        <v>0.99975000000000003</v>
      </c>
      <c r="E1360" s="6">
        <v>113377.2</v>
      </c>
      <c r="F1360" s="6">
        <v>113317.7</v>
      </c>
      <c r="G1360" s="6">
        <v>113372.29</v>
      </c>
      <c r="H1360" s="6">
        <v>113314.6</v>
      </c>
      <c r="I1360" s="5">
        <v>45924</v>
      </c>
      <c r="J1360" s="7">
        <f t="shared" si="128"/>
        <v>-5.5213923081528973E-4</v>
      </c>
      <c r="K1360" s="5">
        <v>45924</v>
      </c>
      <c r="L1360" s="8">
        <f t="shared" si="126"/>
        <v>4.8174292277372826E-4</v>
      </c>
      <c r="M1360" s="5">
        <v>45924</v>
      </c>
      <c r="N1360" s="9">
        <f t="shared" si="127"/>
        <v>-7.0396308041561465E-5</v>
      </c>
      <c r="O1360" s="5">
        <v>45924</v>
      </c>
      <c r="P1360">
        <f t="shared" si="129"/>
        <v>0.99949114549948692</v>
      </c>
      <c r="Q1360" s="6">
        <f t="shared" si="130"/>
        <v>1.000250062515629</v>
      </c>
      <c r="R1360">
        <f t="shared" si="131"/>
        <v>-7.5901526611024965E-4</v>
      </c>
      <c r="T1360" s="5">
        <v>45924</v>
      </c>
      <c r="U1360" s="1">
        <v>-7.5901526611024965E-4</v>
      </c>
    </row>
    <row r="1361" spans="3:21" x14ac:dyDescent="0.2">
      <c r="C1361" s="5">
        <v>45925</v>
      </c>
      <c r="D1361" s="6">
        <v>0.99975999999999998</v>
      </c>
      <c r="E1361" s="6">
        <v>109070.39999999999</v>
      </c>
      <c r="F1361" s="6">
        <v>108995.6</v>
      </c>
      <c r="G1361" s="6">
        <v>109061.89</v>
      </c>
      <c r="H1361" s="6">
        <v>109020.8</v>
      </c>
      <c r="I1361" s="5">
        <v>45925</v>
      </c>
      <c r="J1361" s="7">
        <f t="shared" si="128"/>
        <v>-4.5475216007268032E-4</v>
      </c>
      <c r="K1361" s="5">
        <v>45925</v>
      </c>
      <c r="L1361" s="8">
        <f t="shared" si="126"/>
        <v>6.0818968839103219E-4</v>
      </c>
      <c r="M1361" s="5">
        <v>45925</v>
      </c>
      <c r="N1361" s="9">
        <f t="shared" si="127"/>
        <v>1.5343752831835188E-4</v>
      </c>
      <c r="O1361" s="5">
        <v>45925</v>
      </c>
      <c r="P1361">
        <f t="shared" si="129"/>
        <v>0.99962324144575165</v>
      </c>
      <c r="Q1361" s="6">
        <f t="shared" si="130"/>
        <v>1.0002400576138273</v>
      </c>
      <c r="R1361">
        <f t="shared" si="131"/>
        <v>-6.1685835019286794E-4</v>
      </c>
      <c r="T1361" s="5">
        <v>45925</v>
      </c>
      <c r="U1361" s="1">
        <v>-6.1685835019286794E-4</v>
      </c>
    </row>
    <row r="1362" spans="3:21" x14ac:dyDescent="0.2">
      <c r="C1362" s="5">
        <v>45926</v>
      </c>
      <c r="D1362" s="6">
        <v>0.99973999999999996</v>
      </c>
      <c r="E1362" s="6">
        <v>109728.5</v>
      </c>
      <c r="F1362" s="6">
        <v>109660</v>
      </c>
      <c r="G1362" s="6">
        <v>109779.81</v>
      </c>
      <c r="H1362" s="6">
        <v>109655.3</v>
      </c>
      <c r="I1362" s="5">
        <v>45926</v>
      </c>
      <c r="J1362" s="7">
        <f t="shared" si="128"/>
        <v>-6.6710107219179239E-4</v>
      </c>
      <c r="K1362" s="5">
        <v>45926</v>
      </c>
      <c r="L1362" s="8">
        <f t="shared" si="126"/>
        <v>1.0925588181652168E-3</v>
      </c>
      <c r="M1362" s="5">
        <v>45926</v>
      </c>
      <c r="N1362" s="9">
        <f t="shared" si="127"/>
        <v>4.2545774597342438E-4</v>
      </c>
      <c r="O1362" s="5">
        <v>45926</v>
      </c>
      <c r="P1362">
        <f t="shared" si="129"/>
        <v>0.9988658205912363</v>
      </c>
      <c r="Q1362" s="6">
        <f t="shared" si="130"/>
        <v>1.0002600676175806</v>
      </c>
      <c r="R1362">
        <f t="shared" si="131"/>
        <v>-1.3948568828253108E-3</v>
      </c>
      <c r="T1362" s="5">
        <v>45926</v>
      </c>
      <c r="U1362" s="1">
        <v>-1.3948568828253108E-3</v>
      </c>
    </row>
    <row r="1363" spans="3:21" x14ac:dyDescent="0.2">
      <c r="C1363" s="5">
        <v>45927</v>
      </c>
      <c r="D1363" s="6">
        <v>0.99983</v>
      </c>
      <c r="E1363" s="6">
        <v>109704.4</v>
      </c>
      <c r="F1363" s="6">
        <v>109633.7</v>
      </c>
      <c r="G1363" s="6">
        <v>109786.32</v>
      </c>
      <c r="H1363" s="6">
        <v>109657.9</v>
      </c>
      <c r="I1363" s="5">
        <v>45927</v>
      </c>
      <c r="J1363" s="7">
        <f t="shared" si="128"/>
        <v>-4.2386631712128232E-4</v>
      </c>
      <c r="K1363" s="5">
        <v>45927</v>
      </c>
      <c r="L1363" s="8">
        <f t="shared" si="126"/>
        <v>1.392090205840083E-3</v>
      </c>
      <c r="M1363" s="5">
        <v>45927</v>
      </c>
      <c r="N1363" s="9">
        <f t="shared" si="127"/>
        <v>9.6822388871880063E-4</v>
      </c>
      <c r="O1363" s="5">
        <v>45927</v>
      </c>
      <c r="P1363">
        <f t="shared" si="129"/>
        <v>0.99883027320708073</v>
      </c>
      <c r="Q1363" s="6">
        <f t="shared" si="130"/>
        <v>1.0001700289049138</v>
      </c>
      <c r="R1363">
        <f t="shared" si="131"/>
        <v>-1.3404259089077018E-3</v>
      </c>
      <c r="T1363" s="5">
        <v>45927</v>
      </c>
      <c r="U1363" s="1">
        <v>-1.3404259089077018E-3</v>
      </c>
    </row>
    <row r="1364" spans="3:21" x14ac:dyDescent="0.2">
      <c r="C1364" s="5">
        <v>45928</v>
      </c>
      <c r="D1364" s="6">
        <v>0.99983</v>
      </c>
      <c r="E1364" s="6">
        <v>112237.6</v>
      </c>
      <c r="F1364" s="6">
        <v>112164.4</v>
      </c>
      <c r="G1364" s="6">
        <v>112258.33</v>
      </c>
      <c r="H1364" s="6">
        <v>112177.3</v>
      </c>
      <c r="I1364" s="5">
        <v>45928</v>
      </c>
      <c r="J1364" s="7">
        <f t="shared" si="128"/>
        <v>-5.3725311303879362E-4</v>
      </c>
      <c r="K1364" s="5">
        <v>45928</v>
      </c>
      <c r="L1364" s="8">
        <f t="shared" si="126"/>
        <v>8.3743148449960572E-4</v>
      </c>
      <c r="M1364" s="5">
        <v>45928</v>
      </c>
      <c r="N1364" s="9">
        <f t="shared" si="127"/>
        <v>3.001783714608121E-4</v>
      </c>
      <c r="O1364" s="5">
        <v>45928</v>
      </c>
      <c r="P1364">
        <f t="shared" si="129"/>
        <v>0.99927818274153912</v>
      </c>
      <c r="Q1364" s="6">
        <f t="shared" si="130"/>
        <v>1.0001700289049138</v>
      </c>
      <c r="R1364">
        <f t="shared" si="131"/>
        <v>-8.9209234560433794E-4</v>
      </c>
      <c r="T1364" s="5">
        <v>45928</v>
      </c>
      <c r="U1364" s="1">
        <v>-8.9209234560433794E-4</v>
      </c>
    </row>
    <row r="1365" spans="3:21" x14ac:dyDescent="0.2">
      <c r="C1365" s="5">
        <v>45929</v>
      </c>
      <c r="D1365" s="6">
        <v>0.99980000000000002</v>
      </c>
      <c r="E1365" s="6">
        <v>114397</v>
      </c>
      <c r="F1365" s="6">
        <v>114320.1</v>
      </c>
      <c r="G1365" s="6">
        <v>114385.43</v>
      </c>
      <c r="H1365" s="6">
        <v>114360</v>
      </c>
      <c r="I1365" s="5">
        <v>45929</v>
      </c>
      <c r="J1365" s="7">
        <f t="shared" si="128"/>
        <v>-3.2343505511508167E-4</v>
      </c>
      <c r="K1365" s="5">
        <v>45929</v>
      </c>
      <c r="L1365" s="8">
        <f t="shared" si="126"/>
        <v>5.7146556029943278E-4</v>
      </c>
      <c r="M1365" s="5">
        <v>45929</v>
      </c>
      <c r="N1365" s="9">
        <f t="shared" si="127"/>
        <v>2.4803050518435111E-4</v>
      </c>
      <c r="O1365" s="5">
        <v>45929</v>
      </c>
      <c r="P1365">
        <f t="shared" si="129"/>
        <v>0.99977768147569157</v>
      </c>
      <c r="Q1365" s="6">
        <f t="shared" si="130"/>
        <v>1.0002000400080016</v>
      </c>
      <c r="R1365">
        <f t="shared" si="131"/>
        <v>-4.2236324340197927E-4</v>
      </c>
      <c r="T1365" s="5">
        <v>45929</v>
      </c>
      <c r="U1365" s="1">
        <v>-4.2236324340197927E-4</v>
      </c>
    </row>
    <row r="1366" spans="3:21" x14ac:dyDescent="0.2">
      <c r="C1366" s="5">
        <v>45930</v>
      </c>
      <c r="D1366" s="6">
        <v>0.99977000000000005</v>
      </c>
      <c r="E1366" s="6">
        <v>114093</v>
      </c>
      <c r="F1366" s="6">
        <v>114022.3</v>
      </c>
      <c r="G1366" s="6">
        <v>114064.06</v>
      </c>
      <c r="H1366" s="6">
        <v>114045.5</v>
      </c>
      <c r="I1366" s="5">
        <v>45930</v>
      </c>
      <c r="J1366" s="7">
        <f t="shared" si="128"/>
        <v>-4.1632703145679401E-4</v>
      </c>
      <c r="K1366" s="5">
        <v>45930</v>
      </c>
      <c r="L1366" s="8">
        <f t="shared" si="126"/>
        <v>3.6624414697822055E-4</v>
      </c>
      <c r="M1366" s="5">
        <v>45930</v>
      </c>
      <c r="N1366" s="9">
        <f t="shared" si="127"/>
        <v>-5.0082884478573457E-5</v>
      </c>
      <c r="O1366" s="5">
        <v>45930</v>
      </c>
      <c r="P1366">
        <f t="shared" si="129"/>
        <v>0.9998372844171951</v>
      </c>
      <c r="Q1366" s="6">
        <f t="shared" si="130"/>
        <v>1.0002300529121697</v>
      </c>
      <c r="R1366">
        <f t="shared" si="131"/>
        <v>-3.9275527647781883E-4</v>
      </c>
      <c r="T1366" s="5">
        <v>45930</v>
      </c>
      <c r="U1366" s="1">
        <v>-3.9275527647781883E-4</v>
      </c>
    </row>
    <row r="1367" spans="3:21" x14ac:dyDescent="0.2">
      <c r="C1367" s="5">
        <v>45931</v>
      </c>
      <c r="D1367" s="6">
        <v>0.99985000000000002</v>
      </c>
      <c r="E1367" s="6">
        <v>118675.5</v>
      </c>
      <c r="F1367" s="6">
        <v>118618</v>
      </c>
      <c r="G1367" s="6">
        <v>118559.12</v>
      </c>
      <c r="H1367" s="6">
        <v>118571.1</v>
      </c>
      <c r="I1367" s="5">
        <v>45931</v>
      </c>
      <c r="J1367" s="7">
        <f t="shared" si="128"/>
        <v>-8.7970979688304816E-4</v>
      </c>
      <c r="K1367" s="5">
        <v>45931</v>
      </c>
      <c r="L1367" s="8">
        <f t="shared" si="126"/>
        <v>-4.9638334822712116E-4</v>
      </c>
      <c r="M1367" s="5">
        <v>45931</v>
      </c>
      <c r="N1367" s="9">
        <f t="shared" si="127"/>
        <v>-1.3760931451101692E-3</v>
      </c>
      <c r="O1367" s="5">
        <v>45931</v>
      </c>
      <c r="P1367">
        <f t="shared" si="129"/>
        <v>1.0001010466339495</v>
      </c>
      <c r="Q1367" s="6">
        <f t="shared" si="130"/>
        <v>1.0001500225033755</v>
      </c>
      <c r="R1367">
        <f t="shared" si="131"/>
        <v>-4.8969722042856282E-5</v>
      </c>
      <c r="T1367" s="5">
        <v>45931</v>
      </c>
      <c r="U1367" s="1">
        <v>-4.8969722042856282E-5</v>
      </c>
    </row>
    <row r="1368" spans="3:21" x14ac:dyDescent="0.2">
      <c r="C1368" s="5">
        <v>45932</v>
      </c>
      <c r="D1368" s="6">
        <v>0.99992000000000003</v>
      </c>
      <c r="E1368" s="6">
        <v>120633.9</v>
      </c>
      <c r="F1368" s="6">
        <v>120546.7</v>
      </c>
      <c r="G1368" s="6">
        <v>120506.88</v>
      </c>
      <c r="H1368" s="6">
        <v>120552.5</v>
      </c>
      <c r="I1368" s="5">
        <v>45932</v>
      </c>
      <c r="J1368" s="7">
        <f t="shared" si="128"/>
        <v>-6.7476886679444326E-4</v>
      </c>
      <c r="K1368" s="5">
        <v>45932</v>
      </c>
      <c r="L1368" s="8">
        <f t="shared" si="126"/>
        <v>-3.3032841214228537E-4</v>
      </c>
      <c r="M1368" s="5">
        <v>45932</v>
      </c>
      <c r="N1368" s="9">
        <f t="shared" si="127"/>
        <v>-1.0050972789367287E-3</v>
      </c>
      <c r="O1368" s="5">
        <v>45932</v>
      </c>
      <c r="P1368">
        <f t="shared" si="129"/>
        <v>1.0003785675971362</v>
      </c>
      <c r="Q1368" s="6">
        <f t="shared" si="130"/>
        <v>1.000080006400512</v>
      </c>
      <c r="R1368">
        <f t="shared" si="131"/>
        <v>2.9849275833211951E-4</v>
      </c>
      <c r="T1368" s="5">
        <v>45932</v>
      </c>
      <c r="U1368" s="1">
        <v>2.9849275833211951E-4</v>
      </c>
    </row>
    <row r="1369" spans="3:21" x14ac:dyDescent="0.2">
      <c r="C1369" s="5">
        <v>45933</v>
      </c>
      <c r="D1369" s="6">
        <v>0.99983</v>
      </c>
      <c r="E1369" s="6">
        <v>122340.8</v>
      </c>
      <c r="F1369" s="6">
        <v>122271</v>
      </c>
      <c r="G1369" s="6">
        <v>122106.14</v>
      </c>
      <c r="H1369" s="6">
        <v>122280.5</v>
      </c>
      <c r="I1369" s="5">
        <v>45933</v>
      </c>
      <c r="J1369" s="7">
        <f t="shared" si="128"/>
        <v>-4.9288544786369641E-4</v>
      </c>
      <c r="K1369" s="5">
        <v>45933</v>
      </c>
      <c r="L1369" s="8">
        <f t="shared" si="126"/>
        <v>-1.348316444618925E-3</v>
      </c>
      <c r="M1369" s="5">
        <v>45933</v>
      </c>
      <c r="N1369" s="9">
        <f t="shared" si="127"/>
        <v>-1.8412018924826214E-3</v>
      </c>
      <c r="O1369" s="5">
        <v>45933</v>
      </c>
      <c r="P1369">
        <f t="shared" si="129"/>
        <v>1.0014279380217899</v>
      </c>
      <c r="Q1369" s="6">
        <f t="shared" si="130"/>
        <v>1.0001700289049138</v>
      </c>
      <c r="R1369">
        <f t="shared" si="131"/>
        <v>1.2569050361420154E-3</v>
      </c>
      <c r="T1369" s="5">
        <v>45933</v>
      </c>
      <c r="U1369" s="1">
        <v>1.2569050361420154E-3</v>
      </c>
    </row>
    <row r="1370" spans="3:21" x14ac:dyDescent="0.2">
      <c r="C1370" s="5">
        <v>45934</v>
      </c>
      <c r="D1370" s="6">
        <v>0.99987999999999999</v>
      </c>
      <c r="E1370" s="6">
        <v>122467.1</v>
      </c>
      <c r="F1370" s="6">
        <v>122397.6</v>
      </c>
      <c r="G1370" s="6">
        <v>122077.58</v>
      </c>
      <c r="H1370" s="6">
        <v>122429.1</v>
      </c>
      <c r="I1370" s="5">
        <v>45934</v>
      </c>
      <c r="J1370" s="7">
        <f t="shared" si="128"/>
        <v>-3.102874159672271E-4</v>
      </c>
      <c r="K1370" s="5">
        <v>45934</v>
      </c>
      <c r="L1370" s="8">
        <f t="shared" si="126"/>
        <v>-2.6145937502042855E-3</v>
      </c>
      <c r="M1370" s="5">
        <v>45934</v>
      </c>
      <c r="N1370" s="9">
        <f t="shared" si="127"/>
        <v>-2.9248811661715126E-3</v>
      </c>
      <c r="O1370" s="5">
        <v>45934</v>
      </c>
      <c r="P1370">
        <f t="shared" si="129"/>
        <v>1.0028794804090972</v>
      </c>
      <c r="Q1370" s="6">
        <f t="shared" si="130"/>
        <v>1.0001200144017282</v>
      </c>
      <c r="R1370">
        <f t="shared" si="131"/>
        <v>2.75533544597576E-3</v>
      </c>
      <c r="T1370" s="5">
        <v>45934</v>
      </c>
      <c r="U1370" s="1">
        <v>2.75533544597576E-3</v>
      </c>
    </row>
    <row r="1371" spans="3:21" x14ac:dyDescent="0.2">
      <c r="C1371" s="5">
        <v>45935</v>
      </c>
      <c r="D1371" s="6">
        <v>0.99985999999999997</v>
      </c>
      <c r="E1371" s="6">
        <v>123539.2</v>
      </c>
      <c r="F1371" s="6">
        <v>123521.60000000001</v>
      </c>
      <c r="G1371" s="6">
        <v>123001.73</v>
      </c>
      <c r="H1371" s="6">
        <v>123491.6</v>
      </c>
      <c r="I1371" s="5">
        <v>45935</v>
      </c>
      <c r="J1371" s="7">
        <f t="shared" si="128"/>
        <v>-3.8530280267308893E-4</v>
      </c>
      <c r="K1371" s="5">
        <v>45935</v>
      </c>
      <c r="L1371" s="8">
        <f t="shared" si="126"/>
        <v>-4.2087375811194951E-3</v>
      </c>
      <c r="M1371" s="5">
        <v>45935</v>
      </c>
      <c r="N1371" s="9">
        <f t="shared" si="127"/>
        <v>-4.5940403837925843E-3</v>
      </c>
      <c r="O1371" s="5">
        <v>45935</v>
      </c>
      <c r="P1371">
        <f t="shared" si="129"/>
        <v>1.0039826269110199</v>
      </c>
      <c r="Q1371" s="6">
        <f t="shared" si="130"/>
        <v>1.0001400196027443</v>
      </c>
      <c r="R1371">
        <f t="shared" si="131"/>
        <v>3.8347074454228064E-3</v>
      </c>
      <c r="T1371" s="5">
        <v>45935</v>
      </c>
      <c r="U1371" s="1">
        <v>3.8347074454228064E-3</v>
      </c>
    </row>
    <row r="1372" spans="3:21" x14ac:dyDescent="0.2">
      <c r="C1372" s="5">
        <v>45936</v>
      </c>
      <c r="D1372" s="6">
        <v>0.99975000000000003</v>
      </c>
      <c r="E1372" s="6">
        <v>124731</v>
      </c>
      <c r="F1372" s="6">
        <v>124659.4</v>
      </c>
      <c r="G1372" s="6">
        <v>124373.93</v>
      </c>
      <c r="H1372" s="6">
        <v>124670.6</v>
      </c>
      <c r="I1372" s="5">
        <v>45936</v>
      </c>
      <c r="J1372" s="7">
        <f t="shared" si="128"/>
        <v>-4.8424208897542855E-4</v>
      </c>
      <c r="K1372" s="5">
        <v>45936</v>
      </c>
      <c r="L1372" s="8">
        <f t="shared" si="126"/>
        <v>-2.2899997914317023E-3</v>
      </c>
      <c r="M1372" s="5">
        <v>45936</v>
      </c>
      <c r="N1372" s="9">
        <f t="shared" si="127"/>
        <v>-2.7742418804071311E-3</v>
      </c>
      <c r="O1372" s="5">
        <v>45936</v>
      </c>
      <c r="P1372">
        <f t="shared" si="129"/>
        <v>1.0023853069529924</v>
      </c>
      <c r="Q1372" s="6">
        <f t="shared" si="130"/>
        <v>1.000250062515629</v>
      </c>
      <c r="R1372">
        <f t="shared" si="131"/>
        <v>2.1324353689604744E-3</v>
      </c>
      <c r="T1372" s="5">
        <v>45936</v>
      </c>
      <c r="U1372" s="1">
        <v>2.1324353689604744E-3</v>
      </c>
    </row>
    <row r="1373" spans="3:21" x14ac:dyDescent="0.2">
      <c r="C1373" s="5">
        <v>45937</v>
      </c>
      <c r="D1373" s="6">
        <v>0.99983</v>
      </c>
      <c r="E1373" s="6">
        <v>121429</v>
      </c>
      <c r="F1373" s="6">
        <v>121351.6</v>
      </c>
      <c r="G1373" s="6">
        <v>121369.27</v>
      </c>
      <c r="H1373" s="6">
        <v>121390.8</v>
      </c>
      <c r="I1373" s="5">
        <v>45937</v>
      </c>
      <c r="J1373" s="7">
        <f t="shared" si="128"/>
        <v>-3.1458712498659374E-4</v>
      </c>
      <c r="K1373" s="5">
        <v>45937</v>
      </c>
      <c r="L1373" s="8">
        <f t="shared" si="126"/>
        <v>1.456099466343934E-4</v>
      </c>
      <c r="M1373" s="5">
        <v>45937</v>
      </c>
      <c r="N1373" s="9">
        <f t="shared" si="127"/>
        <v>-1.6897717835220034E-4</v>
      </c>
      <c r="O1373" s="5">
        <v>45937</v>
      </c>
      <c r="P1373">
        <f t="shared" si="129"/>
        <v>1.000177392514596</v>
      </c>
      <c r="Q1373" s="6">
        <f t="shared" si="130"/>
        <v>1.0001700289049138</v>
      </c>
      <c r="R1373">
        <f t="shared" si="131"/>
        <v>7.3623307666662132E-6</v>
      </c>
      <c r="T1373" s="5">
        <v>45937</v>
      </c>
      <c r="U1373" s="1">
        <v>7.3623307666662132E-6</v>
      </c>
    </row>
    <row r="1374" spans="3:21" x14ac:dyDescent="0.2">
      <c r="C1374" s="5">
        <v>45938</v>
      </c>
      <c r="D1374" s="6">
        <v>0.99983999999999995</v>
      </c>
      <c r="E1374" s="6">
        <v>123364</v>
      </c>
      <c r="F1374" s="6">
        <v>123282.9</v>
      </c>
      <c r="G1374" s="6">
        <v>123313.35</v>
      </c>
      <c r="H1374" s="6">
        <v>123291.8</v>
      </c>
      <c r="I1374" s="5">
        <v>45938</v>
      </c>
      <c r="J1374" s="7">
        <f t="shared" si="128"/>
        <v>-5.852598813267816E-4</v>
      </c>
      <c r="K1374" s="5">
        <v>45938</v>
      </c>
      <c r="L1374" s="8">
        <f t="shared" si="126"/>
        <v>2.4699289195834656E-4</v>
      </c>
      <c r="M1374" s="5">
        <v>45938</v>
      </c>
      <c r="N1374" s="9">
        <f t="shared" si="127"/>
        <v>-3.3826698936843504E-4</v>
      </c>
      <c r="O1374" s="5">
        <v>45938</v>
      </c>
      <c r="P1374">
        <f t="shared" si="129"/>
        <v>0.99982524195474376</v>
      </c>
      <c r="Q1374" s="6">
        <f t="shared" si="130"/>
        <v>1.0001600256040968</v>
      </c>
      <c r="R1374">
        <f t="shared" si="131"/>
        <v>-3.3478611858833577E-4</v>
      </c>
      <c r="T1374" s="5">
        <v>45938</v>
      </c>
      <c r="U1374" s="1">
        <v>-3.3478611858833577E-4</v>
      </c>
    </row>
    <row r="1375" spans="3:21" x14ac:dyDescent="0.2">
      <c r="C1375" s="5">
        <v>45939</v>
      </c>
      <c r="D1375" s="6">
        <v>0.99985999999999997</v>
      </c>
      <c r="E1375" s="6">
        <v>121721</v>
      </c>
      <c r="F1375" s="6">
        <v>121671.8</v>
      </c>
      <c r="G1375" s="6">
        <v>121632.15</v>
      </c>
      <c r="H1375" s="6">
        <v>121681.4</v>
      </c>
      <c r="I1375" s="5">
        <v>45939</v>
      </c>
      <c r="J1375" s="7">
        <f t="shared" si="128"/>
        <v>-3.2533416583831729E-4</v>
      </c>
      <c r="K1375" s="5">
        <v>45939</v>
      </c>
      <c r="L1375" s="8">
        <f t="shared" si="126"/>
        <v>-3.2587666164229288E-4</v>
      </c>
      <c r="M1375" s="5">
        <v>45939</v>
      </c>
      <c r="N1375" s="9">
        <f t="shared" si="127"/>
        <v>-6.5121082748061023E-4</v>
      </c>
      <c r="O1375" s="5">
        <v>45939</v>
      </c>
      <c r="P1375">
        <f t="shared" si="129"/>
        <v>1.000404909392788</v>
      </c>
      <c r="Q1375" s="6">
        <f t="shared" si="130"/>
        <v>1.0001400196027443</v>
      </c>
      <c r="R1375">
        <f t="shared" si="131"/>
        <v>2.648176381870042E-4</v>
      </c>
      <c r="T1375" s="5">
        <v>45939</v>
      </c>
      <c r="U1375" s="1">
        <v>2.648176381870042E-4</v>
      </c>
    </row>
    <row r="1376" spans="3:21" x14ac:dyDescent="0.2">
      <c r="C1376" s="5">
        <v>45940</v>
      </c>
      <c r="D1376" s="6">
        <v>0.99990000000000001</v>
      </c>
      <c r="E1376" s="6">
        <v>112943.8</v>
      </c>
      <c r="F1376" s="6">
        <v>113000</v>
      </c>
      <c r="G1376" s="6">
        <v>114558.93</v>
      </c>
      <c r="H1376" s="6">
        <v>112966</v>
      </c>
      <c r="I1376" s="5">
        <v>45940</v>
      </c>
      <c r="J1376" s="7">
        <f t="shared" si="128"/>
        <v>1.9655793412296283E-4</v>
      </c>
      <c r="K1376" s="5">
        <v>45940</v>
      </c>
      <c r="L1376" s="8">
        <f t="shared" si="126"/>
        <v>1.379584070796454E-2</v>
      </c>
      <c r="M1376" s="5">
        <v>45940</v>
      </c>
      <c r="N1376" s="9">
        <f t="shared" si="127"/>
        <v>1.3992398642087503E-2</v>
      </c>
      <c r="O1376" s="5">
        <v>45940</v>
      </c>
      <c r="P1376">
        <f t="shared" si="129"/>
        <v>0.98609510406565437</v>
      </c>
      <c r="Q1376" s="6">
        <f t="shared" si="130"/>
        <v>1.000100010001</v>
      </c>
      <c r="R1376">
        <f t="shared" si="131"/>
        <v>-1.4102479603622807E-2</v>
      </c>
      <c r="T1376" s="5">
        <v>45940</v>
      </c>
      <c r="U1376" s="1">
        <v>-1.4102479603622807E-2</v>
      </c>
    </row>
    <row r="1377" spans="3:21" x14ac:dyDescent="0.2">
      <c r="C1377" s="5">
        <v>45941</v>
      </c>
      <c r="D1377" s="6">
        <v>0.99995999999999996</v>
      </c>
      <c r="E1377" s="6">
        <v>110786</v>
      </c>
      <c r="F1377" s="6">
        <v>110725.1</v>
      </c>
      <c r="G1377" s="6">
        <v>112469.12</v>
      </c>
      <c r="H1377" s="6">
        <v>110722.9</v>
      </c>
      <c r="I1377" s="5">
        <v>45941</v>
      </c>
      <c r="J1377" s="7">
        <f t="shared" si="128"/>
        <v>-5.6956655173041556E-4</v>
      </c>
      <c r="K1377" s="5">
        <v>45941</v>
      </c>
      <c r="L1377" s="8">
        <f t="shared" si="126"/>
        <v>1.5750900202393038E-2</v>
      </c>
      <c r="M1377" s="5">
        <v>45941</v>
      </c>
      <c r="N1377" s="9">
        <f t="shared" si="127"/>
        <v>1.5181333650662623E-2</v>
      </c>
      <c r="O1377" s="5">
        <v>45941</v>
      </c>
      <c r="P1377">
        <f t="shared" si="129"/>
        <v>0.98447378267030106</v>
      </c>
      <c r="Q1377" s="6">
        <f t="shared" si="130"/>
        <v>1.0000400016000641</v>
      </c>
      <c r="R1377">
        <f t="shared" si="131"/>
        <v>-1.568801215375544E-2</v>
      </c>
      <c r="T1377" s="5">
        <v>45941</v>
      </c>
      <c r="U1377" s="1">
        <v>-1.568801215375544E-2</v>
      </c>
    </row>
    <row r="1378" spans="3:21" x14ac:dyDescent="0.2">
      <c r="C1378" s="5">
        <v>45942</v>
      </c>
      <c r="D1378" s="6">
        <v>1.0000100000000001</v>
      </c>
      <c r="E1378" s="6">
        <v>115061.9</v>
      </c>
      <c r="F1378" s="6">
        <v>115007.1</v>
      </c>
      <c r="G1378" s="6">
        <v>115247.29</v>
      </c>
      <c r="H1378" s="6">
        <v>115005.7</v>
      </c>
      <c r="I1378" s="5">
        <v>45942</v>
      </c>
      <c r="J1378" s="7">
        <f t="shared" si="128"/>
        <v>-4.8843274793825843E-4</v>
      </c>
      <c r="K1378" s="5">
        <v>45942</v>
      </c>
      <c r="L1378" s="8">
        <f t="shared" si="126"/>
        <v>2.0884797547280798E-3</v>
      </c>
      <c r="M1378" s="5">
        <v>45942</v>
      </c>
      <c r="N1378" s="9">
        <f t="shared" si="127"/>
        <v>1.6000470067898214E-3</v>
      </c>
      <c r="O1378" s="5">
        <v>45942</v>
      </c>
      <c r="P1378">
        <f t="shared" si="129"/>
        <v>0.99790372511145387</v>
      </c>
      <c r="Q1378" s="6">
        <f t="shared" si="130"/>
        <v>0.99999000009999894</v>
      </c>
      <c r="R1378">
        <f t="shared" si="131"/>
        <v>-2.0884751981870052E-3</v>
      </c>
      <c r="T1378" s="5">
        <v>45942</v>
      </c>
      <c r="U1378" s="1">
        <v>-2.0884751981870052E-3</v>
      </c>
    </row>
    <row r="1379" spans="3:21" x14ac:dyDescent="0.2">
      <c r="C1379" s="5">
        <v>45943</v>
      </c>
      <c r="D1379" s="6">
        <v>0.99988999999999995</v>
      </c>
      <c r="E1379" s="6">
        <v>115265.9</v>
      </c>
      <c r="F1379" s="6">
        <v>115211.4</v>
      </c>
      <c r="G1379" s="6">
        <v>115325.22</v>
      </c>
      <c r="H1379" s="6">
        <v>115219.2</v>
      </c>
      <c r="I1379" s="5">
        <v>45943</v>
      </c>
      <c r="J1379" s="7">
        <f t="shared" si="128"/>
        <v>-4.0515017884731815E-4</v>
      </c>
      <c r="K1379" s="5">
        <v>45943</v>
      </c>
      <c r="L1379" s="8">
        <f t="shared" si="126"/>
        <v>9.879230701129141E-4</v>
      </c>
      <c r="M1379" s="5">
        <v>45943</v>
      </c>
      <c r="N1379" s="9">
        <f t="shared" si="127"/>
        <v>5.827728912655959E-4</v>
      </c>
      <c r="O1379" s="5">
        <v>45943</v>
      </c>
      <c r="P1379">
        <f t="shared" si="129"/>
        <v>0.99908068677432382</v>
      </c>
      <c r="Q1379" s="6">
        <f t="shared" si="130"/>
        <v>1.0001100121013311</v>
      </c>
      <c r="R1379">
        <f t="shared" si="131"/>
        <v>-1.0297421036838E-3</v>
      </c>
      <c r="T1379" s="5">
        <v>45943</v>
      </c>
      <c r="U1379" s="1">
        <v>-1.0297421036838E-3</v>
      </c>
    </row>
    <row r="1380" spans="3:21" x14ac:dyDescent="0.2">
      <c r="C1380" s="5">
        <v>45944</v>
      </c>
      <c r="D1380" s="6">
        <v>0.99992999999999999</v>
      </c>
      <c r="E1380" s="6">
        <v>113112.5</v>
      </c>
      <c r="F1380" s="6">
        <v>113049.2</v>
      </c>
      <c r="G1380" s="6">
        <v>113121.5</v>
      </c>
      <c r="H1380" s="6">
        <v>113056.1</v>
      </c>
      <c r="I1380" s="5">
        <v>45944</v>
      </c>
      <c r="J1380" s="7">
        <f t="shared" si="128"/>
        <v>-4.9861863189297538E-4</v>
      </c>
      <c r="K1380" s="5">
        <v>45944</v>
      </c>
      <c r="L1380" s="8">
        <f t="shared" si="126"/>
        <v>6.395445522834563E-4</v>
      </c>
      <c r="M1380" s="5">
        <v>45944</v>
      </c>
      <c r="N1380" s="9">
        <f t="shared" si="127"/>
        <v>1.4092592039048092E-4</v>
      </c>
      <c r="O1380" s="5">
        <v>45944</v>
      </c>
      <c r="P1380">
        <f t="shared" si="129"/>
        <v>0.99942186056585181</v>
      </c>
      <c r="Q1380" s="6">
        <f t="shared" si="130"/>
        <v>1.000070004900343</v>
      </c>
      <c r="R1380">
        <f t="shared" si="131"/>
        <v>-6.4830907130655345E-4</v>
      </c>
      <c r="T1380" s="5">
        <v>45944</v>
      </c>
      <c r="U1380" s="1">
        <v>-6.4830907130655345E-4</v>
      </c>
    </row>
    <row r="1381" spans="3:21" x14ac:dyDescent="0.2">
      <c r="C1381" s="5">
        <v>45945</v>
      </c>
      <c r="D1381" s="6">
        <v>0.99980000000000002</v>
      </c>
      <c r="E1381" s="6">
        <v>110813</v>
      </c>
      <c r="F1381" s="6">
        <v>110759.9</v>
      </c>
      <c r="G1381" s="6">
        <v>110814.37</v>
      </c>
      <c r="H1381" s="6">
        <v>110733.7</v>
      </c>
      <c r="I1381" s="5">
        <v>45945</v>
      </c>
      <c r="J1381" s="7">
        <f t="shared" si="128"/>
        <v>-7.1562000848278547E-4</v>
      </c>
      <c r="K1381" s="5">
        <v>45945</v>
      </c>
      <c r="L1381" s="8">
        <f t="shared" si="126"/>
        <v>4.9178448156779811E-4</v>
      </c>
      <c r="M1381" s="5">
        <v>45945</v>
      </c>
      <c r="N1381" s="9">
        <f t="shared" si="127"/>
        <v>-2.2383552691498736E-4</v>
      </c>
      <c r="O1381" s="5">
        <v>45945</v>
      </c>
      <c r="P1381">
        <f t="shared" si="129"/>
        <v>0.99927202582119989</v>
      </c>
      <c r="Q1381" s="6">
        <f t="shared" si="130"/>
        <v>1.0002000400080016</v>
      </c>
      <c r="R1381">
        <f t="shared" si="131"/>
        <v>-9.2825928333568539E-4</v>
      </c>
      <c r="T1381" s="5">
        <v>45945</v>
      </c>
      <c r="U1381" s="1">
        <v>-9.2825928333568539E-4</v>
      </c>
    </row>
    <row r="1382" spans="3:21" x14ac:dyDescent="0.2">
      <c r="C1382" s="5">
        <v>45946</v>
      </c>
      <c r="D1382" s="6">
        <v>0.99990999999999997</v>
      </c>
      <c r="E1382" s="6">
        <v>108224</v>
      </c>
      <c r="F1382" s="6">
        <v>108160.2</v>
      </c>
      <c r="G1382" s="6">
        <v>108255.95</v>
      </c>
      <c r="H1382" s="6">
        <v>108185.8</v>
      </c>
      <c r="I1382" s="5">
        <v>45946</v>
      </c>
      <c r="J1382" s="7">
        <f t="shared" si="128"/>
        <v>-3.5297161442930484E-4</v>
      </c>
      <c r="K1382" s="5">
        <v>45946</v>
      </c>
      <c r="L1382" s="8">
        <f t="shared" si="126"/>
        <v>8.8526093701749812E-4</v>
      </c>
      <c r="M1382" s="5">
        <v>45946</v>
      </c>
      <c r="N1382" s="9">
        <f t="shared" si="127"/>
        <v>5.3228932258819327E-4</v>
      </c>
      <c r="O1382" s="5">
        <v>45946</v>
      </c>
      <c r="P1382">
        <f t="shared" si="129"/>
        <v>0.99935199866612423</v>
      </c>
      <c r="Q1382" s="6">
        <f t="shared" si="130"/>
        <v>1.0000900081007291</v>
      </c>
      <c r="R1382">
        <f t="shared" si="131"/>
        <v>-7.3821542772708223E-4</v>
      </c>
      <c r="T1382" s="5">
        <v>45946</v>
      </c>
      <c r="U1382" s="1">
        <v>-7.3821542772708223E-4</v>
      </c>
    </row>
    <row r="1383" spans="3:21" x14ac:dyDescent="0.2">
      <c r="C1383" s="5">
        <v>45947</v>
      </c>
      <c r="D1383" s="6">
        <v>0.99988999999999995</v>
      </c>
      <c r="E1383" s="6">
        <v>106481.2</v>
      </c>
      <c r="F1383" s="6">
        <v>106424.8</v>
      </c>
      <c r="G1383" s="6">
        <v>106554.76</v>
      </c>
      <c r="H1383" s="6">
        <v>106425.5</v>
      </c>
      <c r="I1383" s="5">
        <v>45947</v>
      </c>
      <c r="J1383" s="7">
        <f t="shared" si="128"/>
        <v>-5.2309703496952601E-4</v>
      </c>
      <c r="K1383" s="5">
        <v>45947</v>
      </c>
      <c r="L1383" s="8">
        <f t="shared" si="126"/>
        <v>1.2211439438927002E-3</v>
      </c>
      <c r="M1383" s="5">
        <v>45947</v>
      </c>
      <c r="N1383" s="9">
        <f t="shared" si="127"/>
        <v>6.9804690892317416E-4</v>
      </c>
      <c r="O1383" s="5">
        <v>45947</v>
      </c>
      <c r="P1383">
        <f t="shared" si="129"/>
        <v>0.99878691482201265</v>
      </c>
      <c r="Q1383" s="6">
        <f t="shared" si="130"/>
        <v>1.0001100121013311</v>
      </c>
      <c r="R1383">
        <f t="shared" si="131"/>
        <v>-1.3238276118463263E-3</v>
      </c>
      <c r="T1383" s="5">
        <v>45947</v>
      </c>
      <c r="U1383" s="1">
        <v>-1.3238276118463263E-3</v>
      </c>
    </row>
    <row r="1384" spans="3:21" x14ac:dyDescent="0.2">
      <c r="C1384" s="5">
        <v>45948</v>
      </c>
      <c r="D1384" s="6">
        <v>0.99988999999999995</v>
      </c>
      <c r="E1384" s="6">
        <v>107232</v>
      </c>
      <c r="F1384" s="6">
        <v>107168.3</v>
      </c>
      <c r="G1384" s="6">
        <v>107326.97</v>
      </c>
      <c r="H1384" s="6">
        <v>107203.2</v>
      </c>
      <c r="I1384" s="5">
        <v>45948</v>
      </c>
      <c r="J1384" s="7">
        <f t="shared" si="128"/>
        <v>-2.6857654431515694E-4</v>
      </c>
      <c r="K1384" s="5">
        <v>45948</v>
      </c>
      <c r="L1384" s="8">
        <f t="shared" si="126"/>
        <v>1.4805684143538551E-3</v>
      </c>
      <c r="M1384" s="5">
        <v>45948</v>
      </c>
      <c r="N1384" s="9">
        <f t="shared" si="127"/>
        <v>1.2119918700386981E-3</v>
      </c>
      <c r="O1384" s="5">
        <v>45948</v>
      </c>
      <c r="P1384">
        <f t="shared" si="129"/>
        <v>0.99884679498545426</v>
      </c>
      <c r="Q1384" s="6">
        <f t="shared" si="130"/>
        <v>1.0001100121013311</v>
      </c>
      <c r="R1384">
        <f t="shared" si="131"/>
        <v>-1.263876517543547E-3</v>
      </c>
      <c r="T1384" s="5">
        <v>45948</v>
      </c>
      <c r="U1384" s="1">
        <v>-1.263876517543547E-3</v>
      </c>
    </row>
    <row r="1385" spans="3:21" x14ac:dyDescent="0.2">
      <c r="C1385" s="5">
        <v>45949</v>
      </c>
      <c r="D1385" s="6">
        <v>0.99990000000000001</v>
      </c>
      <c r="E1385" s="6">
        <v>108700.6</v>
      </c>
      <c r="F1385" s="6">
        <v>108635</v>
      </c>
      <c r="G1385" s="6">
        <v>108745.85</v>
      </c>
      <c r="H1385" s="6">
        <v>108650.7</v>
      </c>
      <c r="I1385" s="5">
        <v>45949</v>
      </c>
      <c r="J1385" s="7">
        <f t="shared" si="128"/>
        <v>-4.5905910362968307E-4</v>
      </c>
      <c r="K1385" s="5">
        <v>45949</v>
      </c>
      <c r="L1385" s="8">
        <f t="shared" si="126"/>
        <v>1.0203893772725717E-3</v>
      </c>
      <c r="M1385" s="5">
        <v>45949</v>
      </c>
      <c r="N1385" s="9">
        <f t="shared" si="127"/>
        <v>5.6133027364288859E-4</v>
      </c>
      <c r="O1385" s="5">
        <v>45949</v>
      </c>
      <c r="P1385">
        <f t="shared" si="129"/>
        <v>0.99912502408137871</v>
      </c>
      <c r="Q1385" s="6">
        <f t="shared" si="130"/>
        <v>1.000100010001</v>
      </c>
      <c r="R1385">
        <f t="shared" si="131"/>
        <v>-9.7536393381912037E-4</v>
      </c>
      <c r="T1385" s="5">
        <v>45949</v>
      </c>
      <c r="U1385" s="1">
        <v>-9.7536393381912037E-4</v>
      </c>
    </row>
    <row r="1386" spans="3:21" x14ac:dyDescent="0.2">
      <c r="C1386" s="5">
        <v>45950</v>
      </c>
      <c r="D1386" s="6">
        <v>0.99985999999999997</v>
      </c>
      <c r="E1386" s="6">
        <v>110574</v>
      </c>
      <c r="F1386" s="6">
        <v>110514.3</v>
      </c>
      <c r="G1386" s="6">
        <v>110566.48</v>
      </c>
      <c r="H1386" s="6">
        <v>110521</v>
      </c>
      <c r="I1386" s="5">
        <v>45950</v>
      </c>
      <c r="J1386" s="7">
        <f t="shared" si="128"/>
        <v>-4.7931701846727078E-4</v>
      </c>
      <c r="K1386" s="5">
        <v>45950</v>
      </c>
      <c r="L1386" s="8">
        <f t="shared" si="126"/>
        <v>4.7215609201698799E-4</v>
      </c>
      <c r="M1386" s="5">
        <v>45950</v>
      </c>
      <c r="N1386" s="9">
        <f t="shared" si="127"/>
        <v>-7.1609264502827882E-6</v>
      </c>
      <c r="O1386" s="5">
        <v>45950</v>
      </c>
      <c r="P1386">
        <f t="shared" si="129"/>
        <v>0.999588663761386</v>
      </c>
      <c r="Q1386" s="6">
        <f t="shared" si="130"/>
        <v>1.0001400196027443</v>
      </c>
      <c r="R1386">
        <f t="shared" si="131"/>
        <v>-5.514306614855354E-4</v>
      </c>
      <c r="T1386" s="5">
        <v>45950</v>
      </c>
      <c r="U1386" s="1">
        <v>-5.514306614855354E-4</v>
      </c>
    </row>
    <row r="1387" spans="3:21" x14ac:dyDescent="0.2">
      <c r="C1387" s="5">
        <v>45951</v>
      </c>
      <c r="D1387" s="6">
        <v>0.99990000000000001</v>
      </c>
      <c r="E1387" s="6">
        <v>108381.3</v>
      </c>
      <c r="F1387" s="6">
        <v>108306.3</v>
      </c>
      <c r="G1387" s="6">
        <v>108342.91</v>
      </c>
      <c r="H1387" s="6">
        <v>108288.4</v>
      </c>
      <c r="I1387" s="5">
        <v>45951</v>
      </c>
      <c r="J1387" s="7">
        <f t="shared" si="128"/>
        <v>-8.5715893793494565E-4</v>
      </c>
      <c r="K1387" s="5">
        <v>45951</v>
      </c>
      <c r="L1387" s="8">
        <f t="shared" si="126"/>
        <v>3.3802281123074631E-4</v>
      </c>
      <c r="M1387" s="5">
        <v>45951</v>
      </c>
      <c r="N1387" s="9">
        <f t="shared" si="127"/>
        <v>-5.1913612670419934E-4</v>
      </c>
      <c r="O1387" s="5">
        <v>45951</v>
      </c>
      <c r="P1387">
        <f t="shared" si="129"/>
        <v>0.99949687524545905</v>
      </c>
      <c r="Q1387" s="6">
        <f t="shared" si="130"/>
        <v>1.000100010001</v>
      </c>
      <c r="R1387">
        <f t="shared" si="131"/>
        <v>-6.0325636460232266E-4</v>
      </c>
      <c r="T1387" s="5">
        <v>45951</v>
      </c>
      <c r="U1387" s="1">
        <v>-6.0325636460232266E-4</v>
      </c>
    </row>
    <row r="1388" spans="3:21" x14ac:dyDescent="0.2">
      <c r="C1388" s="5">
        <v>45952</v>
      </c>
      <c r="D1388" s="6">
        <v>0.99985999999999997</v>
      </c>
      <c r="E1388" s="6">
        <v>107611</v>
      </c>
      <c r="F1388" s="6">
        <v>107542.2</v>
      </c>
      <c r="G1388" s="6">
        <v>107589.65</v>
      </c>
      <c r="H1388" s="6">
        <v>107583.2</v>
      </c>
      <c r="I1388" s="5">
        <v>45952</v>
      </c>
      <c r="J1388" s="7">
        <f t="shared" si="128"/>
        <v>-2.5833790225908979E-4</v>
      </c>
      <c r="K1388" s="5">
        <v>45952</v>
      </c>
      <c r="L1388" s="8">
        <f t="shared" si="126"/>
        <v>4.4122214349341085E-4</v>
      </c>
      <c r="M1388" s="5">
        <v>45952</v>
      </c>
      <c r="N1388" s="9">
        <f t="shared" si="127"/>
        <v>1.8288424123432106E-4</v>
      </c>
      <c r="O1388" s="5">
        <v>45952</v>
      </c>
      <c r="P1388">
        <f t="shared" si="129"/>
        <v>0.99994004999551533</v>
      </c>
      <c r="Q1388" s="6">
        <f t="shared" si="130"/>
        <v>1.0001400196027443</v>
      </c>
      <c r="R1388">
        <f t="shared" si="131"/>
        <v>-1.9996160247268865E-4</v>
      </c>
      <c r="T1388" s="5">
        <v>45952</v>
      </c>
      <c r="U1388" s="1">
        <v>-1.9996160247268865E-4</v>
      </c>
    </row>
    <row r="1389" spans="3:21" x14ac:dyDescent="0.2">
      <c r="C1389" s="5">
        <v>45953</v>
      </c>
      <c r="D1389" s="6">
        <v>0.99988999999999995</v>
      </c>
      <c r="E1389" s="6">
        <v>110121</v>
      </c>
      <c r="F1389" s="6">
        <v>110047</v>
      </c>
      <c r="G1389" s="6">
        <v>110099.42</v>
      </c>
      <c r="H1389" s="6">
        <v>110073.1</v>
      </c>
      <c r="I1389" s="5">
        <v>45953</v>
      </c>
      <c r="J1389" s="7">
        <f t="shared" si="128"/>
        <v>-4.3497607177553945E-4</v>
      </c>
      <c r="K1389" s="5">
        <v>45953</v>
      </c>
      <c r="L1389" s="8">
        <f t="shared" si="126"/>
        <v>4.7634192663133256E-4</v>
      </c>
      <c r="M1389" s="5">
        <v>45953</v>
      </c>
      <c r="N1389" s="9">
        <f t="shared" si="127"/>
        <v>4.1365854855793108E-5</v>
      </c>
      <c r="O1389" s="5">
        <v>45953</v>
      </c>
      <c r="P1389">
        <f t="shared" si="129"/>
        <v>0.99976094333648624</v>
      </c>
      <c r="Q1389" s="6">
        <f t="shared" si="130"/>
        <v>1.0001100121013311</v>
      </c>
      <c r="R1389">
        <f t="shared" si="131"/>
        <v>-3.4909129255630248E-4</v>
      </c>
      <c r="T1389" s="5">
        <v>45953</v>
      </c>
      <c r="U1389" s="1">
        <v>-3.4909129255630248E-4</v>
      </c>
    </row>
    <row r="1390" spans="3:21" x14ac:dyDescent="0.2">
      <c r="C1390" s="5">
        <v>45954</v>
      </c>
      <c r="D1390" s="6">
        <v>0.99990999999999997</v>
      </c>
      <c r="E1390" s="6">
        <v>111041.8</v>
      </c>
      <c r="F1390" s="6">
        <v>110986.6</v>
      </c>
      <c r="G1390" s="6">
        <v>111016.54</v>
      </c>
      <c r="H1390" s="6">
        <v>110989</v>
      </c>
      <c r="I1390" s="5">
        <v>45954</v>
      </c>
      <c r="J1390" s="7">
        <f t="shared" si="128"/>
        <v>-4.7549661478833114E-4</v>
      </c>
      <c r="K1390" s="5">
        <v>45954</v>
      </c>
      <c r="L1390" s="8">
        <f t="shared" si="126"/>
        <v>2.6976229562837112E-4</v>
      </c>
      <c r="M1390" s="5">
        <v>45954</v>
      </c>
      <c r="N1390" s="9">
        <f t="shared" si="127"/>
        <v>-2.0573431915996002E-4</v>
      </c>
      <c r="O1390" s="5">
        <v>45954</v>
      </c>
      <c r="P1390">
        <f t="shared" si="129"/>
        <v>0.99975192885672703</v>
      </c>
      <c r="Q1390" s="6">
        <f t="shared" si="130"/>
        <v>1.0000900081007291</v>
      </c>
      <c r="R1390">
        <f t="shared" si="131"/>
        <v>-3.3810596825179016E-4</v>
      </c>
      <c r="T1390" s="5">
        <v>45954</v>
      </c>
      <c r="U1390" s="1">
        <v>-3.3810596825179016E-4</v>
      </c>
    </row>
    <row r="1391" spans="3:21" x14ac:dyDescent="0.2">
      <c r="C1391" s="5">
        <v>45955</v>
      </c>
      <c r="D1391" s="6">
        <v>0.99987000000000004</v>
      </c>
      <c r="E1391" s="6">
        <v>111677.6</v>
      </c>
      <c r="F1391" s="6">
        <v>111615.9</v>
      </c>
      <c r="G1391" s="6">
        <v>111608.22</v>
      </c>
      <c r="H1391" s="6">
        <v>111611.8</v>
      </c>
      <c r="I1391" s="5">
        <v>45955</v>
      </c>
      <c r="J1391" s="7">
        <f t="shared" si="128"/>
        <v>-5.8919604289493061E-4</v>
      </c>
      <c r="K1391" s="5">
        <v>45955</v>
      </c>
      <c r="L1391" s="8">
        <f t="shared" si="126"/>
        <v>-6.8807401096017816E-5</v>
      </c>
      <c r="M1391" s="5">
        <v>45955</v>
      </c>
      <c r="N1391" s="9">
        <f t="shared" si="127"/>
        <v>-6.5800344399094839E-4</v>
      </c>
      <c r="O1391" s="5">
        <v>45955</v>
      </c>
      <c r="P1391">
        <f t="shared" si="129"/>
        <v>1.0000320764904236</v>
      </c>
      <c r="Q1391" s="6">
        <f t="shared" si="130"/>
        <v>1.0001300169021972</v>
      </c>
      <c r="R1391">
        <f t="shared" si="131"/>
        <v>-9.7932474748261167E-5</v>
      </c>
      <c r="T1391" s="5">
        <v>45955</v>
      </c>
      <c r="U1391" s="1">
        <v>-9.7932474748261167E-5</v>
      </c>
    </row>
    <row r="1392" spans="3:21" x14ac:dyDescent="0.2">
      <c r="C1392" s="5">
        <v>45956</v>
      </c>
      <c r="D1392" s="6">
        <v>0.99983999999999995</v>
      </c>
      <c r="E1392" s="6">
        <v>114584</v>
      </c>
      <c r="F1392" s="6">
        <v>114507.9</v>
      </c>
      <c r="G1392" s="6">
        <v>114502.75</v>
      </c>
      <c r="H1392" s="6">
        <v>114530.7</v>
      </c>
      <c r="I1392" s="5">
        <v>45956</v>
      </c>
      <c r="J1392" s="7">
        <f t="shared" si="128"/>
        <v>-4.6516092997279647E-4</v>
      </c>
      <c r="K1392" s="5">
        <v>45956</v>
      </c>
      <c r="L1392" s="8">
        <f t="shared" si="126"/>
        <v>-4.4975062855874391E-5</v>
      </c>
      <c r="M1392" s="5">
        <v>45956</v>
      </c>
      <c r="N1392" s="9">
        <f t="shared" si="127"/>
        <v>-5.1013599282867083E-4</v>
      </c>
      <c r="O1392" s="5">
        <v>45956</v>
      </c>
      <c r="P1392">
        <f t="shared" si="129"/>
        <v>1.000244098940855</v>
      </c>
      <c r="Q1392" s="6">
        <f t="shared" si="130"/>
        <v>1.0001600256040968</v>
      </c>
      <c r="R1392">
        <f t="shared" si="131"/>
        <v>8.4056352190088992E-5</v>
      </c>
      <c r="T1392" s="5">
        <v>45956</v>
      </c>
      <c r="U1392" s="1">
        <v>8.4056352190088992E-5</v>
      </c>
    </row>
    <row r="1393" spans="3:21" x14ac:dyDescent="0.2">
      <c r="C1393" s="5">
        <v>45957</v>
      </c>
      <c r="D1393" s="6">
        <v>0.99980000000000002</v>
      </c>
      <c r="E1393" s="6">
        <v>114117.4</v>
      </c>
      <c r="F1393" s="6">
        <v>114062.9</v>
      </c>
      <c r="G1393" s="6">
        <v>114080.07</v>
      </c>
      <c r="H1393" s="6">
        <v>114068.9</v>
      </c>
      <c r="I1393" s="5">
        <v>45957</v>
      </c>
      <c r="J1393" s="7">
        <f t="shared" si="128"/>
        <v>-4.2500092010508476E-4</v>
      </c>
      <c r="K1393" s="5">
        <v>45957</v>
      </c>
      <c r="L1393" s="8">
        <f t="shared" si="126"/>
        <v>1.5053097895996689E-4</v>
      </c>
      <c r="M1393" s="5">
        <v>45957</v>
      </c>
      <c r="N1393" s="9">
        <f t="shared" si="127"/>
        <v>-2.7446994114511784E-4</v>
      </c>
      <c r="O1393" s="5">
        <v>45957</v>
      </c>
      <c r="P1393">
        <f t="shared" si="129"/>
        <v>0.99990208631533961</v>
      </c>
      <c r="Q1393" s="6">
        <f t="shared" si="130"/>
        <v>1.0002000400080016</v>
      </c>
      <c r="R1393">
        <f t="shared" si="131"/>
        <v>-2.9793848118512547E-4</v>
      </c>
      <c r="T1393" s="5">
        <v>45957</v>
      </c>
      <c r="U1393" s="1">
        <v>-2.9793848118512547E-4</v>
      </c>
    </row>
    <row r="1394" spans="3:21" x14ac:dyDescent="0.2">
      <c r="C1394" s="5">
        <v>45958</v>
      </c>
      <c r="D1394" s="6">
        <v>0.99988999999999995</v>
      </c>
      <c r="E1394" s="6">
        <v>112927.5</v>
      </c>
      <c r="F1394" s="6">
        <v>112882.2</v>
      </c>
      <c r="G1394" s="6">
        <v>112986.02</v>
      </c>
      <c r="H1394" s="6">
        <v>112877.9</v>
      </c>
      <c r="I1394" s="5">
        <v>45958</v>
      </c>
      <c r="J1394" s="7">
        <f t="shared" si="128"/>
        <v>-4.3921985344584641E-4</v>
      </c>
      <c r="K1394" s="5">
        <v>45958</v>
      </c>
      <c r="L1394" s="8">
        <f t="shared" si="126"/>
        <v>9.1971984954232814E-4</v>
      </c>
      <c r="M1394" s="5">
        <v>45958</v>
      </c>
      <c r="N1394" s="9">
        <f t="shared" si="127"/>
        <v>4.8049999609648173E-4</v>
      </c>
      <c r="O1394" s="5">
        <v>45958</v>
      </c>
      <c r="P1394">
        <f t="shared" si="129"/>
        <v>0.99904306745206162</v>
      </c>
      <c r="Q1394" s="6">
        <f t="shared" si="130"/>
        <v>1.0001100121013311</v>
      </c>
      <c r="R1394">
        <f t="shared" si="131"/>
        <v>-1.0673967506366028E-3</v>
      </c>
      <c r="T1394" s="5">
        <v>45958</v>
      </c>
      <c r="U1394" s="1">
        <v>-1.0673967506366028E-3</v>
      </c>
    </row>
    <row r="1395" spans="3:21" x14ac:dyDescent="0.2">
      <c r="C1395" s="5">
        <v>45959</v>
      </c>
      <c r="D1395" s="6">
        <v>0.99982000000000004</v>
      </c>
      <c r="E1395" s="6">
        <v>110040.9</v>
      </c>
      <c r="F1395" s="6">
        <v>109986.8</v>
      </c>
      <c r="G1395" s="6">
        <v>110045.77</v>
      </c>
      <c r="H1395" s="6">
        <v>109985.2</v>
      </c>
      <c r="I1395" s="5">
        <v>45959</v>
      </c>
      <c r="J1395" s="7">
        <f t="shared" si="128"/>
        <v>-5.0617543113512422E-4</v>
      </c>
      <c r="K1395" s="5">
        <v>45959</v>
      </c>
      <c r="L1395" s="8">
        <f t="shared" si="126"/>
        <v>5.3615524772064615E-4</v>
      </c>
      <c r="M1395" s="5">
        <v>45959</v>
      </c>
      <c r="N1395" s="9">
        <f t="shared" si="127"/>
        <v>2.9979816585521931E-5</v>
      </c>
      <c r="O1395" s="5">
        <v>45959</v>
      </c>
      <c r="P1395">
        <f t="shared" si="129"/>
        <v>0.99944959265585587</v>
      </c>
      <c r="Q1395" s="6">
        <f t="shared" si="130"/>
        <v>1.000180032405833</v>
      </c>
      <c r="R1395">
        <f t="shared" si="131"/>
        <v>-7.3057507581515278E-4</v>
      </c>
      <c r="T1395" s="5">
        <v>45959</v>
      </c>
      <c r="U1395" s="1">
        <v>-7.3057507581515278E-4</v>
      </c>
    </row>
    <row r="1396" spans="3:21" x14ac:dyDescent="0.2">
      <c r="C1396" s="5">
        <v>45960</v>
      </c>
      <c r="D1396" s="6">
        <v>0.99983</v>
      </c>
      <c r="E1396" s="6">
        <v>108315.6</v>
      </c>
      <c r="F1396" s="6">
        <v>108253</v>
      </c>
      <c r="G1396" s="6">
        <v>108341.19</v>
      </c>
      <c r="H1396" s="6">
        <v>108260.4</v>
      </c>
      <c r="I1396" s="5">
        <v>45960</v>
      </c>
      <c r="J1396" s="7">
        <f t="shared" si="128"/>
        <v>-5.0962188272060205E-4</v>
      </c>
      <c r="K1396" s="5">
        <v>45960</v>
      </c>
      <c r="L1396" s="8">
        <f t="shared" si="126"/>
        <v>8.1466564437015446E-4</v>
      </c>
      <c r="M1396" s="5">
        <v>45960</v>
      </c>
      <c r="N1396" s="9">
        <f t="shared" si="127"/>
        <v>3.0504376164955241E-4</v>
      </c>
      <c r="O1396" s="5">
        <v>45960</v>
      </c>
      <c r="P1396">
        <f t="shared" si="129"/>
        <v>0.99925430023428763</v>
      </c>
      <c r="Q1396" s="6">
        <f t="shared" si="130"/>
        <v>1.0001700289049138</v>
      </c>
      <c r="R1396">
        <f t="shared" si="131"/>
        <v>-9.1599238971780449E-4</v>
      </c>
      <c r="T1396" s="5">
        <v>45960</v>
      </c>
      <c r="U1396" s="1">
        <v>-9.1599238971780449E-4</v>
      </c>
    </row>
    <row r="1397" spans="3:21" x14ac:dyDescent="0.2">
      <c r="C1397" s="5">
        <v>45961</v>
      </c>
      <c r="D1397" s="6">
        <v>0.99980000000000002</v>
      </c>
      <c r="E1397" s="6">
        <v>109578.9</v>
      </c>
      <c r="F1397" s="6">
        <v>109520</v>
      </c>
      <c r="G1397" s="6">
        <v>109474.58</v>
      </c>
      <c r="H1397" s="6">
        <v>109517.8</v>
      </c>
      <c r="I1397" s="5">
        <v>45961</v>
      </c>
      <c r="J1397" s="7">
        <f t="shared" si="128"/>
        <v>-5.575890979010674E-4</v>
      </c>
      <c r="K1397" s="5">
        <v>45961</v>
      </c>
      <c r="L1397" s="8">
        <f t="shared" si="126"/>
        <v>-4.1471877282686501E-4</v>
      </c>
      <c r="M1397" s="5">
        <v>45961</v>
      </c>
      <c r="N1397" s="9">
        <f t="shared" si="127"/>
        <v>-9.7230787072793241E-4</v>
      </c>
      <c r="O1397" s="5">
        <v>45961</v>
      </c>
      <c r="P1397">
        <f t="shared" si="129"/>
        <v>1.0003947948464382</v>
      </c>
      <c r="Q1397" s="6">
        <f t="shared" si="130"/>
        <v>1.0002000400080016</v>
      </c>
      <c r="R1397">
        <f t="shared" si="131"/>
        <v>1.9469693279094977E-4</v>
      </c>
      <c r="T1397" s="5">
        <v>45961</v>
      </c>
      <c r="U1397" s="1">
        <v>1.9469693279094977E-4</v>
      </c>
    </row>
    <row r="1398" spans="3:21" x14ac:dyDescent="0.2">
      <c r="C1398" s="5">
        <v>45962</v>
      </c>
      <c r="D1398" s="6">
        <v>0.99978999999999996</v>
      </c>
      <c r="E1398" s="6">
        <v>110071.7</v>
      </c>
      <c r="F1398" s="6">
        <v>110016.7</v>
      </c>
      <c r="G1398" s="6">
        <v>109916.81</v>
      </c>
      <c r="H1398" s="6">
        <v>110036.8</v>
      </c>
      <c r="I1398" s="5">
        <v>45962</v>
      </c>
      <c r="J1398" s="7">
        <f t="shared" si="128"/>
        <v>-3.1706605785132943E-4</v>
      </c>
      <c r="K1398" s="5">
        <v>45962</v>
      </c>
      <c r="L1398" s="8">
        <f t="shared" si="126"/>
        <v>-9.079530653073526E-4</v>
      </c>
      <c r="M1398" s="5">
        <v>45962</v>
      </c>
      <c r="N1398" s="9">
        <f t="shared" si="127"/>
        <v>-1.225019123158682E-3</v>
      </c>
      <c r="O1398" s="5">
        <v>45962</v>
      </c>
      <c r="P1398">
        <f t="shared" si="129"/>
        <v>1.0010916437622235</v>
      </c>
      <c r="Q1398" s="6">
        <f t="shared" si="130"/>
        <v>1.000210044109263</v>
      </c>
      <c r="R1398">
        <f t="shared" si="131"/>
        <v>8.8102629936179092E-4</v>
      </c>
      <c r="T1398" s="5">
        <v>45962</v>
      </c>
      <c r="U1398" s="1">
        <v>8.8102629936179092E-4</v>
      </c>
    </row>
    <row r="1399" spans="3:21" x14ac:dyDescent="0.2">
      <c r="C1399" s="5">
        <v>45963</v>
      </c>
      <c r="D1399" s="6">
        <v>0.99978999999999996</v>
      </c>
      <c r="E1399" s="6">
        <v>110546</v>
      </c>
      <c r="F1399" s="6">
        <v>110490.4</v>
      </c>
      <c r="G1399" s="6">
        <v>110473.3</v>
      </c>
      <c r="H1399" s="6">
        <v>110552.1</v>
      </c>
      <c r="I1399" s="5">
        <v>45963</v>
      </c>
      <c r="J1399" s="7">
        <f t="shared" si="128"/>
        <v>5.5180648779746177E-5</v>
      </c>
      <c r="K1399" s="5">
        <v>45963</v>
      </c>
      <c r="L1399" s="8">
        <f t="shared" si="126"/>
        <v>-1.5476457683193535E-4</v>
      </c>
      <c r="M1399" s="5">
        <v>45963</v>
      </c>
      <c r="N1399" s="9">
        <f t="shared" si="127"/>
        <v>-9.9583928052189173E-5</v>
      </c>
      <c r="O1399" s="5">
        <v>45963</v>
      </c>
      <c r="P1399">
        <f t="shared" si="129"/>
        <v>1.0007132945245594</v>
      </c>
      <c r="Q1399" s="6">
        <f t="shared" si="130"/>
        <v>1.000210044109263</v>
      </c>
      <c r="R1399">
        <f t="shared" si="131"/>
        <v>5.0301819784005601E-4</v>
      </c>
      <c r="T1399" s="5">
        <v>45963</v>
      </c>
      <c r="U1399" s="1">
        <v>5.0301819784005601E-4</v>
      </c>
    </row>
    <row r="1400" spans="3:21" x14ac:dyDescent="0.2">
      <c r="C1400" s="5">
        <v>45964</v>
      </c>
      <c r="D1400" s="6">
        <v>0.99980000000000002</v>
      </c>
      <c r="E1400" s="6">
        <v>106551.1</v>
      </c>
      <c r="F1400" s="6">
        <v>106511.7</v>
      </c>
      <c r="G1400" s="6">
        <v>106514.23</v>
      </c>
      <c r="H1400" s="6">
        <v>106505.5</v>
      </c>
      <c r="I1400" s="5">
        <v>45964</v>
      </c>
      <c r="J1400" s="7">
        <f t="shared" si="128"/>
        <v>-4.2796367189081876E-4</v>
      </c>
      <c r="K1400" s="5">
        <v>45964</v>
      </c>
      <c r="L1400" s="8">
        <f t="shared" si="126"/>
        <v>2.375325903162597E-5</v>
      </c>
      <c r="M1400" s="5">
        <v>45964</v>
      </c>
      <c r="N1400" s="9">
        <f t="shared" si="127"/>
        <v>-4.042104128591928E-4</v>
      </c>
      <c r="O1400" s="5">
        <v>45964</v>
      </c>
      <c r="P1400">
        <f t="shared" si="129"/>
        <v>0.99991803912021893</v>
      </c>
      <c r="Q1400" s="6">
        <f t="shared" si="130"/>
        <v>1.0002000400080016</v>
      </c>
      <c r="R1400">
        <f t="shared" si="131"/>
        <v>-2.8198424142456924E-4</v>
      </c>
      <c r="T1400" s="5">
        <v>45964</v>
      </c>
      <c r="U1400" s="1">
        <v>-2.8198424142456924E-4</v>
      </c>
    </row>
    <row r="1401" spans="3:21" x14ac:dyDescent="0.2">
      <c r="C1401" s="5">
        <v>45965</v>
      </c>
      <c r="D1401" s="6">
        <v>0.99978</v>
      </c>
      <c r="E1401" s="6">
        <v>101493.1</v>
      </c>
      <c r="F1401" s="6">
        <v>101418.6</v>
      </c>
      <c r="G1401" s="6">
        <v>101496.66</v>
      </c>
      <c r="H1401" s="6">
        <v>101421.2</v>
      </c>
      <c r="I1401" s="5">
        <v>45965</v>
      </c>
      <c r="J1401" s="7">
        <f t="shared" si="128"/>
        <v>-7.0842254301039902E-4</v>
      </c>
      <c r="K1401" s="5">
        <v>45965</v>
      </c>
      <c r="L1401" s="8">
        <f t="shared" si="126"/>
        <v>7.696813010630956E-4</v>
      </c>
      <c r="M1401" s="5">
        <v>45965</v>
      </c>
      <c r="N1401" s="9">
        <f t="shared" si="127"/>
        <v>6.1258758052696585E-5</v>
      </c>
      <c r="O1401" s="5">
        <v>45965</v>
      </c>
      <c r="P1401">
        <f t="shared" si="129"/>
        <v>0.99925652725912362</v>
      </c>
      <c r="Q1401" s="6">
        <f t="shared" si="130"/>
        <v>1.0002200484106503</v>
      </c>
      <c r="R1401">
        <f t="shared" si="131"/>
        <v>-9.6377345734609341E-4</v>
      </c>
      <c r="T1401" s="5">
        <v>45965</v>
      </c>
      <c r="U1401" s="1">
        <v>-9.6377345734609341E-4</v>
      </c>
    </row>
    <row r="1402" spans="3:21" x14ac:dyDescent="0.2">
      <c r="C1402" s="5">
        <v>45966</v>
      </c>
      <c r="D1402" s="6">
        <v>0.99982000000000004</v>
      </c>
      <c r="E1402" s="6">
        <v>103902.8</v>
      </c>
      <c r="F1402" s="6">
        <v>103821</v>
      </c>
      <c r="G1402" s="6">
        <v>103897.48</v>
      </c>
      <c r="H1402" s="6">
        <v>103857.1</v>
      </c>
      <c r="I1402" s="5">
        <v>45966</v>
      </c>
      <c r="J1402" s="7">
        <f t="shared" si="128"/>
        <v>-4.398341526888312E-4</v>
      </c>
      <c r="K1402" s="5">
        <v>45966</v>
      </c>
      <c r="L1402" s="8">
        <f t="shared" si="126"/>
        <v>7.3665250768145099E-4</v>
      </c>
      <c r="M1402" s="5">
        <v>45966</v>
      </c>
      <c r="N1402" s="9">
        <f t="shared" si="127"/>
        <v>2.9681835499261979E-4</v>
      </c>
      <c r="O1402" s="5">
        <v>45966</v>
      </c>
      <c r="P1402">
        <f t="shared" si="129"/>
        <v>0.99961134764770054</v>
      </c>
      <c r="Q1402" s="6">
        <f t="shared" si="130"/>
        <v>1.000180032405833</v>
      </c>
      <c r="R1402">
        <f t="shared" si="131"/>
        <v>-5.6874409914359138E-4</v>
      </c>
      <c r="T1402" s="5">
        <v>45966</v>
      </c>
      <c r="U1402" s="1">
        <v>-5.6874409914359138E-4</v>
      </c>
    </row>
    <row r="1403" spans="3:21" x14ac:dyDescent="0.2">
      <c r="C1403" s="5">
        <v>45967</v>
      </c>
      <c r="D1403" s="6">
        <v>0.99977000000000005</v>
      </c>
      <c r="E1403" s="6">
        <v>101307.5</v>
      </c>
      <c r="F1403" s="6">
        <v>101237.3</v>
      </c>
      <c r="G1403" s="6">
        <v>101300.72</v>
      </c>
      <c r="H1403" s="6">
        <v>101278.5</v>
      </c>
      <c r="I1403" s="5">
        <v>45967</v>
      </c>
      <c r="J1403" s="7">
        <f t="shared" si="128"/>
        <v>-2.8625718727636157E-4</v>
      </c>
      <c r="K1403" s="5">
        <v>45967</v>
      </c>
      <c r="L1403" s="8">
        <f t="shared" si="126"/>
        <v>6.2644894717656682E-4</v>
      </c>
      <c r="M1403" s="5">
        <v>45967</v>
      </c>
      <c r="N1403" s="9">
        <f t="shared" si="127"/>
        <v>3.4019175990020526E-4</v>
      </c>
      <c r="O1403" s="5">
        <v>45967</v>
      </c>
      <c r="P1403">
        <f t="shared" si="129"/>
        <v>0.99978065308913888</v>
      </c>
      <c r="Q1403" s="6">
        <f t="shared" si="130"/>
        <v>1.0002300529121697</v>
      </c>
      <c r="R1403">
        <f t="shared" si="131"/>
        <v>-4.4939742496941516E-4</v>
      </c>
      <c r="T1403" s="5">
        <v>45967</v>
      </c>
      <c r="U1403" s="1">
        <v>-4.4939742496941516E-4</v>
      </c>
    </row>
    <row r="1404" spans="3:21" x14ac:dyDescent="0.2">
      <c r="C1404" s="5">
        <v>45968</v>
      </c>
      <c r="D1404" s="6">
        <v>0.99983999999999995</v>
      </c>
      <c r="E1404" s="6">
        <v>103302.39999999999</v>
      </c>
      <c r="F1404" s="6">
        <v>103251</v>
      </c>
      <c r="G1404" s="6">
        <v>103243.46</v>
      </c>
      <c r="H1404" s="6">
        <v>103230.6</v>
      </c>
      <c r="I1404" s="5">
        <v>45968</v>
      </c>
      <c r="J1404" s="7">
        <f t="shared" si="128"/>
        <v>-6.9504677529262009E-4</v>
      </c>
      <c r="K1404" s="5">
        <v>45968</v>
      </c>
      <c r="L1404" s="8">
        <f t="shared" si="126"/>
        <v>-7.3025927109602779E-5</v>
      </c>
      <c r="M1404" s="5">
        <v>45968</v>
      </c>
      <c r="N1404" s="9">
        <f t="shared" si="127"/>
        <v>-7.6807270240222283E-4</v>
      </c>
      <c r="O1404" s="5">
        <v>45968</v>
      </c>
      <c r="P1404">
        <f t="shared" si="129"/>
        <v>0.99987544005208673</v>
      </c>
      <c r="Q1404" s="6">
        <f t="shared" si="130"/>
        <v>1.0001600256040968</v>
      </c>
      <c r="R1404">
        <f t="shared" si="131"/>
        <v>-2.8458050751340293E-4</v>
      </c>
      <c r="T1404" s="5">
        <v>45968</v>
      </c>
      <c r="U1404" s="1">
        <v>-2.8458050751340293E-4</v>
      </c>
    </row>
    <row r="1405" spans="3:21" x14ac:dyDescent="0.2">
      <c r="C1405" s="5">
        <v>45969</v>
      </c>
      <c r="D1405" s="6">
        <v>0.99983</v>
      </c>
      <c r="E1405" s="6">
        <v>102296.1</v>
      </c>
      <c r="F1405" s="6">
        <v>102249.4</v>
      </c>
      <c r="G1405" s="6">
        <v>102243.98</v>
      </c>
      <c r="H1405" s="6">
        <v>102253.3</v>
      </c>
      <c r="I1405" s="5">
        <v>45969</v>
      </c>
      <c r="J1405" s="7">
        <f t="shared" si="128"/>
        <v>-4.1839327207980468E-4</v>
      </c>
      <c r="K1405" s="5">
        <v>45969</v>
      </c>
      <c r="L1405" s="8">
        <f t="shared" si="126"/>
        <v>-5.3007646010619662E-5</v>
      </c>
      <c r="M1405" s="5">
        <v>45969</v>
      </c>
      <c r="N1405" s="9">
        <f t="shared" si="127"/>
        <v>-4.7140091809042434E-4</v>
      </c>
      <c r="O1405" s="5">
        <v>45969</v>
      </c>
      <c r="P1405">
        <f t="shared" si="129"/>
        <v>1.0000911545110041</v>
      </c>
      <c r="Q1405" s="6">
        <f t="shared" si="130"/>
        <v>1.0001700289049138</v>
      </c>
      <c r="R1405">
        <f t="shared" si="131"/>
        <v>-7.8864094953762432E-5</v>
      </c>
      <c r="T1405" s="5">
        <v>45969</v>
      </c>
      <c r="U1405" s="1">
        <v>-7.8864094953762432E-5</v>
      </c>
    </row>
    <row r="1406" spans="3:21" x14ac:dyDescent="0.2">
      <c r="C1406" s="5">
        <v>45970</v>
      </c>
      <c r="D1406" s="6">
        <v>0.99982000000000004</v>
      </c>
      <c r="E1406" s="6">
        <v>104714.6</v>
      </c>
      <c r="F1406" s="6">
        <v>104652</v>
      </c>
      <c r="G1406" s="6">
        <v>104641.01</v>
      </c>
      <c r="H1406" s="6">
        <v>104668.2</v>
      </c>
      <c r="I1406" s="5">
        <v>45970</v>
      </c>
      <c r="J1406" s="7">
        <f t="shared" si="128"/>
        <v>-4.4310917484294195E-4</v>
      </c>
      <c r="K1406" s="5">
        <v>45970</v>
      </c>
      <c r="L1406" s="8">
        <f t="shared" si="126"/>
        <v>-1.0501471543788211E-4</v>
      </c>
      <c r="M1406" s="5">
        <v>45970</v>
      </c>
      <c r="N1406" s="9">
        <f t="shared" si="127"/>
        <v>-5.4812389028082407E-4</v>
      </c>
      <c r="O1406" s="5">
        <v>45970</v>
      </c>
      <c r="P1406">
        <f t="shared" si="129"/>
        <v>1.0002598407641519</v>
      </c>
      <c r="Q1406" s="6">
        <f t="shared" si="130"/>
        <v>1.000180032405833</v>
      </c>
      <c r="R1406">
        <f t="shared" si="131"/>
        <v>7.9790809443022273E-5</v>
      </c>
      <c r="T1406" s="5">
        <v>45970</v>
      </c>
      <c r="U1406" s="1">
        <v>7.9790809443022273E-5</v>
      </c>
    </row>
    <row r="1407" spans="3:21" x14ac:dyDescent="0.2">
      <c r="C1407" s="5">
        <v>45971</v>
      </c>
      <c r="D1407" s="6">
        <v>0.99983</v>
      </c>
      <c r="E1407" s="6">
        <v>105994.5</v>
      </c>
      <c r="F1407" s="6">
        <v>105937.9</v>
      </c>
      <c r="G1407" s="6">
        <v>105939.79</v>
      </c>
      <c r="H1407" s="6">
        <v>105927</v>
      </c>
      <c r="I1407" s="5">
        <v>45971</v>
      </c>
      <c r="J1407" s="7">
        <f t="shared" si="128"/>
        <v>-6.3682549566251075E-4</v>
      </c>
      <c r="K1407" s="5">
        <v>45971</v>
      </c>
      <c r="L1407" s="8">
        <f t="shared" si="126"/>
        <v>1.784064060170551E-5</v>
      </c>
      <c r="M1407" s="5">
        <v>45971</v>
      </c>
      <c r="N1407" s="9">
        <f t="shared" si="127"/>
        <v>-6.189848550608052E-4</v>
      </c>
      <c r="O1407" s="5">
        <v>45971</v>
      </c>
      <c r="P1407">
        <f t="shared" si="129"/>
        <v>0.99987927104631791</v>
      </c>
      <c r="Q1407" s="6">
        <f t="shared" si="130"/>
        <v>1.0001700289049138</v>
      </c>
      <c r="R1407">
        <f t="shared" si="131"/>
        <v>-2.9075069364672225E-4</v>
      </c>
      <c r="T1407" s="5">
        <v>45971</v>
      </c>
      <c r="U1407" s="1">
        <v>-2.9075069364672225E-4</v>
      </c>
    </row>
    <row r="1408" spans="3:21" x14ac:dyDescent="0.2">
      <c r="C1408" s="5">
        <v>45972</v>
      </c>
      <c r="D1408" s="6">
        <v>0.99980000000000002</v>
      </c>
      <c r="E1408" s="6">
        <v>103033.60000000001</v>
      </c>
      <c r="F1408" s="6">
        <v>102974.9</v>
      </c>
      <c r="G1408" s="6">
        <v>103043.33</v>
      </c>
      <c r="H1408" s="6">
        <v>102994.7</v>
      </c>
      <c r="I1408" s="5">
        <v>45972</v>
      </c>
      <c r="J1408" s="7">
        <f t="shared" si="128"/>
        <v>-3.7754674203375143E-4</v>
      </c>
      <c r="K1408" s="5">
        <v>45972</v>
      </c>
      <c r="L1408" s="8">
        <f t="shared" si="126"/>
        <v>6.6453087111526758E-4</v>
      </c>
      <c r="M1408" s="5">
        <v>45972</v>
      </c>
      <c r="N1408" s="9">
        <f t="shared" si="127"/>
        <v>2.8698412908151615E-4</v>
      </c>
      <c r="O1408" s="5">
        <v>45972</v>
      </c>
      <c r="P1408">
        <f t="shared" si="129"/>
        <v>0.99952806261210692</v>
      </c>
      <c r="Q1408" s="6">
        <f t="shared" si="130"/>
        <v>1.0002000400080016</v>
      </c>
      <c r="R1408">
        <f t="shared" si="131"/>
        <v>-6.7206878805895019E-4</v>
      </c>
      <c r="T1408" s="5">
        <v>45972</v>
      </c>
      <c r="U1408" s="1">
        <v>-6.7206878805895019E-4</v>
      </c>
    </row>
    <row r="1409" spans="3:21" x14ac:dyDescent="0.2">
      <c r="C1409" s="5">
        <v>45973</v>
      </c>
      <c r="D1409" s="6">
        <v>0.99983</v>
      </c>
      <c r="E1409" s="6">
        <v>101650.8</v>
      </c>
      <c r="F1409" s="6">
        <v>101583.4</v>
      </c>
      <c r="G1409" s="6">
        <v>101672.37</v>
      </c>
      <c r="H1409" s="6">
        <v>101607.5</v>
      </c>
      <c r="I1409" s="5">
        <v>45973</v>
      </c>
      <c r="J1409" s="7">
        <f t="shared" si="128"/>
        <v>-4.2596811830308183E-4</v>
      </c>
      <c r="K1409" s="5">
        <v>45973</v>
      </c>
      <c r="L1409" s="8">
        <f t="shared" si="126"/>
        <v>8.7583207492563915E-4</v>
      </c>
      <c r="M1409" s="5">
        <v>45973</v>
      </c>
      <c r="N1409" s="9">
        <f t="shared" si="127"/>
        <v>4.4986395662255732E-4</v>
      </c>
      <c r="O1409" s="5">
        <v>45973</v>
      </c>
      <c r="P1409">
        <f t="shared" si="129"/>
        <v>0.99936197021865436</v>
      </c>
      <c r="Q1409" s="6">
        <f t="shared" si="130"/>
        <v>1.0001700289049138</v>
      </c>
      <c r="R1409">
        <f t="shared" si="131"/>
        <v>-8.0824786060273242E-4</v>
      </c>
      <c r="T1409" s="5">
        <v>45973</v>
      </c>
      <c r="U1409" s="1">
        <v>-8.0824786060273242E-4</v>
      </c>
    </row>
    <row r="1410" spans="3:21" x14ac:dyDescent="0.2">
      <c r="C1410" s="5">
        <v>45974</v>
      </c>
      <c r="D1410" s="6">
        <v>0.99978</v>
      </c>
      <c r="E1410" s="6">
        <v>99659.3</v>
      </c>
      <c r="F1410" s="6">
        <v>99579.6</v>
      </c>
      <c r="G1410" s="6">
        <v>99675.14</v>
      </c>
      <c r="H1410" s="6">
        <v>99622.1</v>
      </c>
      <c r="I1410" s="5">
        <v>45974</v>
      </c>
      <c r="J1410" s="7">
        <f t="shared" si="128"/>
        <v>-3.7327173680727329E-4</v>
      </c>
      <c r="K1410" s="5">
        <v>45974</v>
      </c>
      <c r="L1410" s="8">
        <f t="shared" si="126"/>
        <v>9.594334582584545E-4</v>
      </c>
      <c r="M1410" s="5">
        <v>45974</v>
      </c>
      <c r="N1410" s="9">
        <f t="shared" si="127"/>
        <v>5.8616172145118121E-4</v>
      </c>
      <c r="O1410" s="5">
        <v>45974</v>
      </c>
      <c r="P1410">
        <f t="shared" si="129"/>
        <v>0.99946787132679238</v>
      </c>
      <c r="Q1410" s="6">
        <f t="shared" si="130"/>
        <v>1.0002200484106503</v>
      </c>
      <c r="R1410">
        <f t="shared" si="131"/>
        <v>-7.5229450746597964E-4</v>
      </c>
      <c r="T1410" s="5">
        <v>45974</v>
      </c>
      <c r="U1410" s="1">
        <v>-7.5229450746597964E-4</v>
      </c>
    </row>
    <row r="1411" spans="3:21" x14ac:dyDescent="0.2">
      <c r="C1411" s="5">
        <v>45975</v>
      </c>
      <c r="D1411" s="6">
        <v>0.99983999999999995</v>
      </c>
      <c r="E1411" s="6">
        <v>94530.9</v>
      </c>
      <c r="F1411" s="6">
        <v>94457.5</v>
      </c>
      <c r="G1411" s="6">
        <v>94499.28</v>
      </c>
      <c r="H1411" s="6">
        <v>94456.2</v>
      </c>
      <c r="I1411" s="5">
        <v>45975</v>
      </c>
      <c r="J1411" s="7">
        <f t="shared" si="128"/>
        <v>-7.9021780179811148E-4</v>
      </c>
      <c r="K1411" s="5">
        <v>45975</v>
      </c>
      <c r="L1411" s="8">
        <f t="shared" si="126"/>
        <v>4.4231532699890255E-4</v>
      </c>
      <c r="M1411" s="5">
        <v>45975</v>
      </c>
      <c r="N1411" s="9">
        <f t="shared" si="127"/>
        <v>-3.4790247479920893E-4</v>
      </c>
      <c r="O1411" s="5">
        <v>45975</v>
      </c>
      <c r="P1411">
        <f t="shared" si="129"/>
        <v>0.99954412351078226</v>
      </c>
      <c r="Q1411" s="6">
        <f t="shared" si="130"/>
        <v>1.0001600256040968</v>
      </c>
      <c r="R1411">
        <f t="shared" si="131"/>
        <v>-6.1599323386149095E-4</v>
      </c>
      <c r="T1411" s="5">
        <v>45975</v>
      </c>
      <c r="U1411" s="1">
        <v>-6.1599323386149095E-4</v>
      </c>
    </row>
    <row r="1412" spans="3:21" x14ac:dyDescent="0.2">
      <c r="C1412" s="5">
        <v>45976</v>
      </c>
      <c r="D1412" s="6">
        <v>0.99983</v>
      </c>
      <c r="E1412" s="6">
        <v>95564.7</v>
      </c>
      <c r="F1412" s="6">
        <v>95495.1</v>
      </c>
      <c r="G1412" s="6">
        <v>95575.86</v>
      </c>
      <c r="H1412" s="6">
        <v>95511.2</v>
      </c>
      <c r="I1412" s="5">
        <v>45976</v>
      </c>
      <c r="J1412" s="7">
        <f t="shared" si="128"/>
        <v>-5.5983014648714434E-4</v>
      </c>
      <c r="K1412" s="5">
        <v>45976</v>
      </c>
      <c r="L1412" s="8">
        <f t="shared" si="126"/>
        <v>8.4569784208817791E-4</v>
      </c>
      <c r="M1412" s="5">
        <v>45976</v>
      </c>
      <c r="N1412" s="9">
        <f t="shared" si="127"/>
        <v>2.8586769560103357E-4</v>
      </c>
      <c r="O1412" s="5">
        <v>45976</v>
      </c>
      <c r="P1412">
        <f t="shared" si="129"/>
        <v>0.99932346933629468</v>
      </c>
      <c r="Q1412" s="6">
        <f t="shared" si="130"/>
        <v>1.0001700289049138</v>
      </c>
      <c r="R1412">
        <f t="shared" si="131"/>
        <v>-8.4677406547960384E-4</v>
      </c>
      <c r="T1412" s="5">
        <v>45976</v>
      </c>
      <c r="U1412" s="1">
        <v>-8.4677406547960384E-4</v>
      </c>
    </row>
    <row r="1413" spans="3:21" x14ac:dyDescent="0.2">
      <c r="C1413" s="5">
        <v>45977</v>
      </c>
      <c r="D1413" s="6">
        <v>0.99982000000000004</v>
      </c>
      <c r="E1413" s="6">
        <v>94214.2</v>
      </c>
      <c r="F1413" s="6">
        <v>94159.9</v>
      </c>
      <c r="G1413" s="6">
        <v>94117.89</v>
      </c>
      <c r="H1413" s="6">
        <v>94167.8</v>
      </c>
      <c r="I1413" s="5">
        <v>45977</v>
      </c>
      <c r="J1413" s="7">
        <f t="shared" si="128"/>
        <v>-4.9249476193603705E-4</v>
      </c>
      <c r="K1413" s="5">
        <v>45977</v>
      </c>
      <c r="L1413" s="8">
        <f t="shared" si="126"/>
        <v>-4.4615595386140772E-4</v>
      </c>
      <c r="M1413" s="5">
        <v>45977</v>
      </c>
      <c r="N1413" s="9">
        <f t="shared" si="127"/>
        <v>-9.3865071579744483E-4</v>
      </c>
      <c r="O1413" s="5">
        <v>45977</v>
      </c>
      <c r="P1413">
        <f t="shared" si="129"/>
        <v>1.0005302923811827</v>
      </c>
      <c r="Q1413" s="6">
        <f t="shared" si="130"/>
        <v>1.000180032405833</v>
      </c>
      <c r="R1413">
        <f t="shared" si="131"/>
        <v>3.5013562392186345E-4</v>
      </c>
      <c r="T1413" s="5">
        <v>45977</v>
      </c>
      <c r="U1413" s="1">
        <v>3.5013562392186345E-4</v>
      </c>
    </row>
    <row r="1414" spans="3:21" x14ac:dyDescent="0.2">
      <c r="C1414" s="5">
        <v>45978</v>
      </c>
      <c r="D1414" s="6">
        <v>0.99978</v>
      </c>
      <c r="E1414" s="6">
        <v>92120.9</v>
      </c>
      <c r="F1414" s="6">
        <v>92060.9</v>
      </c>
      <c r="G1414" s="6">
        <v>92006.91</v>
      </c>
      <c r="H1414" s="6">
        <v>92099.8</v>
      </c>
      <c r="I1414" s="5">
        <v>45978</v>
      </c>
      <c r="J1414" s="7">
        <f t="shared" si="128"/>
        <v>-2.2904682867830504E-4</v>
      </c>
      <c r="K1414" s="5">
        <v>45978</v>
      </c>
      <c r="L1414" s="8">
        <f t="shared" si="126"/>
        <v>-5.8645961531975782E-4</v>
      </c>
      <c r="M1414" s="5">
        <v>45978</v>
      </c>
      <c r="N1414" s="9">
        <f t="shared" si="127"/>
        <v>-8.1550644399806284E-4</v>
      </c>
      <c r="O1414" s="5">
        <v>45978</v>
      </c>
      <c r="P1414">
        <f t="shared" si="129"/>
        <v>1.0010095980834484</v>
      </c>
      <c r="Q1414" s="6">
        <f t="shared" si="130"/>
        <v>1.0002200484106503</v>
      </c>
      <c r="R1414">
        <f t="shared" si="131"/>
        <v>7.8906457851770544E-4</v>
      </c>
      <c r="T1414" s="5">
        <v>45978</v>
      </c>
      <c r="U1414" s="1">
        <v>7.8906457851770544E-4</v>
      </c>
    </row>
    <row r="1415" spans="3:21" x14ac:dyDescent="0.2">
      <c r="C1415" s="5">
        <v>45979</v>
      </c>
      <c r="D1415" s="6">
        <v>0.99978999999999996</v>
      </c>
      <c r="E1415" s="6">
        <v>92932.9</v>
      </c>
      <c r="F1415" s="6">
        <v>92877.2</v>
      </c>
      <c r="G1415" s="6">
        <v>92899.61</v>
      </c>
      <c r="H1415" s="6">
        <v>92890.6</v>
      </c>
      <c r="I1415" s="5">
        <v>45979</v>
      </c>
      <c r="J1415" s="7">
        <f t="shared" si="128"/>
        <v>-4.551671151980446E-4</v>
      </c>
      <c r="K1415" s="5">
        <v>45979</v>
      </c>
      <c r="L1415" s="8">
        <f t="shared" si="126"/>
        <v>2.4128634368826248E-4</v>
      </c>
      <c r="M1415" s="5">
        <v>45979</v>
      </c>
      <c r="N1415" s="9">
        <f t="shared" si="127"/>
        <v>-2.1388077150978212E-4</v>
      </c>
      <c r="O1415" s="5">
        <v>45979</v>
      </c>
      <c r="P1415">
        <f t="shared" si="129"/>
        <v>0.99990301358638645</v>
      </c>
      <c r="Q1415" s="6">
        <f t="shared" si="130"/>
        <v>1.000210044109263</v>
      </c>
      <c r="R1415">
        <f t="shared" si="131"/>
        <v>-3.0701317018741556E-4</v>
      </c>
      <c r="T1415" s="5">
        <v>45979</v>
      </c>
      <c r="U1415" s="1">
        <v>-3.0701317018741556E-4</v>
      </c>
    </row>
    <row r="1416" spans="3:21" x14ac:dyDescent="0.2">
      <c r="C1416" s="5">
        <v>45980</v>
      </c>
      <c r="D1416" s="6">
        <v>0.99966999999999995</v>
      </c>
      <c r="E1416" s="6">
        <v>91484.9</v>
      </c>
      <c r="F1416" s="6">
        <v>91428.4</v>
      </c>
      <c r="G1416" s="6">
        <v>91474.55</v>
      </c>
      <c r="H1416" s="6">
        <v>91456.5</v>
      </c>
      <c r="I1416" s="5">
        <v>45980</v>
      </c>
      <c r="J1416" s="7">
        <f t="shared" si="128"/>
        <v>-3.1043374371064714E-4</v>
      </c>
      <c r="K1416" s="5">
        <v>45980</v>
      </c>
      <c r="L1416" s="8">
        <f t="shared" si="126"/>
        <v>5.0476657143741694E-4</v>
      </c>
      <c r="M1416" s="5">
        <v>45980</v>
      </c>
      <c r="N1416" s="9">
        <f t="shared" si="127"/>
        <v>1.943328277267698E-4</v>
      </c>
      <c r="O1416" s="5">
        <v>45980</v>
      </c>
      <c r="P1416">
        <f t="shared" si="129"/>
        <v>0.99980267735670736</v>
      </c>
      <c r="Q1416" s="6">
        <f t="shared" si="130"/>
        <v>1.0003301089359489</v>
      </c>
      <c r="R1416">
        <f t="shared" si="131"/>
        <v>-5.2739657594877713E-4</v>
      </c>
      <c r="T1416" s="5">
        <v>45980</v>
      </c>
      <c r="U1416" s="1">
        <v>-5.2739657594877713E-4</v>
      </c>
    </row>
    <row r="1417" spans="3:21" x14ac:dyDescent="0.2">
      <c r="C1417" s="5">
        <v>45981</v>
      </c>
      <c r="D1417" s="6">
        <v>0.99970999999999999</v>
      </c>
      <c r="E1417" s="6">
        <v>86557.4</v>
      </c>
      <c r="F1417" s="6">
        <v>86488.3</v>
      </c>
      <c r="G1417" s="6">
        <v>86534.12</v>
      </c>
      <c r="H1417" s="6">
        <v>86526.5</v>
      </c>
      <c r="I1417" s="5">
        <v>45981</v>
      </c>
      <c r="J1417" s="7">
        <f t="shared" si="128"/>
        <v>-3.5698854170751644E-4</v>
      </c>
      <c r="K1417" s="5">
        <v>45981</v>
      </c>
      <c r="L1417" s="8">
        <f t="shared" si="126"/>
        <v>5.2978264112015655E-4</v>
      </c>
      <c r="M1417" s="5">
        <v>45981</v>
      </c>
      <c r="N1417" s="9">
        <f t="shared" si="127"/>
        <v>1.7279409941264011E-4</v>
      </c>
      <c r="O1417" s="5">
        <v>45981</v>
      </c>
      <c r="P1417">
        <f t="shared" si="129"/>
        <v>0.99991194224890723</v>
      </c>
      <c r="Q1417" s="6">
        <f t="shared" si="130"/>
        <v>1.000290084124396</v>
      </c>
      <c r="R1417">
        <f t="shared" si="131"/>
        <v>-3.781036865354836E-4</v>
      </c>
      <c r="T1417" s="5">
        <v>45981</v>
      </c>
      <c r="U1417" s="1">
        <v>-3.781036865354836E-4</v>
      </c>
    </row>
    <row r="1418" spans="3:21" x14ac:dyDescent="0.2">
      <c r="C1418" s="5">
        <v>45982</v>
      </c>
      <c r="D1418" s="6">
        <v>0.99968999999999997</v>
      </c>
      <c r="E1418" s="6">
        <v>85103.2</v>
      </c>
      <c r="F1418" s="6">
        <v>85035.1</v>
      </c>
      <c r="G1418" s="6">
        <v>85108.96</v>
      </c>
      <c r="H1418" s="6">
        <v>85060.1</v>
      </c>
      <c r="I1418" s="5">
        <v>45982</v>
      </c>
      <c r="J1418" s="7">
        <f t="shared" si="128"/>
        <v>-5.06443941003291E-4</v>
      </c>
      <c r="K1418" s="5">
        <v>45982</v>
      </c>
      <c r="L1418" s="8">
        <f t="shared" si="126"/>
        <v>8.6858250298994853E-4</v>
      </c>
      <c r="M1418" s="5">
        <v>45982</v>
      </c>
      <c r="N1418" s="9">
        <f t="shared" si="127"/>
        <v>3.6213856198665754E-4</v>
      </c>
      <c r="O1418" s="5">
        <v>45982</v>
      </c>
      <c r="P1418">
        <f t="shared" si="129"/>
        <v>0.99942591238337297</v>
      </c>
      <c r="Q1418" s="6">
        <f t="shared" si="130"/>
        <v>1.0003100961298004</v>
      </c>
      <c r="R1418">
        <f t="shared" si="131"/>
        <v>-8.8430052795141303E-4</v>
      </c>
      <c r="T1418" s="5">
        <v>45982</v>
      </c>
      <c r="U1418" s="1">
        <v>-8.8430052795141303E-4</v>
      </c>
    </row>
    <row r="1419" spans="3:21" x14ac:dyDescent="0.2">
      <c r="C1419" s="5">
        <v>45983</v>
      </c>
      <c r="D1419" s="6">
        <v>0.99968999999999997</v>
      </c>
      <c r="E1419" s="6">
        <v>84700.6</v>
      </c>
      <c r="F1419" s="6">
        <v>84642</v>
      </c>
      <c r="G1419" s="6">
        <v>84759.01</v>
      </c>
      <c r="H1419" s="6">
        <v>84652.800000000003</v>
      </c>
      <c r="I1419" s="5">
        <v>45983</v>
      </c>
      <c r="J1419" s="7">
        <f t="shared" si="128"/>
        <v>-5.6434074847170983E-4</v>
      </c>
      <c r="K1419" s="5">
        <v>45983</v>
      </c>
      <c r="L1419" s="8">
        <f t="shared" ref="L1419:L1482" si="132">(G1419-F1419)/F1419</f>
        <v>1.3824106235674342E-3</v>
      </c>
      <c r="M1419" s="5">
        <v>45983</v>
      </c>
      <c r="N1419" s="9">
        <f t="shared" ref="N1419:N1482" si="133">J1419+L1419</f>
        <v>8.1806987509572434E-4</v>
      </c>
      <c r="O1419" s="5">
        <v>45983</v>
      </c>
      <c r="P1419">
        <f t="shared" si="129"/>
        <v>0.99874691787929104</v>
      </c>
      <c r="Q1419" s="6">
        <f t="shared" si="130"/>
        <v>1.0003100961298004</v>
      </c>
      <c r="R1419">
        <f t="shared" si="131"/>
        <v>-1.5639159445286948E-3</v>
      </c>
      <c r="T1419" s="5">
        <v>45983</v>
      </c>
      <c r="U1419" s="1">
        <v>-1.5639159445286948E-3</v>
      </c>
    </row>
    <row r="1420" spans="3:21" x14ac:dyDescent="0.2">
      <c r="C1420" s="5">
        <v>45984</v>
      </c>
      <c r="D1420" s="6">
        <v>0.99968000000000001</v>
      </c>
      <c r="E1420" s="6">
        <v>86820.7</v>
      </c>
      <c r="F1420" s="6">
        <v>86774.9</v>
      </c>
      <c r="G1420" s="6">
        <v>86857.52</v>
      </c>
      <c r="H1420" s="6">
        <v>86797.4</v>
      </c>
      <c r="I1420" s="5">
        <v>45984</v>
      </c>
      <c r="J1420" s="7">
        <f t="shared" ref="J1420:J1483" si="134">(H1420-E1420)/E1420</f>
        <v>-2.6836917923954667E-4</v>
      </c>
      <c r="K1420" s="5">
        <v>45984</v>
      </c>
      <c r="L1420" s="8">
        <f t="shared" si="132"/>
        <v>9.5211864260298662E-4</v>
      </c>
      <c r="M1420" s="5">
        <v>45984</v>
      </c>
      <c r="N1420" s="9">
        <f t="shared" si="133"/>
        <v>6.8374946336343995E-4</v>
      </c>
      <c r="O1420" s="5">
        <v>45984</v>
      </c>
      <c r="P1420">
        <f t="shared" ref="P1420:P1483" si="135">(1/G1420)*H1420</f>
        <v>0.99930783195283479</v>
      </c>
      <c r="Q1420" s="6">
        <f t="shared" ref="Q1420:Q1483" si="136">1/D1420</f>
        <v>1.0003201024327786</v>
      </c>
      <c r="R1420">
        <f t="shared" ref="R1420:R1483" si="137">LN(P1420/Q1420)</f>
        <v>-1.0124589169892173E-3</v>
      </c>
      <c r="T1420" s="5">
        <v>45984</v>
      </c>
      <c r="U1420" s="1">
        <v>-1.0124589169892173E-3</v>
      </c>
    </row>
    <row r="1421" spans="3:21" x14ac:dyDescent="0.2">
      <c r="C1421" s="5">
        <v>45985</v>
      </c>
      <c r="D1421" s="6">
        <v>0.99973999999999996</v>
      </c>
      <c r="E1421" s="6">
        <v>88283.5</v>
      </c>
      <c r="F1421" s="6">
        <v>88230</v>
      </c>
      <c r="G1421" s="6">
        <v>88303.26</v>
      </c>
      <c r="H1421" s="6">
        <v>88281.7</v>
      </c>
      <c r="I1421" s="5">
        <v>45985</v>
      </c>
      <c r="J1421" s="7">
        <f t="shared" si="134"/>
        <v>-2.0388860885702428E-5</v>
      </c>
      <c r="K1421" s="5">
        <v>45985</v>
      </c>
      <c r="L1421" s="8">
        <f t="shared" si="132"/>
        <v>8.3032981978912795E-4</v>
      </c>
      <c r="M1421" s="5">
        <v>45985</v>
      </c>
      <c r="N1421" s="9">
        <f t="shared" si="133"/>
        <v>8.0994095890342551E-4</v>
      </c>
      <c r="O1421" s="5">
        <v>45985</v>
      </c>
      <c r="P1421">
        <f t="shared" si="135"/>
        <v>0.99975584140381679</v>
      </c>
      <c r="Q1421" s="6">
        <f t="shared" si="136"/>
        <v>1.0002600676175806</v>
      </c>
      <c r="R1421">
        <f t="shared" si="137"/>
        <v>-5.0422221360566009E-4</v>
      </c>
      <c r="T1421" s="5">
        <v>45985</v>
      </c>
      <c r="U1421" s="1">
        <v>-5.0422221360566009E-4</v>
      </c>
    </row>
    <row r="1422" spans="3:21" x14ac:dyDescent="0.2">
      <c r="C1422" s="5">
        <v>45986</v>
      </c>
      <c r="D1422" s="6">
        <v>0.99973000000000001</v>
      </c>
      <c r="E1422" s="6">
        <v>87364.2</v>
      </c>
      <c r="F1422" s="6">
        <v>87291.6</v>
      </c>
      <c r="G1422" s="6">
        <v>87368.29</v>
      </c>
      <c r="H1422" s="6">
        <v>87319.5</v>
      </c>
      <c r="I1422" s="5">
        <v>45986</v>
      </c>
      <c r="J1422" s="7">
        <f t="shared" si="134"/>
        <v>-5.1165122555917747E-4</v>
      </c>
      <c r="K1422" s="5">
        <v>45986</v>
      </c>
      <c r="L1422" s="8">
        <f t="shared" si="132"/>
        <v>8.7854959698284571E-4</v>
      </c>
      <c r="M1422" s="5">
        <v>45986</v>
      </c>
      <c r="N1422" s="9">
        <f t="shared" si="133"/>
        <v>3.6689837142366824E-4</v>
      </c>
      <c r="O1422" s="5">
        <v>45986</v>
      </c>
      <c r="P1422">
        <f t="shared" si="135"/>
        <v>0.99944155940330293</v>
      </c>
      <c r="Q1422" s="6">
        <f t="shared" si="136"/>
        <v>1.0002700729196883</v>
      </c>
      <c r="R1422">
        <f t="shared" si="137"/>
        <v>-8.2863303928475162E-4</v>
      </c>
      <c r="T1422" s="5">
        <v>45986</v>
      </c>
      <c r="U1422" s="1">
        <v>-8.2863303928475162E-4</v>
      </c>
    </row>
    <row r="1423" spans="3:21" x14ac:dyDescent="0.2">
      <c r="C1423" s="5">
        <v>45987</v>
      </c>
      <c r="D1423" s="6">
        <v>0.99968999999999997</v>
      </c>
      <c r="E1423" s="6">
        <v>90499.5</v>
      </c>
      <c r="F1423" s="6">
        <v>90440.4</v>
      </c>
      <c r="G1423" s="6">
        <v>90515.1</v>
      </c>
      <c r="H1423" s="6">
        <v>90456.1</v>
      </c>
      <c r="I1423" s="5">
        <v>45987</v>
      </c>
      <c r="J1423" s="7">
        <f t="shared" si="134"/>
        <v>-4.7956066055607134E-4</v>
      </c>
      <c r="K1423" s="5">
        <v>45987</v>
      </c>
      <c r="L1423" s="8">
        <f t="shared" si="132"/>
        <v>8.2595831066660085E-4</v>
      </c>
      <c r="M1423" s="5">
        <v>45987</v>
      </c>
      <c r="N1423" s="9">
        <f t="shared" si="133"/>
        <v>3.4639765011052951E-4</v>
      </c>
      <c r="O1423" s="5">
        <v>45987</v>
      </c>
      <c r="P1423">
        <f t="shared" si="135"/>
        <v>0.9993481750558747</v>
      </c>
      <c r="Q1423" s="6">
        <f t="shared" si="136"/>
        <v>1.0003100961298004</v>
      </c>
      <c r="R1423">
        <f t="shared" si="137"/>
        <v>-9.6208553429698209E-4</v>
      </c>
      <c r="T1423" s="5">
        <v>45987</v>
      </c>
      <c r="U1423" s="1">
        <v>-9.6208553429698209E-4</v>
      </c>
    </row>
    <row r="1424" spans="3:21" x14ac:dyDescent="0.2">
      <c r="C1424" s="5">
        <v>45988</v>
      </c>
      <c r="D1424" s="6">
        <v>0.99970999999999999</v>
      </c>
      <c r="E1424" s="6">
        <v>91345.2</v>
      </c>
      <c r="F1424" s="6">
        <v>91292.7</v>
      </c>
      <c r="G1424" s="6">
        <v>91359.31</v>
      </c>
      <c r="H1424" s="6">
        <v>91296.3</v>
      </c>
      <c r="I1424" s="5">
        <v>45988</v>
      </c>
      <c r="J1424" s="7">
        <f t="shared" si="134"/>
        <v>-5.3533190578152086E-4</v>
      </c>
      <c r="K1424" s="5">
        <v>45988</v>
      </c>
      <c r="L1424" s="8">
        <f t="shared" si="132"/>
        <v>7.2963117532946862E-4</v>
      </c>
      <c r="M1424" s="5">
        <v>45988</v>
      </c>
      <c r="N1424" s="9">
        <f t="shared" si="133"/>
        <v>1.9429926954794776E-4</v>
      </c>
      <c r="O1424" s="5">
        <v>45988</v>
      </c>
      <c r="P1424">
        <f t="shared" si="135"/>
        <v>0.99931030564919998</v>
      </c>
      <c r="Q1424" s="6">
        <f t="shared" si="136"/>
        <v>1.000290084124396</v>
      </c>
      <c r="R1424">
        <f t="shared" si="137"/>
        <v>-9.7997435749429848E-4</v>
      </c>
      <c r="T1424" s="5">
        <v>45988</v>
      </c>
      <c r="U1424" s="1">
        <v>-9.7997435749429848E-4</v>
      </c>
    </row>
    <row r="1425" spans="3:21" x14ac:dyDescent="0.2">
      <c r="C1425" s="5">
        <v>45989</v>
      </c>
      <c r="D1425" s="6">
        <v>0.99977000000000005</v>
      </c>
      <c r="E1425" s="6">
        <v>90931.3</v>
      </c>
      <c r="F1425" s="6">
        <v>90868.2</v>
      </c>
      <c r="G1425" s="6">
        <v>90955.98</v>
      </c>
      <c r="H1425" s="6">
        <v>90882.5</v>
      </c>
      <c r="I1425" s="5">
        <v>45989</v>
      </c>
      <c r="J1425" s="7">
        <f t="shared" si="134"/>
        <v>-5.3666889178976781E-4</v>
      </c>
      <c r="K1425" s="5">
        <v>45989</v>
      </c>
      <c r="L1425" s="8">
        <f t="shared" si="132"/>
        <v>9.6601451332808215E-4</v>
      </c>
      <c r="M1425" s="5">
        <v>45989</v>
      </c>
      <c r="N1425" s="9">
        <f t="shared" si="133"/>
        <v>4.2934562153831434E-4</v>
      </c>
      <c r="O1425" s="5">
        <v>45989</v>
      </c>
      <c r="P1425">
        <f t="shared" si="135"/>
        <v>0.99919213667974338</v>
      </c>
      <c r="Q1425" s="6">
        <f t="shared" si="136"/>
        <v>1.0002300529121697</v>
      </c>
      <c r="R1425">
        <f t="shared" si="137"/>
        <v>-1.038216271740432E-3</v>
      </c>
      <c r="T1425" s="5">
        <v>45989</v>
      </c>
      <c r="U1425" s="1">
        <v>-1.038216271740432E-3</v>
      </c>
    </row>
    <row r="1426" spans="3:21" x14ac:dyDescent="0.2">
      <c r="C1426" s="5">
        <v>45990</v>
      </c>
      <c r="D1426" s="6">
        <v>0.99980000000000002</v>
      </c>
      <c r="E1426" s="6">
        <v>90847.8</v>
      </c>
      <c r="F1426" s="6">
        <v>90791.4</v>
      </c>
      <c r="G1426" s="6">
        <v>90906.28</v>
      </c>
      <c r="H1426" s="6">
        <v>90800</v>
      </c>
      <c r="I1426" s="5">
        <v>45990</v>
      </c>
      <c r="J1426" s="7">
        <f t="shared" si="134"/>
        <v>-5.2615473352137215E-4</v>
      </c>
      <c r="K1426" s="5">
        <v>45990</v>
      </c>
      <c r="L1426" s="8">
        <f t="shared" si="132"/>
        <v>1.2653180807874387E-3</v>
      </c>
      <c r="M1426" s="5">
        <v>45990</v>
      </c>
      <c r="N1426" s="9">
        <f t="shared" si="133"/>
        <v>7.3916334726606653E-4</v>
      </c>
      <c r="O1426" s="5">
        <v>45990</v>
      </c>
      <c r="P1426">
        <f t="shared" si="135"/>
        <v>0.99883088385092866</v>
      </c>
      <c r="Q1426" s="6">
        <f t="shared" si="136"/>
        <v>1.0002000400080016</v>
      </c>
      <c r="R1426">
        <f t="shared" si="137"/>
        <v>-1.369820101152821E-3</v>
      </c>
      <c r="T1426" s="5">
        <v>45990</v>
      </c>
      <c r="U1426" s="1">
        <v>-1.369820101152821E-3</v>
      </c>
    </row>
    <row r="1427" spans="3:21" x14ac:dyDescent="0.2">
      <c r="C1427" s="5">
        <v>45991</v>
      </c>
      <c r="D1427" s="6">
        <v>0.99980000000000002</v>
      </c>
      <c r="E1427" s="6">
        <v>90376.4</v>
      </c>
      <c r="F1427" s="6">
        <v>90329.3</v>
      </c>
      <c r="G1427" s="6">
        <v>90408.56</v>
      </c>
      <c r="H1427" s="6">
        <v>90338</v>
      </c>
      <c r="I1427" s="5">
        <v>45991</v>
      </c>
      <c r="J1427" s="7">
        <f t="shared" si="134"/>
        <v>-4.2488968358989938E-4</v>
      </c>
      <c r="K1427" s="5">
        <v>45991</v>
      </c>
      <c r="L1427" s="8">
        <f t="shared" si="132"/>
        <v>8.7745615210119816E-4</v>
      </c>
      <c r="M1427" s="5">
        <v>45991</v>
      </c>
      <c r="N1427" s="9">
        <f t="shared" si="133"/>
        <v>4.5256646851129877E-4</v>
      </c>
      <c r="O1427" s="5">
        <v>45991</v>
      </c>
      <c r="P1427">
        <f t="shared" si="135"/>
        <v>0.999219542928236</v>
      </c>
      <c r="Q1427" s="6">
        <f t="shared" si="136"/>
        <v>1.0002000400080016</v>
      </c>
      <c r="R1427">
        <f t="shared" si="137"/>
        <v>-9.8078178960653512E-4</v>
      </c>
      <c r="T1427" s="5">
        <v>45991</v>
      </c>
      <c r="U1427" s="1">
        <v>-9.8078178960653512E-4</v>
      </c>
    </row>
    <row r="1428" spans="3:21" x14ac:dyDescent="0.2">
      <c r="C1428" s="5">
        <v>45992</v>
      </c>
      <c r="D1428" s="6">
        <v>0.99978999999999996</v>
      </c>
      <c r="E1428" s="6">
        <v>86319.6</v>
      </c>
      <c r="F1428" s="6">
        <v>86268.2</v>
      </c>
      <c r="G1428" s="6">
        <v>86295.35</v>
      </c>
      <c r="H1428" s="6">
        <v>86279.3</v>
      </c>
      <c r="I1428" s="5">
        <v>45992</v>
      </c>
      <c r="J1428" s="7">
        <f t="shared" si="134"/>
        <v>-4.6686963331622142E-4</v>
      </c>
      <c r="K1428" s="5">
        <v>45992</v>
      </c>
      <c r="L1428" s="8">
        <f t="shared" si="132"/>
        <v>3.1471619901665655E-4</v>
      </c>
      <c r="M1428" s="5">
        <v>45992</v>
      </c>
      <c r="N1428" s="9">
        <f t="shared" si="133"/>
        <v>-1.5215343429956488E-4</v>
      </c>
      <c r="O1428" s="5">
        <v>45992</v>
      </c>
      <c r="P1428">
        <f t="shared" si="135"/>
        <v>0.99981401083604149</v>
      </c>
      <c r="Q1428" s="6">
        <f t="shared" si="136"/>
        <v>1.000210044109263</v>
      </c>
      <c r="R1428">
        <f t="shared" si="137"/>
        <v>-3.9602851517540422E-4</v>
      </c>
      <c r="T1428" s="5">
        <v>45992</v>
      </c>
      <c r="U1428" s="1">
        <v>-3.9602851517540422E-4</v>
      </c>
    </row>
    <row r="1429" spans="3:21" x14ac:dyDescent="0.2">
      <c r="C1429" s="5">
        <v>45993</v>
      </c>
      <c r="D1429" s="6">
        <v>0.99983999999999995</v>
      </c>
      <c r="E1429" s="6">
        <v>91337</v>
      </c>
      <c r="F1429" s="6">
        <v>91285</v>
      </c>
      <c r="G1429" s="6">
        <v>91301.78</v>
      </c>
      <c r="H1429" s="6">
        <v>91285</v>
      </c>
      <c r="I1429" s="5">
        <v>45993</v>
      </c>
      <c r="J1429" s="7">
        <f t="shared" si="134"/>
        <v>-5.6932020977260034E-4</v>
      </c>
      <c r="K1429" s="5">
        <v>45993</v>
      </c>
      <c r="L1429" s="8">
        <f t="shared" si="132"/>
        <v>1.8381990469407719E-4</v>
      </c>
      <c r="M1429" s="5">
        <v>45993</v>
      </c>
      <c r="N1429" s="9">
        <f t="shared" si="133"/>
        <v>-3.8550030507852315E-4</v>
      </c>
      <c r="O1429" s="5">
        <v>45993</v>
      </c>
      <c r="P1429">
        <f t="shared" si="135"/>
        <v>0.99981621387885322</v>
      </c>
      <c r="Q1429" s="6">
        <f t="shared" si="136"/>
        <v>1.0001600256040968</v>
      </c>
      <c r="R1429">
        <f t="shared" si="137"/>
        <v>-3.4381581325116913E-4</v>
      </c>
      <c r="T1429" s="5">
        <v>45993</v>
      </c>
      <c r="U1429" s="1">
        <v>-3.4381581325116913E-4</v>
      </c>
    </row>
    <row r="1430" spans="3:21" x14ac:dyDescent="0.2">
      <c r="C1430" s="5">
        <v>45994</v>
      </c>
      <c r="D1430" s="6">
        <v>0.99988999999999995</v>
      </c>
      <c r="E1430" s="6">
        <v>93472.4</v>
      </c>
      <c r="F1430" s="6">
        <v>93412</v>
      </c>
      <c r="G1430" s="6">
        <v>93450.14</v>
      </c>
      <c r="H1430" s="6">
        <v>93431.9</v>
      </c>
      <c r="I1430" s="5">
        <v>45994</v>
      </c>
      <c r="J1430" s="7">
        <f t="shared" si="134"/>
        <v>-4.3328297978868633E-4</v>
      </c>
      <c r="K1430" s="5">
        <v>45994</v>
      </c>
      <c r="L1430" s="8">
        <f t="shared" si="132"/>
        <v>4.0829871965057397E-4</v>
      </c>
      <c r="M1430" s="5">
        <v>45994</v>
      </c>
      <c r="N1430" s="9">
        <f t="shared" si="133"/>
        <v>-2.4984260138112362E-5</v>
      </c>
      <c r="O1430" s="5">
        <v>45994</v>
      </c>
      <c r="P1430">
        <f t="shared" si="135"/>
        <v>0.99980481570172075</v>
      </c>
      <c r="Q1430" s="6">
        <f t="shared" si="136"/>
        <v>1.0001100121013311</v>
      </c>
      <c r="R1430">
        <f t="shared" si="137"/>
        <v>-3.0520939965707498E-4</v>
      </c>
      <c r="T1430" s="5">
        <v>45994</v>
      </c>
      <c r="U1430" s="1">
        <v>-3.0520939965707498E-4</v>
      </c>
    </row>
    <row r="1431" spans="3:21" x14ac:dyDescent="0.2">
      <c r="C1431" s="5">
        <v>45995</v>
      </c>
      <c r="D1431" s="6">
        <v>0.99990000000000001</v>
      </c>
      <c r="E1431" s="6">
        <v>92112.9</v>
      </c>
      <c r="F1431" s="6">
        <v>92055.2</v>
      </c>
      <c r="G1431" s="6">
        <v>92409.95</v>
      </c>
      <c r="H1431" s="6">
        <v>92072.9</v>
      </c>
      <c r="I1431" s="5">
        <v>45995</v>
      </c>
      <c r="J1431" s="7">
        <f t="shared" si="134"/>
        <v>-4.3424970878128908E-4</v>
      </c>
      <c r="K1431" s="5">
        <v>45995</v>
      </c>
      <c r="L1431" s="8">
        <f t="shared" si="132"/>
        <v>3.8536660612328256E-3</v>
      </c>
      <c r="M1431" s="5">
        <v>45995</v>
      </c>
      <c r="N1431" s="9">
        <f t="shared" si="133"/>
        <v>3.4194163524515365E-3</v>
      </c>
      <c r="O1431" s="5">
        <v>45995</v>
      </c>
      <c r="P1431">
        <f t="shared" si="135"/>
        <v>0.99635266548677925</v>
      </c>
      <c r="Q1431" s="6">
        <f t="shared" si="136"/>
        <v>1.000100010001</v>
      </c>
      <c r="R1431">
        <f t="shared" si="137"/>
        <v>-3.7540072560085509E-3</v>
      </c>
      <c r="T1431" s="5">
        <v>45995</v>
      </c>
      <c r="U1431" s="1">
        <v>-3.7540072560085509E-3</v>
      </c>
    </row>
    <row r="1432" spans="3:21" x14ac:dyDescent="0.2">
      <c r="C1432" s="5">
        <v>45996</v>
      </c>
      <c r="D1432" s="6">
        <v>0.99988999999999995</v>
      </c>
      <c r="E1432" s="6">
        <v>89374.7</v>
      </c>
      <c r="F1432" s="6">
        <v>89309.2</v>
      </c>
      <c r="G1432" s="6">
        <v>89307.57</v>
      </c>
      <c r="H1432" s="6">
        <v>89302.7</v>
      </c>
      <c r="I1432" s="5">
        <v>45996</v>
      </c>
      <c r="J1432" s="7">
        <f t="shared" si="134"/>
        <v>-8.05597109696592E-4</v>
      </c>
      <c r="K1432" s="5">
        <v>45996</v>
      </c>
      <c r="L1432" s="8">
        <f t="shared" si="132"/>
        <v>-1.8251199204450436E-5</v>
      </c>
      <c r="M1432" s="5">
        <v>45996</v>
      </c>
      <c r="N1432" s="9">
        <f t="shared" si="133"/>
        <v>-8.238483089010424E-4</v>
      </c>
      <c r="O1432" s="5">
        <v>45996</v>
      </c>
      <c r="P1432">
        <f t="shared" si="135"/>
        <v>0.99994546934823092</v>
      </c>
      <c r="Q1432" s="6">
        <f t="shared" si="136"/>
        <v>1.0001100121013311</v>
      </c>
      <c r="R1432">
        <f t="shared" si="137"/>
        <v>-1.6453818906277736E-4</v>
      </c>
      <c r="T1432" s="5">
        <v>45996</v>
      </c>
      <c r="U1432" s="1">
        <v>-1.6453818906277736E-4</v>
      </c>
    </row>
    <row r="1433" spans="3:21" x14ac:dyDescent="0.2">
      <c r="C1433" s="5">
        <v>45997</v>
      </c>
      <c r="D1433" s="6">
        <v>0.99988999999999995</v>
      </c>
      <c r="E1433" s="6">
        <v>89259.8</v>
      </c>
      <c r="F1433" s="6">
        <v>89206.399999999994</v>
      </c>
      <c r="G1433" s="6">
        <v>89253.49</v>
      </c>
      <c r="H1433" s="6">
        <v>89185.4</v>
      </c>
      <c r="I1433" s="5">
        <v>45997</v>
      </c>
      <c r="J1433" s="7">
        <f t="shared" si="134"/>
        <v>-8.3352192140256562E-4</v>
      </c>
      <c r="K1433" s="5">
        <v>45997</v>
      </c>
      <c r="L1433" s="8">
        <f t="shared" si="132"/>
        <v>5.2787692362892197E-4</v>
      </c>
      <c r="M1433" s="5">
        <v>45997</v>
      </c>
      <c r="N1433" s="9">
        <f t="shared" si="133"/>
        <v>-3.0564499777364364E-4</v>
      </c>
      <c r="O1433" s="5">
        <v>45997</v>
      </c>
      <c r="P1433">
        <f t="shared" si="135"/>
        <v>0.99923711666625015</v>
      </c>
      <c r="Q1433" s="6">
        <f t="shared" si="136"/>
        <v>1.0001100121013311</v>
      </c>
      <c r="R1433">
        <f t="shared" si="137"/>
        <v>-8.7318052776581227E-4</v>
      </c>
      <c r="T1433" s="5">
        <v>45997</v>
      </c>
      <c r="U1433" s="1">
        <v>-8.7318052776581227E-4</v>
      </c>
    </row>
    <row r="1434" spans="3:21" x14ac:dyDescent="0.2">
      <c r="C1434" s="5">
        <v>45998</v>
      </c>
      <c r="D1434" s="6">
        <v>0.99988999999999995</v>
      </c>
      <c r="E1434" s="6">
        <v>90426.9</v>
      </c>
      <c r="F1434" s="6">
        <v>90364.6</v>
      </c>
      <c r="G1434" s="6">
        <v>90350</v>
      </c>
      <c r="H1434" s="6">
        <v>90373.8</v>
      </c>
      <c r="I1434" s="5">
        <v>45998</v>
      </c>
      <c r="J1434" s="7">
        <f t="shared" si="134"/>
        <v>-5.8721464519950674E-4</v>
      </c>
      <c r="K1434" s="5">
        <v>45998</v>
      </c>
      <c r="L1434" s="8">
        <f t="shared" si="132"/>
        <v>-1.6156769354377511E-4</v>
      </c>
      <c r="M1434" s="5">
        <v>45998</v>
      </c>
      <c r="N1434" s="9">
        <f t="shared" si="133"/>
        <v>-7.4878233874328183E-4</v>
      </c>
      <c r="O1434" s="5">
        <v>45998</v>
      </c>
      <c r="P1434">
        <f t="shared" si="135"/>
        <v>1.0002634200332041</v>
      </c>
      <c r="Q1434" s="6">
        <f t="shared" si="136"/>
        <v>1.0001100121013311</v>
      </c>
      <c r="R1434">
        <f t="shared" si="137"/>
        <v>1.5337929379512154E-4</v>
      </c>
      <c r="T1434" s="5">
        <v>45998</v>
      </c>
      <c r="U1434" s="1">
        <v>1.5337929379512154E-4</v>
      </c>
    </row>
    <row r="1435" spans="3:21" x14ac:dyDescent="0.2">
      <c r="C1435" s="5">
        <v>45999</v>
      </c>
      <c r="D1435" s="6">
        <v>0.99985000000000002</v>
      </c>
      <c r="E1435" s="6">
        <v>90656.8</v>
      </c>
      <c r="F1435" s="6">
        <v>90613.2</v>
      </c>
      <c r="G1435" s="6">
        <v>90692.04</v>
      </c>
      <c r="H1435" s="6">
        <v>90600.5</v>
      </c>
      <c r="I1435" s="5">
        <v>45999</v>
      </c>
      <c r="J1435" s="7">
        <f t="shared" si="134"/>
        <v>-6.2102346431820786E-4</v>
      </c>
      <c r="K1435" s="5">
        <v>45999</v>
      </c>
      <c r="L1435" s="8">
        <f t="shared" si="132"/>
        <v>8.7007191005280149E-4</v>
      </c>
      <c r="M1435" s="5">
        <v>45999</v>
      </c>
      <c r="N1435" s="9">
        <f t="shared" si="133"/>
        <v>2.4904844573459364E-4</v>
      </c>
      <c r="O1435" s="5">
        <v>45999</v>
      </c>
      <c r="P1435">
        <f t="shared" si="135"/>
        <v>0.99899065011659238</v>
      </c>
      <c r="Q1435" s="6">
        <f t="shared" si="136"/>
        <v>1.0001500225033755</v>
      </c>
      <c r="R1435">
        <f t="shared" si="137"/>
        <v>-1.1598708711568562E-3</v>
      </c>
      <c r="T1435" s="5">
        <v>45999</v>
      </c>
      <c r="U1435" s="1">
        <v>-1.1598708711568562E-3</v>
      </c>
    </row>
    <row r="1436" spans="3:21" x14ac:dyDescent="0.2">
      <c r="C1436" s="5">
        <v>46000</v>
      </c>
      <c r="D1436" s="6">
        <v>0.99988999999999995</v>
      </c>
      <c r="E1436" s="6">
        <v>92713.4</v>
      </c>
      <c r="F1436" s="6">
        <v>92662.7</v>
      </c>
      <c r="G1436" s="6">
        <v>92701.440000000002</v>
      </c>
      <c r="H1436" s="6">
        <v>92655.4</v>
      </c>
      <c r="I1436" s="5">
        <v>46000</v>
      </c>
      <c r="J1436" s="7">
        <f t="shared" si="134"/>
        <v>-6.2558378831970355E-4</v>
      </c>
      <c r="K1436" s="5">
        <v>46000</v>
      </c>
      <c r="L1436" s="8">
        <f t="shared" si="132"/>
        <v>4.1807544999234038E-4</v>
      </c>
      <c r="M1436" s="5">
        <v>46000</v>
      </c>
      <c r="N1436" s="9">
        <f t="shared" si="133"/>
        <v>-2.0750833832736316E-4</v>
      </c>
      <c r="O1436" s="5">
        <v>46000</v>
      </c>
      <c r="P1436">
        <f t="shared" si="135"/>
        <v>0.99950335183574268</v>
      </c>
      <c r="Q1436" s="6">
        <f t="shared" si="136"/>
        <v>1.0001100121013311</v>
      </c>
      <c r="R1436">
        <f t="shared" si="137"/>
        <v>-6.0677758525005141E-4</v>
      </c>
      <c r="T1436" s="5">
        <v>46000</v>
      </c>
      <c r="U1436" s="1">
        <v>-6.0677758525005141E-4</v>
      </c>
    </row>
    <row r="1437" spans="3:21" x14ac:dyDescent="0.2">
      <c r="C1437" s="5">
        <v>46001</v>
      </c>
      <c r="D1437" s="6">
        <v>0.99983999999999995</v>
      </c>
      <c r="E1437" s="6">
        <v>92052.2</v>
      </c>
      <c r="F1437" s="6">
        <v>91996.1</v>
      </c>
      <c r="G1437" s="6">
        <v>92001.59</v>
      </c>
      <c r="H1437" s="6">
        <v>91963.3</v>
      </c>
      <c r="I1437" s="5">
        <v>46001</v>
      </c>
      <c r="J1437" s="7">
        <f t="shared" si="134"/>
        <v>-9.6575638605046028E-4</v>
      </c>
      <c r="K1437" s="5">
        <v>46001</v>
      </c>
      <c r="L1437" s="8">
        <f t="shared" si="132"/>
        <v>5.9676442805626397E-5</v>
      </c>
      <c r="M1437" s="5">
        <v>46001</v>
      </c>
      <c r="N1437" s="9">
        <f t="shared" si="133"/>
        <v>-9.0607994324483387E-4</v>
      </c>
      <c r="O1437" s="5">
        <v>46001</v>
      </c>
      <c r="P1437">
        <f t="shared" si="135"/>
        <v>0.99958381154064846</v>
      </c>
      <c r="Q1437" s="6">
        <f t="shared" si="136"/>
        <v>1.0001600256040968</v>
      </c>
      <c r="R1437">
        <f t="shared" si="137"/>
        <v>-5.7628789117127131E-4</v>
      </c>
      <c r="T1437" s="5">
        <v>46001</v>
      </c>
      <c r="U1437" s="1">
        <v>-5.7628789117127131E-4</v>
      </c>
    </row>
    <row r="1438" spans="3:21" x14ac:dyDescent="0.2">
      <c r="C1438" s="5">
        <v>46002</v>
      </c>
      <c r="D1438" s="6">
        <v>0.99980999999999998</v>
      </c>
      <c r="E1438" s="6">
        <v>92550.5</v>
      </c>
      <c r="F1438" s="6">
        <v>92505.2</v>
      </c>
      <c r="G1438" s="6">
        <v>92530.57</v>
      </c>
      <c r="H1438" s="6">
        <v>92477</v>
      </c>
      <c r="I1438" s="5">
        <v>46002</v>
      </c>
      <c r="J1438" s="7">
        <f t="shared" si="134"/>
        <v>-7.941610256022388E-4</v>
      </c>
      <c r="K1438" s="5">
        <v>46002</v>
      </c>
      <c r="L1438" s="8">
        <f t="shared" si="132"/>
        <v>2.7425485270027951E-4</v>
      </c>
      <c r="M1438" s="5">
        <v>46002</v>
      </c>
      <c r="N1438" s="9">
        <f t="shared" si="133"/>
        <v>-5.1990617290195934E-4</v>
      </c>
      <c r="O1438" s="5">
        <v>46002</v>
      </c>
      <c r="P1438">
        <f t="shared" si="135"/>
        <v>0.99942105619796773</v>
      </c>
      <c r="Q1438" s="6">
        <f t="shared" si="136"/>
        <v>1.0001900361068603</v>
      </c>
      <c r="R1438">
        <f t="shared" si="137"/>
        <v>-7.6912950699264211E-4</v>
      </c>
      <c r="T1438" s="5">
        <v>46002</v>
      </c>
      <c r="U1438" s="1">
        <v>-7.6912950699264211E-4</v>
      </c>
    </row>
    <row r="1439" spans="3:21" x14ac:dyDescent="0.2">
      <c r="C1439" s="5">
        <v>46003</v>
      </c>
      <c r="D1439" s="6">
        <v>0.99987000000000004</v>
      </c>
      <c r="E1439" s="6">
        <v>90279.9</v>
      </c>
      <c r="F1439" s="6">
        <v>90230</v>
      </c>
      <c r="G1439" s="6">
        <v>90335.84</v>
      </c>
      <c r="H1439" s="6">
        <v>90215.9</v>
      </c>
      <c r="I1439" s="5">
        <v>46003</v>
      </c>
      <c r="J1439" s="7">
        <f t="shared" si="134"/>
        <v>-7.0890641216926479E-4</v>
      </c>
      <c r="K1439" s="5">
        <v>46003</v>
      </c>
      <c r="L1439" s="8">
        <f t="shared" si="132"/>
        <v>1.1730023273855315E-3</v>
      </c>
      <c r="M1439" s="5">
        <v>46003</v>
      </c>
      <c r="N1439" s="9">
        <f t="shared" si="133"/>
        <v>4.6409591521626669E-4</v>
      </c>
      <c r="O1439" s="5">
        <v>46003</v>
      </c>
      <c r="P1439">
        <f t="shared" si="135"/>
        <v>0.99867228776529893</v>
      </c>
      <c r="Q1439" s="6">
        <f t="shared" si="136"/>
        <v>1.0001300169021972</v>
      </c>
      <c r="R1439">
        <f t="shared" si="137"/>
        <v>-1.4586028762726578E-3</v>
      </c>
      <c r="T1439" s="5">
        <v>46003</v>
      </c>
      <c r="U1439" s="1">
        <v>-1.4586028762726578E-3</v>
      </c>
    </row>
    <row r="1440" spans="3:21" x14ac:dyDescent="0.2">
      <c r="C1440" s="5">
        <v>46004</v>
      </c>
      <c r="D1440" s="6">
        <v>0.99980999999999998</v>
      </c>
      <c r="E1440" s="6">
        <v>90267.4</v>
      </c>
      <c r="F1440" s="6">
        <v>90225.5</v>
      </c>
      <c r="G1440" s="6">
        <v>90250.15</v>
      </c>
      <c r="H1440" s="6">
        <v>90226.3</v>
      </c>
      <c r="I1440" s="5">
        <v>46004</v>
      </c>
      <c r="J1440" s="7">
        <f t="shared" si="134"/>
        <v>-4.5531387854298754E-4</v>
      </c>
      <c r="K1440" s="5">
        <v>46004</v>
      </c>
      <c r="L1440" s="8">
        <f t="shared" si="132"/>
        <v>2.7320436018635728E-4</v>
      </c>
      <c r="M1440" s="5">
        <v>46004</v>
      </c>
      <c r="N1440" s="9">
        <f t="shared" si="133"/>
        <v>-1.8210951835663026E-4</v>
      </c>
      <c r="O1440" s="5">
        <v>46004</v>
      </c>
      <c r="P1440">
        <f t="shared" si="135"/>
        <v>0.99973573451124464</v>
      </c>
      <c r="Q1440" s="6">
        <f t="shared" si="136"/>
        <v>1.0001900361068603</v>
      </c>
      <c r="R1440">
        <f t="shared" si="137"/>
        <v>-4.5431846531925014E-4</v>
      </c>
      <c r="T1440" s="5">
        <v>46004</v>
      </c>
      <c r="U1440" s="1">
        <v>-4.5431846531925014E-4</v>
      </c>
    </row>
    <row r="1441" spans="3:21" x14ac:dyDescent="0.2">
      <c r="C1441" s="5">
        <v>46005</v>
      </c>
      <c r="D1441" s="6">
        <v>0.99982000000000004</v>
      </c>
      <c r="E1441" s="6">
        <v>88171</v>
      </c>
      <c r="F1441" s="6">
        <v>88121.600000000006</v>
      </c>
      <c r="G1441" s="6">
        <v>88200.76</v>
      </c>
      <c r="H1441" s="6">
        <v>88135.7</v>
      </c>
      <c r="I1441" s="5">
        <v>46005</v>
      </c>
      <c r="J1441" s="7">
        <f t="shared" si="134"/>
        <v>-4.0035839448347997E-4</v>
      </c>
      <c r="K1441" s="5">
        <v>46005</v>
      </c>
      <c r="L1441" s="8">
        <f t="shared" si="132"/>
        <v>8.9830416152213459E-4</v>
      </c>
      <c r="M1441" s="5">
        <v>46005</v>
      </c>
      <c r="N1441" s="9">
        <f t="shared" si="133"/>
        <v>4.9794576703865467E-4</v>
      </c>
      <c r="O1441" s="5">
        <v>46005</v>
      </c>
      <c r="P1441">
        <f t="shared" si="135"/>
        <v>0.9992623646326857</v>
      </c>
      <c r="Q1441" s="6">
        <f t="shared" si="136"/>
        <v>1.000180032405833</v>
      </c>
      <c r="R1441">
        <f t="shared" si="137"/>
        <v>-9.1792375608401307E-4</v>
      </c>
      <c r="T1441" s="5">
        <v>46005</v>
      </c>
      <c r="U1441" s="1">
        <v>-9.1792375608401307E-4</v>
      </c>
    </row>
    <row r="1442" spans="3:21" x14ac:dyDescent="0.2">
      <c r="C1442" s="5">
        <v>46006</v>
      </c>
      <c r="D1442" s="6">
        <v>0.99982000000000004</v>
      </c>
      <c r="E1442" s="6">
        <v>86429.6</v>
      </c>
      <c r="F1442" s="6">
        <v>86378.3</v>
      </c>
      <c r="G1442" s="6">
        <v>86480.75</v>
      </c>
      <c r="H1442" s="6">
        <v>86372</v>
      </c>
      <c r="I1442" s="5">
        <v>46006</v>
      </c>
      <c r="J1442" s="7">
        <f t="shared" si="134"/>
        <v>-6.6643834982466445E-4</v>
      </c>
      <c r="K1442" s="5">
        <v>46006</v>
      </c>
      <c r="L1442" s="8">
        <f t="shared" si="132"/>
        <v>1.1860617770898141E-3</v>
      </c>
      <c r="M1442" s="5">
        <v>46006</v>
      </c>
      <c r="N1442" s="9">
        <f t="shared" si="133"/>
        <v>5.1962342726514967E-4</v>
      </c>
      <c r="O1442" s="5">
        <v>46006</v>
      </c>
      <c r="P1442">
        <f t="shared" si="135"/>
        <v>0.99874249471703236</v>
      </c>
      <c r="Q1442" s="6">
        <f t="shared" si="136"/>
        <v>1.000180032405833</v>
      </c>
      <c r="R1442">
        <f t="shared" si="137"/>
        <v>-1.4383128081451554E-3</v>
      </c>
      <c r="T1442" s="5">
        <v>46006</v>
      </c>
      <c r="U1442" s="1">
        <v>-1.4383128081451554E-3</v>
      </c>
    </row>
    <row r="1443" spans="3:21" x14ac:dyDescent="0.2">
      <c r="C1443" s="5">
        <v>46007</v>
      </c>
      <c r="D1443" s="6">
        <v>0.99982000000000004</v>
      </c>
      <c r="E1443" s="6">
        <v>87852.4</v>
      </c>
      <c r="F1443" s="6">
        <v>87806</v>
      </c>
      <c r="G1443" s="6">
        <v>87846.93</v>
      </c>
      <c r="H1443" s="6">
        <v>87812.4</v>
      </c>
      <c r="I1443" s="5">
        <v>46007</v>
      </c>
      <c r="J1443" s="7">
        <f t="shared" si="134"/>
        <v>-4.5530913213526328E-4</v>
      </c>
      <c r="K1443" s="5">
        <v>46007</v>
      </c>
      <c r="L1443" s="8">
        <f t="shared" si="132"/>
        <v>4.6614126597263302E-4</v>
      </c>
      <c r="M1443" s="5">
        <v>46007</v>
      </c>
      <c r="N1443" s="9">
        <f t="shared" si="133"/>
        <v>1.0832133837369742E-5</v>
      </c>
      <c r="O1443" s="5">
        <v>46007</v>
      </c>
      <c r="P1443">
        <f t="shared" si="135"/>
        <v>0.99960692991775579</v>
      </c>
      <c r="Q1443" s="6">
        <f t="shared" si="136"/>
        <v>1.000180032405833</v>
      </c>
      <c r="R1443">
        <f t="shared" si="137"/>
        <v>-5.7316355648274575E-4</v>
      </c>
      <c r="T1443" s="5">
        <v>46007</v>
      </c>
      <c r="U1443" s="1">
        <v>-5.7316355648274575E-4</v>
      </c>
    </row>
    <row r="1444" spans="3:21" x14ac:dyDescent="0.2">
      <c r="C1444" s="5">
        <v>46008</v>
      </c>
      <c r="D1444" s="6">
        <v>0.99987999999999999</v>
      </c>
      <c r="E1444" s="6">
        <v>86220.800000000003</v>
      </c>
      <c r="F1444" s="6">
        <v>86171.4</v>
      </c>
      <c r="G1444" s="6">
        <v>86000</v>
      </c>
      <c r="H1444" s="6">
        <v>86180</v>
      </c>
      <c r="I1444" s="5">
        <v>46008</v>
      </c>
      <c r="J1444" s="7">
        <f t="shared" si="134"/>
        <v>-4.732036817102475E-4</v>
      </c>
      <c r="K1444" s="5">
        <v>46008</v>
      </c>
      <c r="L1444" s="8">
        <f t="shared" si="132"/>
        <v>-1.9890590149399244E-3</v>
      </c>
      <c r="M1444" s="5">
        <v>46008</v>
      </c>
      <c r="N1444" s="9">
        <f t="shared" si="133"/>
        <v>-2.4622626966501718E-3</v>
      </c>
      <c r="O1444" s="5">
        <v>46008</v>
      </c>
      <c r="P1444">
        <f t="shared" si="135"/>
        <v>1.0020930232558138</v>
      </c>
      <c r="Q1444" s="6">
        <f t="shared" si="136"/>
        <v>1.0001200144017282</v>
      </c>
      <c r="R1444">
        <f t="shared" si="137"/>
        <v>1.9708287336080606E-3</v>
      </c>
      <c r="T1444" s="5">
        <v>46008</v>
      </c>
      <c r="U1444" s="1">
        <v>1.9708287336080606E-3</v>
      </c>
    </row>
    <row r="1445" spans="3:21" x14ac:dyDescent="0.2">
      <c r="C1445" s="5">
        <v>46009</v>
      </c>
      <c r="D1445" s="6">
        <v>0.99977000000000005</v>
      </c>
      <c r="E1445" s="6">
        <v>85467</v>
      </c>
      <c r="F1445" s="6">
        <v>85426.5</v>
      </c>
      <c r="G1445" s="6">
        <v>85461.37</v>
      </c>
      <c r="H1445" s="6">
        <v>85431.4</v>
      </c>
      <c r="I1445" s="5">
        <v>46009</v>
      </c>
      <c r="J1445" s="7">
        <f t="shared" si="134"/>
        <v>-4.1653503691490071E-4</v>
      </c>
      <c r="K1445" s="5">
        <v>46009</v>
      </c>
      <c r="L1445" s="8">
        <f t="shared" si="132"/>
        <v>4.0818715503965799E-4</v>
      </c>
      <c r="M1445" s="5">
        <v>46009</v>
      </c>
      <c r="N1445" s="9">
        <f t="shared" si="133"/>
        <v>-8.3478818752427187E-6</v>
      </c>
      <c r="O1445" s="5">
        <v>46009</v>
      </c>
      <c r="P1445">
        <f t="shared" si="135"/>
        <v>0.9996493152403243</v>
      </c>
      <c r="Q1445" s="6">
        <f t="shared" si="136"/>
        <v>1.0002300529121697</v>
      </c>
      <c r="R1445">
        <f t="shared" si="137"/>
        <v>-5.8077271801178156E-4</v>
      </c>
      <c r="T1445" s="5">
        <v>46009</v>
      </c>
      <c r="U1445" s="1">
        <v>-5.8077271801178156E-4</v>
      </c>
    </row>
    <row r="1446" spans="3:21" x14ac:dyDescent="0.2">
      <c r="C1446" s="5">
        <v>46010</v>
      </c>
      <c r="D1446" s="6">
        <v>0.99983</v>
      </c>
      <c r="E1446" s="6">
        <v>88107.5</v>
      </c>
      <c r="F1446" s="6">
        <v>88046.1</v>
      </c>
      <c r="G1446" s="6">
        <v>88211.88</v>
      </c>
      <c r="H1446" s="6">
        <v>88058.2</v>
      </c>
      <c r="I1446" s="5">
        <v>46010</v>
      </c>
      <c r="J1446" s="7">
        <f t="shared" si="134"/>
        <v>-5.5954373918228203E-4</v>
      </c>
      <c r="K1446" s="5">
        <v>46010</v>
      </c>
      <c r="L1446" s="8">
        <f t="shared" si="132"/>
        <v>1.8828772654325271E-3</v>
      </c>
      <c r="M1446" s="5">
        <v>46010</v>
      </c>
      <c r="N1446" s="9">
        <f t="shared" si="133"/>
        <v>1.3233335262502451E-3</v>
      </c>
      <c r="O1446" s="5">
        <v>46010</v>
      </c>
      <c r="P1446">
        <f t="shared" si="135"/>
        <v>0.99825783103137578</v>
      </c>
      <c r="Q1446" s="6">
        <f t="shared" si="136"/>
        <v>1.0001700289049138</v>
      </c>
      <c r="R1446">
        <f t="shared" si="137"/>
        <v>-1.9137027615089433E-3</v>
      </c>
      <c r="T1446" s="5">
        <v>46010</v>
      </c>
      <c r="U1446" s="1">
        <v>-1.9137027615089433E-3</v>
      </c>
    </row>
    <row r="1447" spans="3:21" x14ac:dyDescent="0.2">
      <c r="C1447" s="5">
        <v>46011</v>
      </c>
      <c r="D1447" s="6">
        <v>0.99978</v>
      </c>
      <c r="E1447" s="6">
        <v>88337.7</v>
      </c>
      <c r="F1447" s="6">
        <v>88291.7</v>
      </c>
      <c r="G1447" s="6">
        <v>88392.7</v>
      </c>
      <c r="H1447" s="6">
        <v>88282.2</v>
      </c>
      <c r="I1447" s="5">
        <v>46011</v>
      </c>
      <c r="J1447" s="7">
        <f t="shared" si="134"/>
        <v>-6.2827082887600657E-4</v>
      </c>
      <c r="K1447" s="5">
        <v>46011</v>
      </c>
      <c r="L1447" s="8">
        <f t="shared" si="132"/>
        <v>1.1439353869049978E-3</v>
      </c>
      <c r="M1447" s="5">
        <v>46011</v>
      </c>
      <c r="N1447" s="9">
        <f t="shared" si="133"/>
        <v>5.1566455802899128E-4</v>
      </c>
      <c r="O1447" s="5">
        <v>46011</v>
      </c>
      <c r="P1447">
        <f t="shared" si="135"/>
        <v>0.99874989676749315</v>
      </c>
      <c r="Q1447" s="6">
        <f t="shared" si="136"/>
        <v>1.0002200484106503</v>
      </c>
      <c r="R1447">
        <f t="shared" si="137"/>
        <v>-1.4709094669167538E-3</v>
      </c>
      <c r="T1447" s="5">
        <v>46011</v>
      </c>
      <c r="U1447" s="1">
        <v>-1.4709094669167538E-3</v>
      </c>
    </row>
    <row r="1448" spans="3:21" x14ac:dyDescent="0.2">
      <c r="C1448" s="5">
        <v>46012</v>
      </c>
      <c r="D1448" s="6">
        <v>0.99975999999999998</v>
      </c>
      <c r="E1448" s="6">
        <v>88646.2</v>
      </c>
      <c r="F1448" s="6">
        <v>88592.9</v>
      </c>
      <c r="G1448" s="6">
        <v>88465.74</v>
      </c>
      <c r="H1448" s="6">
        <v>88586.8</v>
      </c>
      <c r="I1448" s="5">
        <v>46012</v>
      </c>
      <c r="J1448" s="7">
        <f t="shared" si="134"/>
        <v>-6.700794845125249E-4</v>
      </c>
      <c r="K1448" s="5">
        <v>46012</v>
      </c>
      <c r="L1448" s="8">
        <f t="shared" si="132"/>
        <v>-1.4353294677111703E-3</v>
      </c>
      <c r="M1448" s="5">
        <v>46012</v>
      </c>
      <c r="N1448" s="9">
        <f t="shared" si="133"/>
        <v>-2.1054089522236953E-3</v>
      </c>
      <c r="O1448" s="5">
        <v>46012</v>
      </c>
      <c r="P1448">
        <f t="shared" si="135"/>
        <v>1.0013684393529065</v>
      </c>
      <c r="Q1448" s="6">
        <f t="shared" si="136"/>
        <v>1.0002400576138273</v>
      </c>
      <c r="R1448">
        <f t="shared" si="137"/>
        <v>1.1274750884825769E-3</v>
      </c>
      <c r="T1448" s="5">
        <v>46012</v>
      </c>
      <c r="U1448" s="1">
        <v>1.1274750884825769E-3</v>
      </c>
    </row>
    <row r="1449" spans="3:21" x14ac:dyDescent="0.2">
      <c r="C1449" s="5">
        <v>46013</v>
      </c>
      <c r="D1449" s="6">
        <v>0.99978</v>
      </c>
      <c r="E1449" s="6">
        <v>88585.3</v>
      </c>
      <c r="F1449" s="6">
        <v>88538</v>
      </c>
      <c r="G1449" s="6">
        <v>88540.87</v>
      </c>
      <c r="H1449" s="6">
        <v>88544.7</v>
      </c>
      <c r="I1449" s="5">
        <v>46013</v>
      </c>
      <c r="J1449" s="7">
        <f t="shared" si="134"/>
        <v>-4.5831531868160768E-4</v>
      </c>
      <c r="K1449" s="5">
        <v>46013</v>
      </c>
      <c r="L1449" s="8">
        <f t="shared" si="132"/>
        <v>3.2415460028409762E-5</v>
      </c>
      <c r="M1449" s="5">
        <v>46013</v>
      </c>
      <c r="N1449" s="9">
        <f t="shared" si="133"/>
        <v>-4.258998586531979E-4</v>
      </c>
      <c r="O1449" s="5">
        <v>46013</v>
      </c>
      <c r="P1449">
        <f t="shared" si="135"/>
        <v>1.0000432568597983</v>
      </c>
      <c r="Q1449" s="6">
        <f t="shared" si="136"/>
        <v>1.0002200484106503</v>
      </c>
      <c r="R1449">
        <f t="shared" si="137"/>
        <v>-1.7676827930243207E-4</v>
      </c>
      <c r="T1449" s="5">
        <v>46013</v>
      </c>
      <c r="U1449" s="1">
        <v>-1.7676827930243207E-4</v>
      </c>
    </row>
    <row r="1450" spans="3:21" x14ac:dyDescent="0.2">
      <c r="C1450" s="5">
        <v>46014</v>
      </c>
      <c r="D1450" s="6">
        <v>0.99968000000000001</v>
      </c>
      <c r="E1450" s="6">
        <v>87446.399999999994</v>
      </c>
      <c r="F1450" s="6">
        <v>87394.8</v>
      </c>
      <c r="G1450" s="6">
        <v>87203.02</v>
      </c>
      <c r="H1450" s="6">
        <v>87442</v>
      </c>
      <c r="I1450" s="5">
        <v>46014</v>
      </c>
      <c r="J1450" s="7">
        <f t="shared" si="134"/>
        <v>-5.0316536758450659E-5</v>
      </c>
      <c r="K1450" s="5">
        <v>46014</v>
      </c>
      <c r="L1450" s="8">
        <f t="shared" si="132"/>
        <v>-2.1944097360483555E-3</v>
      </c>
      <c r="M1450" s="5">
        <v>46014</v>
      </c>
      <c r="N1450" s="9">
        <f t="shared" si="133"/>
        <v>-2.2447262728068061E-3</v>
      </c>
      <c r="O1450" s="5">
        <v>46014</v>
      </c>
      <c r="P1450">
        <f t="shared" si="135"/>
        <v>1.0027405014184141</v>
      </c>
      <c r="Q1450" s="6">
        <f t="shared" si="136"/>
        <v>1.0003201024327786</v>
      </c>
      <c r="R1450">
        <f t="shared" si="137"/>
        <v>2.4167018801126024E-3</v>
      </c>
      <c r="T1450" s="5">
        <v>46014</v>
      </c>
      <c r="U1450" s="1">
        <v>2.4167018801126024E-3</v>
      </c>
    </row>
    <row r="1451" spans="3:21" x14ac:dyDescent="0.2">
      <c r="C1451" s="5">
        <v>46015</v>
      </c>
      <c r="D1451" s="6">
        <v>0.99977000000000005</v>
      </c>
      <c r="E1451" s="6">
        <v>87629.3</v>
      </c>
      <c r="F1451" s="6">
        <v>87585.5</v>
      </c>
      <c r="G1451" s="6">
        <v>87691.1</v>
      </c>
      <c r="H1451" s="6">
        <v>87582.2</v>
      </c>
      <c r="I1451" s="5">
        <v>46015</v>
      </c>
      <c r="J1451" s="7">
        <f t="shared" si="134"/>
        <v>-5.3749145548356338E-4</v>
      </c>
      <c r="K1451" s="5">
        <v>46015</v>
      </c>
      <c r="L1451" s="8">
        <f t="shared" si="132"/>
        <v>1.2056790222126474E-3</v>
      </c>
      <c r="M1451" s="5">
        <v>46015</v>
      </c>
      <c r="N1451" s="9">
        <f t="shared" si="133"/>
        <v>6.6818756672908401E-4</v>
      </c>
      <c r="O1451" s="5">
        <v>46015</v>
      </c>
      <c r="P1451">
        <f t="shared" si="135"/>
        <v>0.99875814079193892</v>
      </c>
      <c r="Q1451" s="6">
        <f t="shared" si="136"/>
        <v>1.0002300529121697</v>
      </c>
      <c r="R1451">
        <f t="shared" si="137"/>
        <v>-1.4726574082632228E-3</v>
      </c>
      <c r="T1451" s="5">
        <v>46015</v>
      </c>
      <c r="U1451" s="1">
        <v>-1.4726574082632228E-3</v>
      </c>
    </row>
    <row r="1452" spans="3:21" x14ac:dyDescent="0.2">
      <c r="C1452" s="5">
        <v>46016</v>
      </c>
      <c r="D1452" s="6">
        <v>0.99966999999999995</v>
      </c>
      <c r="E1452" s="6">
        <v>87193.5</v>
      </c>
      <c r="F1452" s="6">
        <v>87138.4</v>
      </c>
      <c r="G1452" s="6">
        <v>87204.13</v>
      </c>
      <c r="H1452" s="6">
        <v>87152.2</v>
      </c>
      <c r="I1452" s="5">
        <v>46016</v>
      </c>
      <c r="J1452" s="7">
        <f t="shared" si="134"/>
        <v>-4.7365916037322634E-4</v>
      </c>
      <c r="K1452" s="5">
        <v>46016</v>
      </c>
      <c r="L1452" s="8">
        <f t="shared" si="132"/>
        <v>7.5431726999819232E-4</v>
      </c>
      <c r="M1452" s="5">
        <v>46016</v>
      </c>
      <c r="N1452" s="9">
        <f t="shared" si="133"/>
        <v>2.8065810962496599E-4</v>
      </c>
      <c r="O1452" s="5">
        <v>46016</v>
      </c>
      <c r="P1452">
        <f t="shared" si="135"/>
        <v>0.99940450068133235</v>
      </c>
      <c r="Q1452" s="6">
        <f t="shared" si="136"/>
        <v>1.0003301089359489</v>
      </c>
      <c r="R1452">
        <f t="shared" si="137"/>
        <v>-9.2573116079219375E-4</v>
      </c>
      <c r="T1452" s="5">
        <v>46016</v>
      </c>
      <c r="U1452" s="1">
        <v>-9.2573116079219375E-4</v>
      </c>
    </row>
    <row r="1453" spans="3:21" x14ac:dyDescent="0.2">
      <c r="C1453" s="5">
        <v>46017</v>
      </c>
      <c r="D1453" s="6">
        <v>0.99975999999999998</v>
      </c>
      <c r="E1453" s="6">
        <v>87319</v>
      </c>
      <c r="F1453" s="6">
        <v>87265.9</v>
      </c>
      <c r="G1453" s="6">
        <v>87323.1</v>
      </c>
      <c r="H1453" s="6">
        <v>87271.2</v>
      </c>
      <c r="I1453" s="5">
        <v>46017</v>
      </c>
      <c r="J1453" s="7">
        <f t="shared" si="134"/>
        <v>-5.4741808770144998E-4</v>
      </c>
      <c r="K1453" s="5">
        <v>46017</v>
      </c>
      <c r="L1453" s="8">
        <f t="shared" si="132"/>
        <v>6.5546794337778731E-4</v>
      </c>
      <c r="M1453" s="5">
        <v>46017</v>
      </c>
      <c r="N1453" s="9">
        <f t="shared" si="133"/>
        <v>1.0804985567633733E-4</v>
      </c>
      <c r="O1453" s="5">
        <v>46017</v>
      </c>
      <c r="P1453">
        <f t="shared" si="135"/>
        <v>0.99940565554818817</v>
      </c>
      <c r="Q1453" s="6">
        <f t="shared" si="136"/>
        <v>1.0002400576138273</v>
      </c>
      <c r="R1453">
        <f t="shared" si="137"/>
        <v>-8.3454994909870584E-4</v>
      </c>
      <c r="T1453" s="5">
        <v>46017</v>
      </c>
      <c r="U1453" s="1">
        <v>-8.3454994909870584E-4</v>
      </c>
    </row>
    <row r="1454" spans="3:21" x14ac:dyDescent="0.2">
      <c r="C1454" s="5">
        <v>46018</v>
      </c>
      <c r="D1454" s="6">
        <v>0.99970999999999999</v>
      </c>
      <c r="E1454" s="6">
        <v>87838.6</v>
      </c>
      <c r="F1454" s="6">
        <v>87786.8</v>
      </c>
      <c r="G1454" s="6">
        <v>87846.93</v>
      </c>
      <c r="H1454" s="6">
        <v>87812.1</v>
      </c>
      <c r="I1454" s="5">
        <v>46018</v>
      </c>
      <c r="J1454" s="7">
        <f t="shared" si="134"/>
        <v>-3.0168968995407483E-4</v>
      </c>
      <c r="K1454" s="5">
        <v>46018</v>
      </c>
      <c r="L1454" s="8">
        <f t="shared" si="132"/>
        <v>6.8495491349485462E-4</v>
      </c>
      <c r="M1454" s="5">
        <v>46018</v>
      </c>
      <c r="N1454" s="9">
        <f t="shared" si="133"/>
        <v>3.8326522354077978E-4</v>
      </c>
      <c r="O1454" s="5">
        <v>46018</v>
      </c>
      <c r="P1454">
        <f t="shared" si="135"/>
        <v>0.99960351488663313</v>
      </c>
      <c r="Q1454" s="6">
        <f t="shared" si="136"/>
        <v>1.000290084124396</v>
      </c>
      <c r="R1454">
        <f t="shared" si="137"/>
        <v>-6.8660579250284218E-4</v>
      </c>
      <c r="T1454" s="5">
        <v>46018</v>
      </c>
      <c r="U1454" s="1">
        <v>-6.8660579250284218E-4</v>
      </c>
    </row>
    <row r="1455" spans="3:21" x14ac:dyDescent="0.2">
      <c r="C1455" s="5">
        <v>46019</v>
      </c>
      <c r="D1455" s="6">
        <v>0.99963999999999997</v>
      </c>
      <c r="E1455" s="6">
        <v>87891</v>
      </c>
      <c r="F1455" s="6">
        <v>87849.8</v>
      </c>
      <c r="G1455" s="6">
        <v>87648.61</v>
      </c>
      <c r="H1455" s="6">
        <v>87848.8</v>
      </c>
      <c r="I1455" s="5">
        <v>46019</v>
      </c>
      <c r="J1455" s="7">
        <f t="shared" si="134"/>
        <v>-4.8014017362411497E-4</v>
      </c>
      <c r="K1455" s="5">
        <v>46019</v>
      </c>
      <c r="L1455" s="8">
        <f t="shared" si="132"/>
        <v>-2.290158884823896E-3</v>
      </c>
      <c r="M1455" s="5">
        <v>46019</v>
      </c>
      <c r="N1455" s="9">
        <f t="shared" si="133"/>
        <v>-2.7702990584480111E-3</v>
      </c>
      <c r="O1455" s="5">
        <v>46019</v>
      </c>
      <c r="P1455">
        <f t="shared" si="135"/>
        <v>1.0022840065575485</v>
      </c>
      <c r="Q1455" s="6">
        <f t="shared" si="136"/>
        <v>1.0003601296466729</v>
      </c>
      <c r="R1455">
        <f t="shared" si="137"/>
        <v>1.9213373638719956E-3</v>
      </c>
      <c r="T1455" s="5">
        <v>46019</v>
      </c>
      <c r="U1455" s="1">
        <v>1.9213373638719956E-3</v>
      </c>
    </row>
    <row r="1456" spans="3:21" x14ac:dyDescent="0.2">
      <c r="C1456" s="5">
        <v>46020</v>
      </c>
      <c r="D1456" s="6">
        <v>0.99966999999999995</v>
      </c>
      <c r="E1456" s="6">
        <v>87136.3</v>
      </c>
      <c r="F1456" s="6">
        <v>87126.6</v>
      </c>
      <c r="G1456" s="6">
        <v>87185.69</v>
      </c>
      <c r="H1456" s="6">
        <v>87131.6</v>
      </c>
      <c r="I1456" s="5">
        <v>46020</v>
      </c>
      <c r="J1456" s="7">
        <f t="shared" si="134"/>
        <v>-5.3938484879402611E-5</v>
      </c>
      <c r="K1456" s="5">
        <v>46020</v>
      </c>
      <c r="L1456" s="8">
        <f t="shared" si="132"/>
        <v>6.7820849201043654E-4</v>
      </c>
      <c r="M1456" s="5">
        <v>46020</v>
      </c>
      <c r="N1456" s="9">
        <f t="shared" si="133"/>
        <v>6.2427000713103395E-4</v>
      </c>
      <c r="O1456" s="5">
        <v>46020</v>
      </c>
      <c r="P1456">
        <f t="shared" si="135"/>
        <v>0.99937960002381121</v>
      </c>
      <c r="Q1456" s="6">
        <f t="shared" si="136"/>
        <v>1.0003301089359489</v>
      </c>
      <c r="R1456">
        <f t="shared" si="137"/>
        <v>-9.5064696586961224E-4</v>
      </c>
      <c r="T1456" s="5">
        <v>46020</v>
      </c>
      <c r="U1456" s="1">
        <v>-9.5064696586961224E-4</v>
      </c>
    </row>
    <row r="1457" spans="3:21" x14ac:dyDescent="0.2">
      <c r="C1457" s="5">
        <v>46021</v>
      </c>
      <c r="D1457" s="6">
        <v>0.99958999999999998</v>
      </c>
      <c r="E1457" s="6">
        <v>88419.3</v>
      </c>
      <c r="F1457" s="6">
        <v>88385.9</v>
      </c>
      <c r="G1457" s="6">
        <v>88483.16</v>
      </c>
      <c r="H1457" s="6">
        <v>88362.4</v>
      </c>
      <c r="I1457" s="5">
        <v>46021</v>
      </c>
      <c r="J1457" s="7">
        <f t="shared" si="134"/>
        <v>-6.4352466034009242E-4</v>
      </c>
      <c r="K1457" s="5">
        <v>46021</v>
      </c>
      <c r="L1457" s="8">
        <f t="shared" si="132"/>
        <v>1.1004017609144595E-3</v>
      </c>
      <c r="M1457" s="5">
        <v>46021</v>
      </c>
      <c r="N1457" s="9">
        <f t="shared" si="133"/>
        <v>4.5687710057436704E-4</v>
      </c>
      <c r="O1457" s="5">
        <v>46021</v>
      </c>
      <c r="P1457">
        <f t="shared" si="135"/>
        <v>0.99863522053235887</v>
      </c>
      <c r="Q1457" s="6">
        <f t="shared" si="136"/>
        <v>1.0004101681689492</v>
      </c>
      <c r="R1457">
        <f t="shared" si="137"/>
        <v>-1.7757957003443139E-3</v>
      </c>
      <c r="T1457" s="5">
        <v>46021</v>
      </c>
      <c r="U1457" s="1">
        <v>-1.7757957003443139E-3</v>
      </c>
    </row>
    <row r="1458" spans="3:21" x14ac:dyDescent="0.2">
      <c r="C1458" s="5">
        <v>46022</v>
      </c>
      <c r="D1458" s="6">
        <v>0.99956</v>
      </c>
      <c r="E1458" s="6">
        <v>87533.6</v>
      </c>
      <c r="F1458" s="6">
        <v>87500.1</v>
      </c>
      <c r="G1458" s="6">
        <v>87552.07</v>
      </c>
      <c r="H1458" s="6">
        <v>87498.9</v>
      </c>
      <c r="I1458" s="5">
        <v>46022</v>
      </c>
      <c r="J1458" s="7">
        <f t="shared" si="134"/>
        <v>-3.9641920359738018E-4</v>
      </c>
      <c r="K1458" s="5">
        <v>46022</v>
      </c>
      <c r="L1458" s="8">
        <f t="shared" si="132"/>
        <v>5.9394217835180942E-4</v>
      </c>
      <c r="M1458" s="5">
        <v>46022</v>
      </c>
      <c r="N1458" s="9">
        <f t="shared" si="133"/>
        <v>1.9752297475442924E-4</v>
      </c>
      <c r="O1458" s="5">
        <v>46022</v>
      </c>
      <c r="P1458">
        <f t="shared" si="135"/>
        <v>0.99939270425016768</v>
      </c>
      <c r="Q1458" s="6">
        <f t="shared" si="136"/>
        <v>1.0004401936852214</v>
      </c>
      <c r="R1458">
        <f t="shared" si="137"/>
        <v>-1.0475770569926943E-3</v>
      </c>
      <c r="T1458" s="5">
        <v>46022</v>
      </c>
      <c r="U1458" s="1">
        <v>-1.0475770569926943E-3</v>
      </c>
    </row>
    <row r="1459" spans="3:21" x14ac:dyDescent="0.2">
      <c r="C1459" s="5">
        <v>46023</v>
      </c>
      <c r="D1459" s="6">
        <v>0.99955000000000005</v>
      </c>
      <c r="E1459" s="6">
        <v>88760</v>
      </c>
      <c r="F1459" s="6">
        <v>88697.600000000006</v>
      </c>
      <c r="G1459" s="6">
        <v>88739.43</v>
      </c>
      <c r="H1459" s="6">
        <v>88706.7</v>
      </c>
      <c r="I1459" s="5">
        <v>46023</v>
      </c>
      <c r="J1459" s="7">
        <f t="shared" si="134"/>
        <v>-6.004957187922816E-4</v>
      </c>
      <c r="K1459" s="5">
        <v>46023</v>
      </c>
      <c r="L1459" s="8">
        <f t="shared" si="132"/>
        <v>4.7160238833956266E-4</v>
      </c>
      <c r="M1459" s="5">
        <v>46023</v>
      </c>
      <c r="N1459" s="9">
        <f t="shared" si="133"/>
        <v>-1.2889333045271894E-4</v>
      </c>
      <c r="O1459" s="5">
        <v>46023</v>
      </c>
      <c r="P1459">
        <f t="shared" si="135"/>
        <v>0.99963116734015545</v>
      </c>
      <c r="Q1459" s="6">
        <f t="shared" si="136"/>
        <v>1.0004502025911659</v>
      </c>
      <c r="R1459">
        <f t="shared" si="137"/>
        <v>-8.1900197572484302E-4</v>
      </c>
      <c r="T1459" s="5">
        <v>46023</v>
      </c>
      <c r="U1459" s="1">
        <v>-8.1900197572484302E-4</v>
      </c>
    </row>
    <row r="1460" spans="3:21" x14ac:dyDescent="0.2">
      <c r="C1460" s="5">
        <v>46024</v>
      </c>
      <c r="D1460" s="6">
        <v>0.99980999999999998</v>
      </c>
      <c r="E1460" s="6">
        <v>89967.5</v>
      </c>
      <c r="F1460" s="6">
        <v>89917.5</v>
      </c>
      <c r="G1460" s="6">
        <v>89932.07</v>
      </c>
      <c r="H1460" s="6">
        <v>89917.3</v>
      </c>
      <c r="I1460" s="5">
        <v>46024</v>
      </c>
      <c r="J1460" s="7">
        <f t="shared" si="134"/>
        <v>-5.5797927029201751E-4</v>
      </c>
      <c r="K1460" s="5">
        <v>46024</v>
      </c>
      <c r="L1460" s="8">
        <f t="shared" si="132"/>
        <v>1.6203742319356059E-4</v>
      </c>
      <c r="M1460" s="5">
        <v>46024</v>
      </c>
      <c r="N1460" s="9">
        <f t="shared" si="133"/>
        <v>-3.9594184709845694E-4</v>
      </c>
      <c r="O1460" s="5">
        <v>46024</v>
      </c>
      <c r="P1460">
        <f t="shared" si="135"/>
        <v>0.99983576492790616</v>
      </c>
      <c r="Q1460" s="6">
        <f t="shared" si="136"/>
        <v>1.0001900361068603</v>
      </c>
      <c r="R1460">
        <f t="shared" si="137"/>
        <v>-3.5426661243676309E-4</v>
      </c>
      <c r="T1460" s="5">
        <v>46024</v>
      </c>
      <c r="U1460" s="1">
        <v>-3.5426661243676309E-4</v>
      </c>
    </row>
    <row r="1461" spans="3:21" x14ac:dyDescent="0.2">
      <c r="C1461" s="5">
        <v>46025</v>
      </c>
      <c r="D1461" s="6">
        <v>0.99983</v>
      </c>
      <c r="E1461" s="6">
        <v>90634.5</v>
      </c>
      <c r="F1461" s="6">
        <v>90566</v>
      </c>
      <c r="G1461" s="6">
        <v>90638.44</v>
      </c>
      <c r="H1461" s="6">
        <v>90564.5</v>
      </c>
      <c r="I1461" s="5">
        <v>46025</v>
      </c>
      <c r="J1461" s="7">
        <f t="shared" si="134"/>
        <v>-7.7233283131699292E-4</v>
      </c>
      <c r="K1461" s="5">
        <v>46025</v>
      </c>
      <c r="L1461" s="8">
        <f t="shared" si="132"/>
        <v>7.9985866660780343E-4</v>
      </c>
      <c r="M1461" s="5">
        <v>46025</v>
      </c>
      <c r="N1461" s="9">
        <f t="shared" si="133"/>
        <v>2.752583529081051E-5</v>
      </c>
      <c r="O1461" s="5">
        <v>46025</v>
      </c>
      <c r="P1461">
        <f t="shared" si="135"/>
        <v>0.99918423132613488</v>
      </c>
      <c r="Q1461" s="6">
        <f t="shared" si="136"/>
        <v>1.0001700289049138</v>
      </c>
      <c r="R1461">
        <f t="shared" si="137"/>
        <v>-9.8611604583721357E-4</v>
      </c>
      <c r="T1461" s="5">
        <v>46025</v>
      </c>
      <c r="U1461" s="1">
        <v>-9.8611604583721357E-4</v>
      </c>
    </row>
    <row r="1462" spans="3:21" x14ac:dyDescent="0.2">
      <c r="C1462" s="5">
        <v>46026</v>
      </c>
      <c r="D1462" s="6">
        <v>0.99978999999999996</v>
      </c>
      <c r="E1462" s="6">
        <v>91510.2</v>
      </c>
      <c r="F1462" s="6">
        <v>91463.5</v>
      </c>
      <c r="G1462" s="6">
        <v>91576.51</v>
      </c>
      <c r="H1462" s="6">
        <v>91479.1</v>
      </c>
      <c r="I1462" s="5">
        <v>46026</v>
      </c>
      <c r="J1462" s="7">
        <f t="shared" si="134"/>
        <v>-3.3985282514945075E-4</v>
      </c>
      <c r="K1462" s="5">
        <v>46026</v>
      </c>
      <c r="L1462" s="8">
        <f t="shared" si="132"/>
        <v>1.2355748467967524E-3</v>
      </c>
      <c r="M1462" s="5">
        <v>46026</v>
      </c>
      <c r="N1462" s="9">
        <f t="shared" si="133"/>
        <v>8.9572202164730163E-4</v>
      </c>
      <c r="O1462" s="5">
        <v>46026</v>
      </c>
      <c r="P1462">
        <f t="shared" si="135"/>
        <v>0.99893629927587335</v>
      </c>
      <c r="Q1462" s="6">
        <f t="shared" si="136"/>
        <v>1.000210044109263</v>
      </c>
      <c r="R1462">
        <f t="shared" si="137"/>
        <v>-1.2742889083277131E-3</v>
      </c>
      <c r="T1462" s="5">
        <v>46026</v>
      </c>
      <c r="U1462" s="1">
        <v>-1.2742889083277131E-3</v>
      </c>
    </row>
    <row r="1463" spans="3:21" x14ac:dyDescent="0.2">
      <c r="C1463" s="5">
        <v>46027</v>
      </c>
      <c r="D1463" s="6">
        <v>0.99970999999999999</v>
      </c>
      <c r="E1463" s="6">
        <v>93891.6</v>
      </c>
      <c r="F1463" s="6">
        <v>93829.1</v>
      </c>
      <c r="G1463" s="6">
        <v>93903.62</v>
      </c>
      <c r="H1463" s="6">
        <v>93823.9</v>
      </c>
      <c r="I1463" s="5">
        <v>46027</v>
      </c>
      <c r="J1463" s="7">
        <f t="shared" si="134"/>
        <v>-7.2104426807096311E-4</v>
      </c>
      <c r="K1463" s="5">
        <v>46027</v>
      </c>
      <c r="L1463" s="8">
        <f t="shared" si="132"/>
        <v>7.9420989863474673E-4</v>
      </c>
      <c r="M1463" s="5">
        <v>46027</v>
      </c>
      <c r="N1463" s="9">
        <f t="shared" si="133"/>
        <v>7.3165630563783624E-5</v>
      </c>
      <c r="O1463" s="5">
        <v>46027</v>
      </c>
      <c r="P1463">
        <f t="shared" si="135"/>
        <v>0.999151044443228</v>
      </c>
      <c r="Q1463" s="6">
        <f t="shared" si="136"/>
        <v>1.000290084124396</v>
      </c>
      <c r="R1463">
        <f t="shared" si="137"/>
        <v>-1.1393581817566137E-3</v>
      </c>
      <c r="T1463" s="5">
        <v>46027</v>
      </c>
      <c r="U1463" s="1">
        <v>-1.1393581817566137E-3</v>
      </c>
    </row>
    <row r="1464" spans="3:21" x14ac:dyDescent="0.2">
      <c r="C1464" s="5">
        <v>46028</v>
      </c>
      <c r="D1464" s="6">
        <v>0.99978999999999996</v>
      </c>
      <c r="E1464" s="6">
        <v>93738.7</v>
      </c>
      <c r="F1464" s="6">
        <v>93669.1</v>
      </c>
      <c r="G1464" s="6">
        <v>93745.01</v>
      </c>
      <c r="H1464" s="6">
        <v>93677.5</v>
      </c>
      <c r="I1464" s="5">
        <v>46028</v>
      </c>
      <c r="J1464" s="7">
        <f t="shared" si="134"/>
        <v>-6.5287869364517631E-4</v>
      </c>
      <c r="K1464" s="5">
        <v>46028</v>
      </c>
      <c r="L1464" s="8">
        <f t="shared" si="132"/>
        <v>8.1040599301145132E-4</v>
      </c>
      <c r="M1464" s="5">
        <v>46028</v>
      </c>
      <c r="N1464" s="9">
        <f t="shared" si="133"/>
        <v>1.5752729936627501E-4</v>
      </c>
      <c r="O1464" s="5">
        <v>46028</v>
      </c>
      <c r="P1464">
        <f t="shared" si="135"/>
        <v>0.99927985500241567</v>
      </c>
      <c r="Q1464" s="6">
        <f t="shared" si="136"/>
        <v>1.000210044109263</v>
      </c>
      <c r="R1464">
        <f t="shared" si="137"/>
        <v>-9.3042647963908478E-4</v>
      </c>
      <c r="T1464" s="5">
        <v>46028</v>
      </c>
      <c r="U1464" s="1">
        <v>-9.3042647963908478E-4</v>
      </c>
    </row>
    <row r="1465" spans="3:21" x14ac:dyDescent="0.2">
      <c r="C1465" s="5">
        <v>46029</v>
      </c>
      <c r="D1465" s="6">
        <v>0.99977000000000005</v>
      </c>
      <c r="E1465" s="6">
        <v>91290.3</v>
      </c>
      <c r="F1465" s="6">
        <v>91256.6</v>
      </c>
      <c r="G1465" s="6">
        <v>91306.99</v>
      </c>
      <c r="H1465" s="6">
        <v>91279.8</v>
      </c>
      <c r="I1465" s="5">
        <v>46029</v>
      </c>
      <c r="J1465" s="7">
        <f t="shared" si="134"/>
        <v>-1.1501769629412982E-4</v>
      </c>
      <c r="K1465" s="5">
        <v>46029</v>
      </c>
      <c r="L1465" s="8">
        <f t="shared" si="132"/>
        <v>5.5217923963855127E-4</v>
      </c>
      <c r="M1465" s="5">
        <v>46029</v>
      </c>
      <c r="N1465" s="9">
        <f t="shared" si="133"/>
        <v>4.3716154334442147E-4</v>
      </c>
      <c r="O1465" s="5">
        <v>46029</v>
      </c>
      <c r="P1465">
        <f t="shared" si="135"/>
        <v>0.99970221337928233</v>
      </c>
      <c r="Q1465" s="6">
        <f t="shared" si="136"/>
        <v>1.0002300529121697</v>
      </c>
      <c r="R1465">
        <f t="shared" si="137"/>
        <v>-5.2785742201389536E-4</v>
      </c>
      <c r="T1465" s="5">
        <v>46029</v>
      </c>
      <c r="U1465" s="1">
        <v>-5.2785742201389536E-4</v>
      </c>
    </row>
    <row r="1466" spans="3:21" x14ac:dyDescent="0.2">
      <c r="C1466" s="5">
        <v>46030</v>
      </c>
      <c r="D1466" s="6">
        <v>0.99977000000000005</v>
      </c>
      <c r="E1466" s="6">
        <v>91040.8</v>
      </c>
      <c r="F1466" s="6">
        <v>90970.1</v>
      </c>
      <c r="G1466" s="6">
        <v>91024</v>
      </c>
      <c r="H1466" s="6">
        <v>90985.3</v>
      </c>
      <c r="I1466" s="5">
        <v>46030</v>
      </c>
      <c r="J1466" s="7">
        <f t="shared" si="134"/>
        <v>-6.096167871987065E-4</v>
      </c>
      <c r="K1466" s="5">
        <v>46030</v>
      </c>
      <c r="L1466" s="8">
        <f t="shared" si="132"/>
        <v>5.9250237165831606E-4</v>
      </c>
      <c r="M1466" s="5">
        <v>46030</v>
      </c>
      <c r="N1466" s="9">
        <f t="shared" si="133"/>
        <v>-1.711441554039044E-5</v>
      </c>
      <c r="O1466" s="5">
        <v>46030</v>
      </c>
      <c r="P1466">
        <f t="shared" si="135"/>
        <v>0.99957483740551945</v>
      </c>
      <c r="Q1466" s="6">
        <f t="shared" si="136"/>
        <v>1.0002300529121697</v>
      </c>
      <c r="R1466">
        <f t="shared" si="137"/>
        <v>-6.5527945577883442E-4</v>
      </c>
      <c r="T1466" s="5">
        <v>46030</v>
      </c>
      <c r="U1466" s="1">
        <v>-6.5527945577883442E-4</v>
      </c>
    </row>
    <row r="1467" spans="3:21" x14ac:dyDescent="0.2">
      <c r="C1467" s="5">
        <v>46031</v>
      </c>
      <c r="D1467" s="6">
        <v>0.99965999999999999</v>
      </c>
      <c r="E1467" s="6">
        <v>90543.2</v>
      </c>
      <c r="F1467" s="6">
        <v>90489.9</v>
      </c>
      <c r="G1467" s="6">
        <v>90570.03</v>
      </c>
      <c r="H1467" s="6">
        <v>90483.6</v>
      </c>
      <c r="I1467" s="5">
        <v>46031</v>
      </c>
      <c r="J1467" s="7">
        <f t="shared" si="134"/>
        <v>-6.5824932187056868E-4</v>
      </c>
      <c r="K1467" s="5">
        <v>46031</v>
      </c>
      <c r="L1467" s="8">
        <f t="shared" si="132"/>
        <v>8.8551318986986017E-4</v>
      </c>
      <c r="M1467" s="5">
        <v>46031</v>
      </c>
      <c r="N1467" s="9">
        <f t="shared" si="133"/>
        <v>2.2726386799929148E-4</v>
      </c>
      <c r="O1467" s="5">
        <v>46031</v>
      </c>
      <c r="P1467">
        <f t="shared" si="135"/>
        <v>0.99904571081626015</v>
      </c>
      <c r="Q1467" s="6">
        <f t="shared" si="136"/>
        <v>1.0003401156393175</v>
      </c>
      <c r="R1467">
        <f t="shared" si="137"/>
        <v>-1.2948026206553232E-3</v>
      </c>
      <c r="T1467" s="5">
        <v>46031</v>
      </c>
      <c r="U1467" s="1">
        <v>-1.2948026206553232E-3</v>
      </c>
    </row>
    <row r="1468" spans="3:21" x14ac:dyDescent="0.2">
      <c r="C1468" s="5">
        <v>46032</v>
      </c>
      <c r="D1468" s="6">
        <v>0.99975000000000003</v>
      </c>
      <c r="E1468" s="6">
        <v>90420.4</v>
      </c>
      <c r="F1468" s="6">
        <v>90361.7</v>
      </c>
      <c r="G1468" s="6">
        <v>90414.99</v>
      </c>
      <c r="H1468" s="6">
        <v>90381.4</v>
      </c>
      <c r="I1468" s="5">
        <v>46032</v>
      </c>
      <c r="J1468" s="7">
        <f t="shared" si="134"/>
        <v>-4.3131859624597992E-4</v>
      </c>
      <c r="K1468" s="5">
        <v>46032</v>
      </c>
      <c r="L1468" s="8">
        <f t="shared" si="132"/>
        <v>5.897410075287224E-4</v>
      </c>
      <c r="M1468" s="5">
        <v>46032</v>
      </c>
      <c r="N1468" s="9">
        <f t="shared" si="133"/>
        <v>1.5842241128274248E-4</v>
      </c>
      <c r="O1468" s="5">
        <v>46032</v>
      </c>
      <c r="P1468">
        <f t="shared" si="135"/>
        <v>0.99962849080666805</v>
      </c>
      <c r="Q1468" s="6">
        <f t="shared" si="136"/>
        <v>1.000250062515629</v>
      </c>
      <c r="R1468">
        <f t="shared" si="137"/>
        <v>-6.2160947517829826E-4</v>
      </c>
      <c r="T1468" s="5">
        <v>46032</v>
      </c>
      <c r="U1468" s="1">
        <v>-6.2160947517829826E-4</v>
      </c>
    </row>
    <row r="1469" spans="3:21" x14ac:dyDescent="0.2">
      <c r="C1469" s="5">
        <v>46033</v>
      </c>
      <c r="D1469" s="6">
        <v>0.99965000000000004</v>
      </c>
      <c r="E1469" s="6">
        <v>90905.1</v>
      </c>
      <c r="F1469" s="6">
        <v>90863.1</v>
      </c>
      <c r="G1469" s="6">
        <v>90849.64</v>
      </c>
      <c r="H1469" s="6">
        <v>90882</v>
      </c>
      <c r="I1469" s="5">
        <v>46033</v>
      </c>
      <c r="J1469" s="7">
        <f t="shared" si="134"/>
        <v>-2.5411115547978959E-4</v>
      </c>
      <c r="K1469" s="5">
        <v>46033</v>
      </c>
      <c r="L1469" s="8">
        <f t="shared" si="132"/>
        <v>-1.4813494146695855E-4</v>
      </c>
      <c r="M1469" s="5">
        <v>46033</v>
      </c>
      <c r="N1469" s="9">
        <f t="shared" si="133"/>
        <v>-4.0224609694674814E-4</v>
      </c>
      <c r="O1469" s="5">
        <v>46033</v>
      </c>
      <c r="P1469">
        <f t="shared" si="135"/>
        <v>1.0003561929359324</v>
      </c>
      <c r="Q1469" s="6">
        <f t="shared" si="136"/>
        <v>1.0003501225428899</v>
      </c>
      <c r="R1469">
        <f t="shared" si="137"/>
        <v>6.0682499930133858E-6</v>
      </c>
      <c r="T1469" s="5">
        <v>46033</v>
      </c>
      <c r="U1469" s="1">
        <v>6.0682499930133858E-6</v>
      </c>
    </row>
    <row r="1470" spans="3:21" x14ac:dyDescent="0.2">
      <c r="C1470" s="5">
        <v>46034</v>
      </c>
      <c r="D1470" s="6">
        <v>0.99970000000000003</v>
      </c>
      <c r="E1470" s="6">
        <v>91203.6</v>
      </c>
      <c r="F1470" s="6">
        <v>91166</v>
      </c>
      <c r="G1470" s="6">
        <v>91197.22</v>
      </c>
      <c r="H1470" s="6">
        <v>91191.2</v>
      </c>
      <c r="I1470" s="5">
        <v>46034</v>
      </c>
      <c r="J1470" s="7">
        <f t="shared" si="134"/>
        <v>-1.3595954545663472E-4</v>
      </c>
      <c r="K1470" s="5">
        <v>46034</v>
      </c>
      <c r="L1470" s="8">
        <f t="shared" si="132"/>
        <v>3.4245222999803834E-4</v>
      </c>
      <c r="M1470" s="5">
        <v>46034</v>
      </c>
      <c r="N1470" s="9">
        <f t="shared" si="133"/>
        <v>2.0649268454140361E-4</v>
      </c>
      <c r="O1470" s="5">
        <v>46034</v>
      </c>
      <c r="P1470">
        <f t="shared" si="135"/>
        <v>0.99993398921589927</v>
      </c>
      <c r="Q1470" s="6">
        <f t="shared" si="136"/>
        <v>1.000300090027008</v>
      </c>
      <c r="R1470">
        <f t="shared" si="137"/>
        <v>-3.6605797191037535E-4</v>
      </c>
      <c r="T1470" s="5">
        <v>46034</v>
      </c>
      <c r="U1470" s="1">
        <v>-3.6605797191037535E-4</v>
      </c>
    </row>
    <row r="1471" spans="3:21" x14ac:dyDescent="0.2">
      <c r="C1471" s="5">
        <v>46035</v>
      </c>
      <c r="D1471" s="6">
        <v>0.99970000000000003</v>
      </c>
      <c r="E1471" s="6">
        <v>95380.2</v>
      </c>
      <c r="F1471" s="6">
        <v>95352</v>
      </c>
      <c r="G1471" s="6">
        <v>95383.64</v>
      </c>
      <c r="H1471" s="6">
        <v>95341.8</v>
      </c>
      <c r="I1471" s="5">
        <v>46035</v>
      </c>
      <c r="J1471" s="7">
        <f t="shared" si="134"/>
        <v>-4.0259928161184583E-4</v>
      </c>
      <c r="K1471" s="5">
        <v>46035</v>
      </c>
      <c r="L1471" s="8">
        <f t="shared" si="132"/>
        <v>3.3182313952512184E-4</v>
      </c>
      <c r="M1471" s="5">
        <v>46035</v>
      </c>
      <c r="N1471" s="9">
        <f t="shared" si="133"/>
        <v>-7.0776142086723993E-5</v>
      </c>
      <c r="O1471" s="5">
        <v>46035</v>
      </c>
      <c r="P1471">
        <f t="shared" si="135"/>
        <v>0.99956135035316329</v>
      </c>
      <c r="Q1471" s="6">
        <f t="shared" si="136"/>
        <v>1.000300090027008</v>
      </c>
      <c r="R1471">
        <f t="shared" si="137"/>
        <v>-7.3879089073829293E-4</v>
      </c>
      <c r="T1471" s="5">
        <v>46035</v>
      </c>
      <c r="U1471" s="1">
        <v>-7.3879089073829293E-4</v>
      </c>
    </row>
    <row r="1472" spans="3:21" x14ac:dyDescent="0.2">
      <c r="C1472" s="5">
        <v>46036</v>
      </c>
      <c r="D1472" s="6">
        <v>0.99975000000000003</v>
      </c>
      <c r="E1472" s="6">
        <v>96971.8</v>
      </c>
      <c r="F1472" s="6">
        <v>96905.9</v>
      </c>
      <c r="G1472" s="6">
        <v>97038.53</v>
      </c>
      <c r="H1472" s="6">
        <v>96885</v>
      </c>
      <c r="I1472" s="5">
        <v>46036</v>
      </c>
      <c r="J1472" s="7">
        <f t="shared" si="134"/>
        <v>-8.9510558739760331E-4</v>
      </c>
      <c r="K1472" s="5">
        <v>46036</v>
      </c>
      <c r="L1472" s="8">
        <f t="shared" si="132"/>
        <v>1.3686473166237005E-3</v>
      </c>
      <c r="M1472" s="5">
        <v>46036</v>
      </c>
      <c r="N1472" s="9">
        <f t="shared" si="133"/>
        <v>4.7354172922609722E-4</v>
      </c>
      <c r="O1472" s="5">
        <v>46036</v>
      </c>
      <c r="P1472">
        <f t="shared" si="135"/>
        <v>0.99841784495292751</v>
      </c>
      <c r="Q1472" s="6">
        <f t="shared" si="136"/>
        <v>1.000250062515629</v>
      </c>
      <c r="R1472">
        <f t="shared" si="137"/>
        <v>-1.8334392313047666E-3</v>
      </c>
      <c r="T1472" s="5">
        <v>46036</v>
      </c>
      <c r="U1472" s="1">
        <v>-1.8334392313047666E-3</v>
      </c>
    </row>
    <row r="1473" spans="3:21" x14ac:dyDescent="0.2">
      <c r="C1473" s="5">
        <v>46037</v>
      </c>
      <c r="D1473" s="6">
        <v>0.99978999999999996</v>
      </c>
      <c r="E1473" s="6">
        <v>95593.2</v>
      </c>
      <c r="F1473" s="6">
        <v>95521</v>
      </c>
      <c r="G1473" s="6">
        <v>95551.77</v>
      </c>
      <c r="H1473" s="6">
        <v>95540</v>
      </c>
      <c r="I1473" s="5">
        <v>46037</v>
      </c>
      <c r="J1473" s="7">
        <f t="shared" si="134"/>
        <v>-5.5652494110456697E-4</v>
      </c>
      <c r="K1473" s="5">
        <v>46037</v>
      </c>
      <c r="L1473" s="8">
        <f t="shared" si="132"/>
        <v>3.2212811842426348E-4</v>
      </c>
      <c r="M1473" s="5">
        <v>46037</v>
      </c>
      <c r="N1473" s="9">
        <f t="shared" si="133"/>
        <v>-2.3439682268030349E-4</v>
      </c>
      <c r="O1473" s="5">
        <v>46037</v>
      </c>
      <c r="P1473">
        <f t="shared" si="135"/>
        <v>0.99987682070148975</v>
      </c>
      <c r="Q1473" s="6">
        <f t="shared" si="136"/>
        <v>1.000210044109263</v>
      </c>
      <c r="R1473">
        <f t="shared" si="137"/>
        <v>-3.3320893879062958E-4</v>
      </c>
      <c r="T1473" s="5">
        <v>46037</v>
      </c>
      <c r="U1473" s="1">
        <v>-3.3320893879062958E-4</v>
      </c>
    </row>
    <row r="1474" spans="3:21" x14ac:dyDescent="0.2">
      <c r="C1474" s="5">
        <v>46038</v>
      </c>
      <c r="D1474" s="6">
        <v>0.99980999999999998</v>
      </c>
      <c r="E1474" s="6">
        <v>95531.5</v>
      </c>
      <c r="F1474" s="6">
        <v>95467.9</v>
      </c>
      <c r="G1474" s="6">
        <v>95512.19</v>
      </c>
      <c r="H1474" s="6">
        <v>95486.2</v>
      </c>
      <c r="I1474" s="5">
        <v>46038</v>
      </c>
      <c r="J1474" s="7">
        <f t="shared" si="134"/>
        <v>-4.7418914180142582E-4</v>
      </c>
      <c r="K1474" s="5">
        <v>46038</v>
      </c>
      <c r="L1474" s="8">
        <f t="shared" si="132"/>
        <v>4.6392557079403813E-4</v>
      </c>
      <c r="M1474" s="5">
        <v>46038</v>
      </c>
      <c r="N1474" s="9">
        <f t="shared" si="133"/>
        <v>-1.0263571007387688E-5</v>
      </c>
      <c r="O1474" s="5">
        <v>46038</v>
      </c>
      <c r="P1474">
        <f t="shared" si="135"/>
        <v>0.99972788813658231</v>
      </c>
      <c r="Q1474" s="6">
        <f t="shared" si="136"/>
        <v>1.0001900361068603</v>
      </c>
      <c r="R1474">
        <f t="shared" si="137"/>
        <v>-4.6216694485500578E-4</v>
      </c>
      <c r="T1474" s="5">
        <v>46038</v>
      </c>
      <c r="U1474" s="1">
        <v>-4.6216694485500578E-4</v>
      </c>
    </row>
    <row r="1475" spans="3:21" x14ac:dyDescent="0.2">
      <c r="C1475" s="5">
        <v>46039</v>
      </c>
      <c r="D1475" s="6">
        <v>0.99980000000000002</v>
      </c>
      <c r="E1475" s="6">
        <v>95131.8</v>
      </c>
      <c r="F1475" s="6">
        <v>95083.1</v>
      </c>
      <c r="G1475" s="6">
        <v>95168.83</v>
      </c>
      <c r="H1475" s="6">
        <v>95080.7</v>
      </c>
      <c r="I1475" s="5">
        <v>46039</v>
      </c>
      <c r="J1475" s="7">
        <f t="shared" si="134"/>
        <v>-5.371495125710416E-4</v>
      </c>
      <c r="K1475" s="5">
        <v>46039</v>
      </c>
      <c r="L1475" s="8">
        <f t="shared" si="132"/>
        <v>9.0163236158682166E-4</v>
      </c>
      <c r="M1475" s="5">
        <v>46039</v>
      </c>
      <c r="N1475" s="9">
        <f t="shared" si="133"/>
        <v>3.6448284901578005E-4</v>
      </c>
      <c r="O1475" s="5">
        <v>46039</v>
      </c>
      <c r="P1475">
        <f t="shared" si="135"/>
        <v>0.99907396150609384</v>
      </c>
      <c r="Q1475" s="6">
        <f t="shared" si="136"/>
        <v>1.0002000400080016</v>
      </c>
      <c r="R1475">
        <f t="shared" si="137"/>
        <v>-1.1264875351104868E-3</v>
      </c>
      <c r="T1475" s="5">
        <v>46039</v>
      </c>
      <c r="U1475" s="1">
        <v>-1.1264875351104868E-3</v>
      </c>
    </row>
    <row r="1476" spans="3:21" x14ac:dyDescent="0.2">
      <c r="C1476" s="5">
        <v>46040</v>
      </c>
      <c r="D1476" s="6">
        <v>0.99970000000000003</v>
      </c>
      <c r="E1476" s="6">
        <v>93641.9</v>
      </c>
      <c r="F1476" s="6">
        <v>93593.9</v>
      </c>
      <c r="G1476" s="6">
        <v>93628.05</v>
      </c>
      <c r="H1476" s="6">
        <v>93611.8</v>
      </c>
      <c r="I1476" s="5">
        <v>46040</v>
      </c>
      <c r="J1476" s="7">
        <f t="shared" si="134"/>
        <v>-3.2143730530874822E-4</v>
      </c>
      <c r="K1476" s="5">
        <v>46040</v>
      </c>
      <c r="L1476" s="8">
        <f t="shared" si="132"/>
        <v>3.6487420654560538E-4</v>
      </c>
      <c r="M1476" s="5">
        <v>46040</v>
      </c>
      <c r="N1476" s="9">
        <f t="shared" si="133"/>
        <v>4.3436901236857165E-5</v>
      </c>
      <c r="O1476" s="5">
        <v>46040</v>
      </c>
      <c r="P1476">
        <f t="shared" si="135"/>
        <v>0.99982644090099071</v>
      </c>
      <c r="Q1476" s="6">
        <f t="shared" si="136"/>
        <v>1.000300090027008</v>
      </c>
      <c r="R1476">
        <f t="shared" si="137"/>
        <v>-4.7361917113464687E-4</v>
      </c>
      <c r="T1476" s="5">
        <v>46040</v>
      </c>
      <c r="U1476" s="1">
        <v>-4.7361917113464687E-4</v>
      </c>
    </row>
    <row r="1477" spans="3:21" x14ac:dyDescent="0.2">
      <c r="C1477" s="5">
        <v>46041</v>
      </c>
      <c r="D1477" s="6">
        <v>0.99968999999999997</v>
      </c>
      <c r="E1477" s="6">
        <v>92587.1</v>
      </c>
      <c r="F1477" s="6">
        <v>92521.600000000006</v>
      </c>
      <c r="G1477" s="6">
        <v>92615.92</v>
      </c>
      <c r="H1477" s="6">
        <v>92544.6</v>
      </c>
      <c r="I1477" s="5">
        <v>46041</v>
      </c>
      <c r="J1477" s="7">
        <f t="shared" si="134"/>
        <v>-4.5902722949525362E-4</v>
      </c>
      <c r="K1477" s="5">
        <v>46041</v>
      </c>
      <c r="L1477" s="8">
        <f t="shared" si="132"/>
        <v>1.0194376232143892E-3</v>
      </c>
      <c r="M1477" s="5">
        <v>46041</v>
      </c>
      <c r="N1477" s="9">
        <f t="shared" si="133"/>
        <v>5.6041039371913554E-4</v>
      </c>
      <c r="O1477" s="5">
        <v>46041</v>
      </c>
      <c r="P1477">
        <f t="shared" si="135"/>
        <v>0.99922993800633841</v>
      </c>
      <c r="Q1477" s="6">
        <f t="shared" si="136"/>
        <v>1.0003100961298004</v>
      </c>
      <c r="R1477">
        <f t="shared" si="137"/>
        <v>-1.0804067036337794E-3</v>
      </c>
      <c r="T1477" s="5">
        <v>46041</v>
      </c>
      <c r="U1477" s="1">
        <v>-1.0804067036337794E-3</v>
      </c>
    </row>
    <row r="1478" spans="3:21" x14ac:dyDescent="0.2">
      <c r="C1478" s="5">
        <v>46042</v>
      </c>
      <c r="D1478" s="6">
        <v>0.99973999999999996</v>
      </c>
      <c r="E1478" s="6">
        <v>88343.7</v>
      </c>
      <c r="F1478" s="6">
        <v>88275.6</v>
      </c>
      <c r="G1478" s="6">
        <v>88371.68</v>
      </c>
      <c r="H1478" s="6">
        <v>88293.5</v>
      </c>
      <c r="I1478" s="5">
        <v>46042</v>
      </c>
      <c r="J1478" s="7">
        <f t="shared" si="134"/>
        <v>-5.6823519956711224E-4</v>
      </c>
      <c r="K1478" s="5">
        <v>46042</v>
      </c>
      <c r="L1478" s="8">
        <f t="shared" si="132"/>
        <v>1.0884094812155022E-3</v>
      </c>
      <c r="M1478" s="5">
        <v>46042</v>
      </c>
      <c r="N1478" s="9">
        <f t="shared" si="133"/>
        <v>5.2017428164838992E-4</v>
      </c>
      <c r="O1478" s="5">
        <v>46042</v>
      </c>
      <c r="P1478">
        <f t="shared" si="135"/>
        <v>0.99911532744426723</v>
      </c>
      <c r="Q1478" s="6">
        <f t="shared" si="136"/>
        <v>1.0002600676175806</v>
      </c>
      <c r="R1478">
        <f t="shared" si="137"/>
        <v>-1.1450979153063005E-3</v>
      </c>
      <c r="T1478" s="5">
        <v>46042</v>
      </c>
      <c r="U1478" s="1">
        <v>-1.1450979153063005E-3</v>
      </c>
    </row>
    <row r="1479" spans="3:21" x14ac:dyDescent="0.2">
      <c r="C1479" s="5">
        <v>46043</v>
      </c>
      <c r="D1479" s="6">
        <v>0.99968999999999997</v>
      </c>
      <c r="E1479" s="6">
        <v>89395.9</v>
      </c>
      <c r="F1479" s="6">
        <v>89336</v>
      </c>
      <c r="G1479" s="6">
        <v>89423.87</v>
      </c>
      <c r="H1479" s="6">
        <v>89364.5</v>
      </c>
      <c r="I1479" s="5">
        <v>46043</v>
      </c>
      <c r="J1479" s="7">
        <f t="shared" si="134"/>
        <v>-3.5124653367765393E-4</v>
      </c>
      <c r="K1479" s="5">
        <v>46043</v>
      </c>
      <c r="L1479" s="8">
        <f t="shared" si="132"/>
        <v>9.8359004208824381E-4</v>
      </c>
      <c r="M1479" s="5">
        <v>46043</v>
      </c>
      <c r="N1479" s="9">
        <f t="shared" si="133"/>
        <v>6.3234350841058994E-4</v>
      </c>
      <c r="O1479" s="5">
        <v>46043</v>
      </c>
      <c r="P1479">
        <f t="shared" si="135"/>
        <v>0.99933608330751078</v>
      </c>
      <c r="Q1479" s="6">
        <f t="shared" si="136"/>
        <v>1.0003100961298004</v>
      </c>
      <c r="R1479">
        <f t="shared" si="137"/>
        <v>-9.7418524270611185E-4</v>
      </c>
      <c r="T1479" s="5">
        <v>46043</v>
      </c>
      <c r="U1479" s="1">
        <v>-9.7418524270611185E-4</v>
      </c>
    </row>
    <row r="1480" spans="3:21" x14ac:dyDescent="0.2">
      <c r="C1480" s="5">
        <v>46044</v>
      </c>
      <c r="D1480" s="6">
        <v>0.99968999999999997</v>
      </c>
      <c r="E1480" s="6">
        <v>89483.4</v>
      </c>
      <c r="F1480" s="6">
        <v>89441.1</v>
      </c>
      <c r="G1480" s="6">
        <v>89460.25</v>
      </c>
      <c r="H1480" s="6">
        <v>89444.7</v>
      </c>
      <c r="I1480" s="5">
        <v>46044</v>
      </c>
      <c r="J1480" s="7">
        <f t="shared" si="134"/>
        <v>-4.3248244925871268E-4</v>
      </c>
      <c r="K1480" s="5">
        <v>46044</v>
      </c>
      <c r="L1480" s="8">
        <f t="shared" si="132"/>
        <v>2.1410738463630455E-4</v>
      </c>
      <c r="M1480" s="5">
        <v>46044</v>
      </c>
      <c r="N1480" s="9">
        <f t="shared" si="133"/>
        <v>-2.1837506462240813E-4</v>
      </c>
      <c r="O1480" s="5">
        <v>46044</v>
      </c>
      <c r="P1480">
        <f t="shared" si="135"/>
        <v>0.99982617978375876</v>
      </c>
      <c r="Q1480" s="6">
        <f t="shared" si="136"/>
        <v>1.0003100961298004</v>
      </c>
      <c r="R1480">
        <f t="shared" si="137"/>
        <v>-4.8388338465859686E-4</v>
      </c>
      <c r="T1480" s="5">
        <v>46044</v>
      </c>
      <c r="U1480" s="1">
        <v>-4.8388338465859686E-4</v>
      </c>
    </row>
    <row r="1481" spans="3:21" x14ac:dyDescent="0.2">
      <c r="C1481" s="5">
        <v>46045</v>
      </c>
      <c r="D1481" s="6">
        <v>0.99963000000000002</v>
      </c>
      <c r="E1481" s="6">
        <v>89512.2</v>
      </c>
      <c r="F1481" s="6">
        <v>89454.1</v>
      </c>
      <c r="G1481" s="6">
        <v>89516.72</v>
      </c>
      <c r="H1481" s="6">
        <v>89468.2</v>
      </c>
      <c r="I1481" s="5">
        <v>46045</v>
      </c>
      <c r="J1481" s="7">
        <f t="shared" si="134"/>
        <v>-4.9155310672735117E-4</v>
      </c>
      <c r="K1481" s="5">
        <v>46045</v>
      </c>
      <c r="L1481" s="8">
        <f t="shared" si="132"/>
        <v>7.0002381109412917E-4</v>
      </c>
      <c r="M1481" s="5">
        <v>46045</v>
      </c>
      <c r="N1481" s="9">
        <f t="shared" si="133"/>
        <v>2.08470704366778E-4</v>
      </c>
      <c r="O1481" s="5">
        <v>46045</v>
      </c>
      <c r="P1481">
        <f t="shared" si="135"/>
        <v>0.99945797835309425</v>
      </c>
      <c r="Q1481" s="6">
        <f t="shared" si="136"/>
        <v>1.0003701369506717</v>
      </c>
      <c r="R1481">
        <f t="shared" si="137"/>
        <v>-9.1223706062885641E-4</v>
      </c>
      <c r="T1481" s="5">
        <v>46045</v>
      </c>
      <c r="U1481" s="1">
        <v>-9.1223706062885641E-4</v>
      </c>
    </row>
    <row r="1482" spans="3:21" x14ac:dyDescent="0.2">
      <c r="C1482" s="5">
        <v>46046</v>
      </c>
      <c r="D1482" s="6">
        <v>0.99961</v>
      </c>
      <c r="E1482" s="6">
        <v>89118.399999999994</v>
      </c>
      <c r="F1482" s="6">
        <v>89058</v>
      </c>
      <c r="G1482" s="6">
        <v>89128.69</v>
      </c>
      <c r="H1482" s="6">
        <v>89073.2</v>
      </c>
      <c r="I1482" s="5">
        <v>46046</v>
      </c>
      <c r="J1482" s="7">
        <f t="shared" si="134"/>
        <v>-5.0719043429860828E-4</v>
      </c>
      <c r="K1482" s="5">
        <v>46046</v>
      </c>
      <c r="L1482" s="8">
        <f t="shared" si="132"/>
        <v>7.9375238608549853E-4</v>
      </c>
      <c r="M1482" s="5">
        <v>46046</v>
      </c>
      <c r="N1482" s="9">
        <f t="shared" si="133"/>
        <v>2.8656195178689025E-4</v>
      </c>
      <c r="O1482" s="5">
        <v>46046</v>
      </c>
      <c r="P1482">
        <f t="shared" si="135"/>
        <v>0.99937741708085237</v>
      </c>
      <c r="Q1482" s="6">
        <f t="shared" si="136"/>
        <v>1.0003901521593421</v>
      </c>
      <c r="R1482">
        <f t="shared" si="137"/>
        <v>-1.0128528741492956E-3</v>
      </c>
      <c r="T1482" s="5">
        <v>46046</v>
      </c>
      <c r="U1482" s="1">
        <v>-1.0128528741492956E-3</v>
      </c>
    </row>
    <row r="1483" spans="3:21" x14ac:dyDescent="0.2">
      <c r="C1483" s="5">
        <v>46047</v>
      </c>
      <c r="D1483" s="6">
        <v>0.99968000000000001</v>
      </c>
      <c r="E1483" s="6">
        <v>86588.9</v>
      </c>
      <c r="F1483" s="6">
        <v>86549.7</v>
      </c>
      <c r="G1483" s="6">
        <v>86563.18</v>
      </c>
      <c r="H1483" s="6">
        <v>86555.6</v>
      </c>
      <c r="I1483" s="5">
        <v>46047</v>
      </c>
      <c r="J1483" s="7">
        <f t="shared" si="134"/>
        <v>-3.8457585210100093E-4</v>
      </c>
      <c r="K1483" s="5">
        <v>46047</v>
      </c>
      <c r="L1483" s="8">
        <f t="shared" ref="L1483:L1492" si="138">(G1483-F1483)/F1483</f>
        <v>1.5574866232922731E-4</v>
      </c>
      <c r="M1483" s="5">
        <v>46047</v>
      </c>
      <c r="N1483" s="9">
        <f t="shared" ref="N1483:N1492" si="139">J1483+L1483</f>
        <v>-2.2882718977177362E-4</v>
      </c>
      <c r="O1483" s="5">
        <v>46047</v>
      </c>
      <c r="P1483">
        <f t="shared" si="135"/>
        <v>0.99991243390088047</v>
      </c>
      <c r="Q1483" s="6">
        <f t="shared" si="136"/>
        <v>1.0003201024327786</v>
      </c>
      <c r="R1483">
        <f t="shared" si="137"/>
        <v>-4.0762114417958802E-4</v>
      </c>
      <c r="T1483" s="5">
        <v>46047</v>
      </c>
      <c r="U1483" s="1">
        <v>-4.0762114417958802E-4</v>
      </c>
    </row>
    <row r="1484" spans="3:21" x14ac:dyDescent="0.2">
      <c r="C1484" s="5">
        <v>46048</v>
      </c>
      <c r="D1484" s="6">
        <v>0.99965000000000004</v>
      </c>
      <c r="E1484" s="6">
        <v>88272.1</v>
      </c>
      <c r="F1484" s="6">
        <v>88223.6</v>
      </c>
      <c r="G1484" s="6">
        <v>88311.6</v>
      </c>
      <c r="H1484" s="6">
        <v>88234.4</v>
      </c>
      <c r="I1484" s="5">
        <v>46048</v>
      </c>
      <c r="J1484" s="7">
        <f t="shared" ref="J1484:J1492" si="140">(H1484-E1484)/E1484</f>
        <v>-4.2708851381140407E-4</v>
      </c>
      <c r="K1484" s="5">
        <v>46048</v>
      </c>
      <c r="L1484" s="8">
        <f t="shared" si="138"/>
        <v>9.9746553076501062E-4</v>
      </c>
      <c r="M1484" s="5">
        <v>46048</v>
      </c>
      <c r="N1484" s="9">
        <f t="shared" si="139"/>
        <v>5.7037701695360655E-4</v>
      </c>
      <c r="O1484" s="5">
        <v>46048</v>
      </c>
      <c r="P1484">
        <f t="shared" ref="P1484:P1492" si="141">(1/G1484)*H1484</f>
        <v>0.99912582265523431</v>
      </c>
      <c r="Q1484" s="6">
        <f t="shared" ref="Q1484:Q1492" si="142">1/D1484</f>
        <v>1.0003501225428899</v>
      </c>
      <c r="R1484">
        <f t="shared" ref="R1484:R1492" si="143">LN(P1484/Q1484)</f>
        <v>-1.2246209249002478E-3</v>
      </c>
      <c r="T1484" s="5">
        <v>46048</v>
      </c>
      <c r="U1484" s="1">
        <v>-1.2246209249002478E-3</v>
      </c>
    </row>
    <row r="1485" spans="3:21" x14ac:dyDescent="0.2">
      <c r="C1485" s="5">
        <v>46049</v>
      </c>
      <c r="D1485" s="6">
        <v>0.99965000000000004</v>
      </c>
      <c r="E1485" s="6">
        <v>89151.4</v>
      </c>
      <c r="F1485" s="6">
        <v>89092.5</v>
      </c>
      <c r="G1485" s="6">
        <v>89136.9</v>
      </c>
      <c r="H1485" s="6">
        <v>89129.600000000006</v>
      </c>
      <c r="I1485" s="5">
        <v>46049</v>
      </c>
      <c r="J1485" s="7">
        <f t="shared" si="140"/>
        <v>-2.4452784813237214E-4</v>
      </c>
      <c r="K1485" s="5">
        <v>46049</v>
      </c>
      <c r="L1485" s="8">
        <f t="shared" si="138"/>
        <v>4.9835844768071592E-4</v>
      </c>
      <c r="M1485" s="5">
        <v>46049</v>
      </c>
      <c r="N1485" s="9">
        <f t="shared" si="139"/>
        <v>2.5383059954834378E-4</v>
      </c>
      <c r="O1485" s="5">
        <v>46049</v>
      </c>
      <c r="P1485">
        <f t="shared" si="141"/>
        <v>0.99991810350146815</v>
      </c>
      <c r="Q1485" s="6">
        <f t="shared" si="142"/>
        <v>1.0003501225428899</v>
      </c>
      <c r="R1485">
        <f t="shared" si="143"/>
        <v>-4.319611165284848E-4</v>
      </c>
      <c r="T1485" s="5">
        <v>46049</v>
      </c>
      <c r="U1485" s="1">
        <v>-4.319611165284848E-4</v>
      </c>
    </row>
    <row r="1486" spans="3:21" x14ac:dyDescent="0.2">
      <c r="C1486" s="5">
        <v>46050</v>
      </c>
      <c r="D1486" s="6">
        <v>0.99958999999999998</v>
      </c>
      <c r="E1486" s="6">
        <v>89198</v>
      </c>
      <c r="F1486" s="6">
        <v>89148</v>
      </c>
      <c r="G1486" s="6">
        <v>89194.06</v>
      </c>
      <c r="H1486" s="6">
        <v>89166.3</v>
      </c>
      <c r="I1486" s="5">
        <v>46050</v>
      </c>
      <c r="J1486" s="7">
        <f t="shared" si="140"/>
        <v>-3.5538913428548948E-4</v>
      </c>
      <c r="K1486" s="5">
        <v>46050</v>
      </c>
      <c r="L1486" s="8">
        <f t="shared" si="138"/>
        <v>5.1666891012695369E-4</v>
      </c>
      <c r="M1486" s="5">
        <v>46050</v>
      </c>
      <c r="N1486" s="9">
        <f t="shared" si="139"/>
        <v>1.6127977584146422E-4</v>
      </c>
      <c r="O1486" s="5">
        <v>46050</v>
      </c>
      <c r="P1486">
        <f t="shared" si="141"/>
        <v>0.99968876851216326</v>
      </c>
      <c r="Q1486" s="6">
        <f t="shared" si="142"/>
        <v>1.0004101681689492</v>
      </c>
      <c r="R1486">
        <f t="shared" si="143"/>
        <v>-7.2136400338843022E-4</v>
      </c>
      <c r="T1486" s="5">
        <v>46050</v>
      </c>
      <c r="U1486" s="1">
        <v>-7.2136400338843022E-4</v>
      </c>
    </row>
    <row r="1487" spans="3:21" x14ac:dyDescent="0.2">
      <c r="C1487" s="5">
        <v>46051</v>
      </c>
      <c r="D1487" s="6">
        <v>0.99968000000000001</v>
      </c>
      <c r="E1487" s="6">
        <v>84534.9</v>
      </c>
      <c r="F1487" s="6">
        <v>84472</v>
      </c>
      <c r="G1487" s="6">
        <v>84614.57</v>
      </c>
      <c r="H1487" s="6">
        <v>84526.8</v>
      </c>
      <c r="I1487" s="5">
        <v>46051</v>
      </c>
      <c r="J1487" s="7">
        <f t="shared" si="140"/>
        <v>-9.5818413459899628E-5</v>
      </c>
      <c r="K1487" s="5">
        <v>46051</v>
      </c>
      <c r="L1487" s="8">
        <f t="shared" si="138"/>
        <v>1.6877781986931407E-3</v>
      </c>
      <c r="M1487" s="5">
        <v>46051</v>
      </c>
      <c r="N1487" s="9">
        <f t="shared" si="139"/>
        <v>1.5919597852332411E-3</v>
      </c>
      <c r="O1487" s="5">
        <v>46051</v>
      </c>
      <c r="P1487">
        <f t="shared" si="141"/>
        <v>0.99896270819552702</v>
      </c>
      <c r="Q1487" s="6">
        <f t="shared" si="142"/>
        <v>1.0003201024327786</v>
      </c>
      <c r="R1487">
        <f t="shared" si="143"/>
        <v>-1.3578813748649386E-3</v>
      </c>
      <c r="T1487" s="5">
        <v>46051</v>
      </c>
      <c r="U1487" s="1">
        <v>-1.3578813748649386E-3</v>
      </c>
    </row>
    <row r="1488" spans="3:21" x14ac:dyDescent="0.2">
      <c r="C1488" s="5">
        <v>46052</v>
      </c>
      <c r="D1488" s="6">
        <v>0.99960000000000004</v>
      </c>
      <c r="E1488" s="6">
        <v>84159.1</v>
      </c>
      <c r="F1488" s="6">
        <v>84106.2</v>
      </c>
      <c r="G1488" s="6">
        <v>84156.7</v>
      </c>
      <c r="H1488" s="6">
        <v>84121.4</v>
      </c>
      <c r="I1488" s="5">
        <v>46052</v>
      </c>
      <c r="J1488" s="7">
        <f t="shared" si="140"/>
        <v>-4.4796106422254561E-4</v>
      </c>
      <c r="K1488" s="5">
        <v>46052</v>
      </c>
      <c r="L1488" s="8">
        <f t="shared" si="138"/>
        <v>6.004313594003772E-4</v>
      </c>
      <c r="M1488" s="5">
        <v>46052</v>
      </c>
      <c r="N1488" s="9">
        <f t="shared" si="139"/>
        <v>1.5247029517783159E-4</v>
      </c>
      <c r="O1488" s="5">
        <v>46052</v>
      </c>
      <c r="P1488">
        <f t="shared" si="141"/>
        <v>0.99958054438921684</v>
      </c>
      <c r="Q1488" s="6">
        <f t="shared" si="142"/>
        <v>1.0004001600640255</v>
      </c>
      <c r="R1488">
        <f t="shared" si="143"/>
        <v>-8.1962362823538809E-4</v>
      </c>
      <c r="T1488" s="5">
        <v>46052</v>
      </c>
      <c r="U1488" s="1">
        <v>-8.1962362823538809E-4</v>
      </c>
    </row>
    <row r="1489" spans="3:21" x14ac:dyDescent="0.2">
      <c r="C1489" s="5">
        <v>46053</v>
      </c>
      <c r="D1489" s="6">
        <v>0.99965000000000004</v>
      </c>
      <c r="E1489" s="6">
        <v>78694.2</v>
      </c>
      <c r="F1489" s="6">
        <v>78642.600000000006</v>
      </c>
      <c r="G1489" s="6">
        <v>78610.81</v>
      </c>
      <c r="H1489" s="6">
        <v>78657.7</v>
      </c>
      <c r="I1489" s="5">
        <v>46053</v>
      </c>
      <c r="J1489" s="7">
        <f t="shared" si="140"/>
        <v>-4.6382071359769844E-4</v>
      </c>
      <c r="K1489" s="5">
        <v>46053</v>
      </c>
      <c r="L1489" s="8">
        <f t="shared" si="138"/>
        <v>-4.0423383764026302E-4</v>
      </c>
      <c r="M1489" s="5">
        <v>46053</v>
      </c>
      <c r="N1489" s="9">
        <f t="shared" si="139"/>
        <v>-8.6805455123796147E-4</v>
      </c>
      <c r="O1489" s="5">
        <v>46053</v>
      </c>
      <c r="P1489">
        <f t="shared" si="141"/>
        <v>1.0005964828501321</v>
      </c>
      <c r="Q1489" s="6">
        <f t="shared" si="142"/>
        <v>1.0003501225428899</v>
      </c>
      <c r="R1489">
        <f t="shared" si="143"/>
        <v>2.462437606511233E-4</v>
      </c>
      <c r="T1489" s="5">
        <v>46053</v>
      </c>
      <c r="U1489" s="1">
        <v>2.462437606511233E-4</v>
      </c>
    </row>
    <row r="1490" spans="3:21" x14ac:dyDescent="0.2">
      <c r="C1490" s="5">
        <v>46054</v>
      </c>
      <c r="D1490" s="6">
        <v>0.99972000000000005</v>
      </c>
      <c r="E1490" s="6">
        <v>76901.8</v>
      </c>
      <c r="F1490" s="6">
        <v>76869</v>
      </c>
      <c r="G1490" s="6">
        <v>77004.320000000007</v>
      </c>
      <c r="H1490" s="6">
        <v>76884.3</v>
      </c>
      <c r="I1490" s="5">
        <v>46054</v>
      </c>
      <c r="J1490" s="7">
        <f t="shared" si="140"/>
        <v>-2.2756294391028557E-4</v>
      </c>
      <c r="K1490" s="5">
        <v>46054</v>
      </c>
      <c r="L1490" s="8">
        <f t="shared" si="138"/>
        <v>1.7603975594844084E-3</v>
      </c>
      <c r="M1490" s="5">
        <v>46054</v>
      </c>
      <c r="N1490" s="9">
        <f t="shared" si="139"/>
        <v>1.5328346155741228E-3</v>
      </c>
      <c r="O1490" s="5">
        <v>46054</v>
      </c>
      <c r="P1490">
        <f t="shared" si="141"/>
        <v>0.9984413861456084</v>
      </c>
      <c r="Q1490" s="6">
        <f t="shared" si="142"/>
        <v>1.0002800784219581</v>
      </c>
      <c r="R1490">
        <f t="shared" si="143"/>
        <v>-1.8398689638628686E-3</v>
      </c>
      <c r="T1490" s="5">
        <v>46054</v>
      </c>
      <c r="U1490" s="1">
        <v>-1.8398689638628686E-3</v>
      </c>
    </row>
    <row r="1491" spans="3:21" x14ac:dyDescent="0.2">
      <c r="C1491" s="5">
        <v>46055</v>
      </c>
      <c r="D1491" s="6">
        <v>0.99968999999999997</v>
      </c>
      <c r="E1491" s="6">
        <v>78694.2</v>
      </c>
      <c r="F1491" s="6">
        <v>78649.5</v>
      </c>
      <c r="G1491" s="6">
        <v>78690.16</v>
      </c>
      <c r="H1491" s="6">
        <v>78638.8</v>
      </c>
      <c r="I1491" s="5">
        <v>46055</v>
      </c>
      <c r="J1491" s="7">
        <f t="shared" si="140"/>
        <v>-7.0399089132355602E-4</v>
      </c>
      <c r="K1491" s="5">
        <v>46055</v>
      </c>
      <c r="L1491" s="8">
        <f t="shared" si="138"/>
        <v>5.1697722172427659E-4</v>
      </c>
      <c r="M1491" s="5">
        <v>46055</v>
      </c>
      <c r="N1491" s="9">
        <f t="shared" si="139"/>
        <v>-1.8701366959927943E-4</v>
      </c>
      <c r="O1491" s="5">
        <v>46055</v>
      </c>
      <c r="P1491">
        <f t="shared" si="141"/>
        <v>0.99934731356499984</v>
      </c>
      <c r="Q1491" s="6">
        <f t="shared" si="142"/>
        <v>1.0003100961298004</v>
      </c>
      <c r="R1491">
        <f t="shared" si="143"/>
        <v>-9.6294758745093698E-4</v>
      </c>
      <c r="T1491" s="5">
        <v>46055</v>
      </c>
      <c r="U1491" s="1">
        <v>-9.6294758745093698E-4</v>
      </c>
    </row>
    <row r="1492" spans="3:21" x14ac:dyDescent="0.2">
      <c r="C1492" s="5">
        <v>46056</v>
      </c>
      <c r="D1492" s="6">
        <v>0.99968999999999997</v>
      </c>
      <c r="E1492" s="6">
        <v>78967.100000000006</v>
      </c>
      <c r="F1492" s="6">
        <v>78918</v>
      </c>
      <c r="G1492" s="6">
        <v>78910.87</v>
      </c>
      <c r="H1492" s="6">
        <v>78936.399999999994</v>
      </c>
      <c r="I1492" s="5">
        <v>46056</v>
      </c>
      <c r="J1492" s="7">
        <f t="shared" si="140"/>
        <v>-3.8876950020972836E-4</v>
      </c>
      <c r="K1492" s="5">
        <v>46056</v>
      </c>
      <c r="L1492" s="8">
        <f t="shared" si="138"/>
        <v>-9.0346942395963612E-5</v>
      </c>
      <c r="M1492" s="5">
        <v>46056</v>
      </c>
      <c r="N1492" s="9">
        <f t="shared" si="139"/>
        <v>-4.7911644260569198E-4</v>
      </c>
      <c r="O1492" s="5">
        <v>46056</v>
      </c>
      <c r="P1492">
        <f t="shared" si="141"/>
        <v>1.000323529572035</v>
      </c>
      <c r="Q1492" s="6">
        <f t="shared" si="142"/>
        <v>1.0003100961298004</v>
      </c>
      <c r="R1492">
        <f t="shared" si="143"/>
        <v>1.3429187695571294E-5</v>
      </c>
      <c r="T1492" s="5">
        <v>46056</v>
      </c>
      <c r="U1492" s="1">
        <v>1.3429187695571294E-5</v>
      </c>
    </row>
    <row r="1493" spans="3:21" x14ac:dyDescent="0.2">
      <c r="D1493">
        <f>AVERAGE(D11:D1492)</f>
        <v>0.99991082321187841</v>
      </c>
    </row>
    <row r="1494" spans="3:21" x14ac:dyDescent="0.2">
      <c r="D1494" s="10">
        <f>STDEV(D11:D1492)</f>
        <v>8.9389065900190496E-4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A530-D54F-614C-B513-B96AFA568360}">
  <dimension ref="C2:U1491"/>
  <sheetViews>
    <sheetView topLeftCell="I1" zoomScale="75" workbookViewId="0">
      <selection activeCell="P11" sqref="P11"/>
    </sheetView>
  </sheetViews>
  <sheetFormatPr baseColWidth="10" defaultRowHeight="16" x14ac:dyDescent="0.2"/>
  <cols>
    <col min="2" max="2" width="10.83203125" customWidth="1"/>
    <col min="4" max="4" width="20.6640625" customWidth="1"/>
    <col min="5" max="5" width="20.83203125" customWidth="1"/>
    <col min="6" max="7" width="22.83203125" customWidth="1"/>
    <col min="8" max="8" width="22.1640625" customWidth="1"/>
    <col min="10" max="10" width="34.33203125" customWidth="1"/>
    <col min="12" max="12" width="36.6640625" customWidth="1"/>
    <col min="14" max="14" width="38.1640625" style="1" customWidth="1"/>
    <col min="16" max="16" width="17" customWidth="1"/>
    <col min="17" max="17" width="20.6640625" customWidth="1"/>
    <col min="18" max="18" width="12.83203125" bestFit="1" customWidth="1"/>
    <col min="21" max="21" width="12.83203125" style="1" bestFit="1" customWidth="1"/>
  </cols>
  <sheetData>
    <row r="2" spans="3:21" x14ac:dyDescent="0.2">
      <c r="H2" t="s">
        <v>4</v>
      </c>
    </row>
    <row r="4" spans="3:21" x14ac:dyDescent="0.2">
      <c r="H4" t="s">
        <v>7</v>
      </c>
    </row>
    <row r="5" spans="3:21" x14ac:dyDescent="0.2">
      <c r="D5" s="2"/>
      <c r="H5" t="s">
        <v>10</v>
      </c>
      <c r="Q5" s="2"/>
    </row>
    <row r="7" spans="3:21" x14ac:dyDescent="0.2">
      <c r="C7" s="3" t="s">
        <v>16</v>
      </c>
      <c r="D7" s="3" t="s">
        <v>28</v>
      </c>
      <c r="E7" s="3" t="s">
        <v>29</v>
      </c>
      <c r="F7" s="3" t="s">
        <v>20</v>
      </c>
      <c r="G7" s="3" t="s">
        <v>19</v>
      </c>
      <c r="H7" s="3" t="s">
        <v>30</v>
      </c>
      <c r="I7" s="3" t="s">
        <v>16</v>
      </c>
      <c r="J7" s="3" t="s">
        <v>22</v>
      </c>
      <c r="K7" s="3" t="s">
        <v>16</v>
      </c>
      <c r="L7" s="3" t="s">
        <v>23</v>
      </c>
      <c r="M7" s="3" t="s">
        <v>16</v>
      </c>
      <c r="N7" s="4" t="s">
        <v>24</v>
      </c>
      <c r="O7" s="3" t="s">
        <v>16</v>
      </c>
      <c r="P7" s="3" t="s">
        <v>25</v>
      </c>
      <c r="Q7" s="3" t="s">
        <v>31</v>
      </c>
      <c r="R7" s="3" t="s">
        <v>27</v>
      </c>
      <c r="T7" s="3" t="s">
        <v>16</v>
      </c>
      <c r="U7" s="1" t="s">
        <v>27</v>
      </c>
    </row>
    <row r="8" spans="3:21" x14ac:dyDescent="0.2">
      <c r="C8" s="5">
        <v>44575</v>
      </c>
      <c r="D8" s="6">
        <v>1.0004</v>
      </c>
      <c r="E8" s="6">
        <v>43056.5</v>
      </c>
      <c r="F8" s="6">
        <v>43121.22</v>
      </c>
      <c r="G8" s="6">
        <v>43058.5</v>
      </c>
      <c r="H8" s="6">
        <v>43067.32</v>
      </c>
      <c r="I8" s="5">
        <v>44575</v>
      </c>
      <c r="J8" s="7">
        <f>(E8-H8)/H8</f>
        <v>-2.5123457879430873E-4</v>
      </c>
      <c r="K8" s="5">
        <v>44575</v>
      </c>
      <c r="L8" s="8">
        <f>(F8-G8)/G8</f>
        <v>1.4566229664294196E-3</v>
      </c>
      <c r="M8" s="5">
        <v>44575</v>
      </c>
      <c r="N8" s="9">
        <f t="shared" ref="N8:N71" si="0">J8+L8</f>
        <v>1.205388387635111E-3</v>
      </c>
      <c r="O8" s="5">
        <v>44575</v>
      </c>
      <c r="P8">
        <f t="shared" ref="P8:P71" si="1">(1/G8)*H8</f>
        <v>1.0002048376046542</v>
      </c>
      <c r="Q8" s="6">
        <f>1/D8</f>
        <v>0.99960015993602558</v>
      </c>
      <c r="R8">
        <f>LN(P8/Q8)</f>
        <v>6.0473664962337422E-4</v>
      </c>
      <c r="T8" s="5">
        <v>44575</v>
      </c>
      <c r="U8" s="1">
        <v>6.0473664962337422E-4</v>
      </c>
    </row>
    <row r="9" spans="3:21" x14ac:dyDescent="0.2">
      <c r="C9" s="5">
        <v>44576</v>
      </c>
      <c r="D9" s="6">
        <v>1.0003200000000001</v>
      </c>
      <c r="E9" s="6">
        <v>43083</v>
      </c>
      <c r="F9" s="6">
        <v>43146.080000000002</v>
      </c>
      <c r="G9" s="6">
        <v>43070</v>
      </c>
      <c r="H9" s="6">
        <v>43070</v>
      </c>
      <c r="I9" s="5">
        <v>44576</v>
      </c>
      <c r="J9" s="7">
        <f t="shared" ref="J9:J72" si="2">(E9-H9)/H9</f>
        <v>3.0183422335732527E-4</v>
      </c>
      <c r="K9" s="5">
        <v>44576</v>
      </c>
      <c r="L9" s="8">
        <f t="shared" ref="L9:L72" si="3">(F9-G9)/G9</f>
        <v>1.7664267471558335E-3</v>
      </c>
      <c r="M9" s="5">
        <v>44576</v>
      </c>
      <c r="N9" s="9">
        <f t="shared" si="0"/>
        <v>2.0682609705131587E-3</v>
      </c>
      <c r="O9" s="5">
        <v>44576</v>
      </c>
      <c r="P9">
        <f t="shared" si="1"/>
        <v>1</v>
      </c>
      <c r="Q9" s="6">
        <f t="shared" ref="Q9:Q72" si="4">1/D9</f>
        <v>0.99968010236724236</v>
      </c>
      <c r="R9">
        <f t="shared" ref="R9:R72" si="5">LN(P9/Q9)</f>
        <v>3.1994881092014383E-4</v>
      </c>
      <c r="T9" s="5">
        <v>44576</v>
      </c>
      <c r="U9" s="1">
        <v>3.1994881092014383E-4</v>
      </c>
    </row>
    <row r="10" spans="3:21" x14ac:dyDescent="0.2">
      <c r="C10" s="5">
        <v>44577</v>
      </c>
      <c r="D10" s="6">
        <v>1.00024</v>
      </c>
      <c r="E10" s="6">
        <v>43051</v>
      </c>
      <c r="F10" s="6">
        <v>43122</v>
      </c>
      <c r="G10" s="6">
        <v>43056.5</v>
      </c>
      <c r="H10" s="6">
        <v>43080.24</v>
      </c>
      <c r="I10" s="5">
        <v>44577</v>
      </c>
      <c r="J10" s="7">
        <f t="shared" si="2"/>
        <v>-6.7873345180987765E-4</v>
      </c>
      <c r="K10" s="5">
        <v>44577</v>
      </c>
      <c r="L10" s="8">
        <f t="shared" si="3"/>
        <v>1.5212569530732875E-3</v>
      </c>
      <c r="M10" s="5">
        <v>44577</v>
      </c>
      <c r="N10" s="9">
        <f t="shared" si="0"/>
        <v>8.4252350126340987E-4</v>
      </c>
      <c r="O10" s="5">
        <v>44577</v>
      </c>
      <c r="P10">
        <f t="shared" si="1"/>
        <v>1.0005513685506253</v>
      </c>
      <c r="Q10" s="6">
        <f t="shared" si="4"/>
        <v>0.99976005758617925</v>
      </c>
      <c r="R10">
        <f t="shared" si="5"/>
        <v>7.9118780744350068E-4</v>
      </c>
      <c r="T10" s="5">
        <v>44577</v>
      </c>
      <c r="U10" s="1">
        <v>7.9118780744350068E-4</v>
      </c>
    </row>
    <row r="11" spans="3:21" x14ac:dyDescent="0.2">
      <c r="C11" s="5">
        <v>44578</v>
      </c>
      <c r="D11" s="6">
        <v>1.0004999999999999</v>
      </c>
      <c r="E11" s="6">
        <v>42200</v>
      </c>
      <c r="F11" s="6">
        <v>42287.63</v>
      </c>
      <c r="G11" s="6">
        <v>42198.5</v>
      </c>
      <c r="H11" s="6">
        <v>42203.61</v>
      </c>
      <c r="I11" s="5">
        <v>44578</v>
      </c>
      <c r="J11" s="7">
        <f t="shared" si="2"/>
        <v>-8.5537706371577744E-5</v>
      </c>
      <c r="K11" s="5">
        <v>44578</v>
      </c>
      <c r="L11" s="8">
        <f t="shared" si="3"/>
        <v>2.1121603848477406E-3</v>
      </c>
      <c r="M11" s="5">
        <v>44578</v>
      </c>
      <c r="N11" s="9">
        <f t="shared" si="0"/>
        <v>2.0266226784761629E-3</v>
      </c>
      <c r="O11" s="5">
        <v>44578</v>
      </c>
      <c r="P11">
        <f t="shared" si="1"/>
        <v>1.0001210943516949</v>
      </c>
      <c r="Q11" s="6">
        <f t="shared" si="4"/>
        <v>0.99950024987506247</v>
      </c>
      <c r="R11">
        <f t="shared" si="5"/>
        <v>6.2096206201686698E-4</v>
      </c>
      <c r="T11" s="5">
        <v>44578</v>
      </c>
      <c r="U11" s="1">
        <v>6.2096206201686698E-4</v>
      </c>
    </row>
    <row r="12" spans="3:21" x14ac:dyDescent="0.2">
      <c r="C12" s="5">
        <v>44579</v>
      </c>
      <c r="D12" s="6">
        <v>1.0002</v>
      </c>
      <c r="E12" s="6">
        <v>42332.5</v>
      </c>
      <c r="F12" s="6">
        <v>42404.77</v>
      </c>
      <c r="G12" s="6">
        <v>42365.5</v>
      </c>
      <c r="H12" s="6">
        <v>42361.25</v>
      </c>
      <c r="I12" s="5">
        <v>44579</v>
      </c>
      <c r="J12" s="7">
        <f t="shared" si="2"/>
        <v>-6.7868629938918235E-4</v>
      </c>
      <c r="K12" s="5">
        <v>44579</v>
      </c>
      <c r="L12" s="8">
        <f t="shared" si="3"/>
        <v>9.2693347181071388E-4</v>
      </c>
      <c r="M12" s="5">
        <v>44579</v>
      </c>
      <c r="N12" s="9">
        <f t="shared" si="0"/>
        <v>2.4824717242153153E-4</v>
      </c>
      <c r="O12" s="5">
        <v>44579</v>
      </c>
      <c r="P12">
        <f t="shared" si="1"/>
        <v>0.99989968252469574</v>
      </c>
      <c r="Q12" s="6">
        <f t="shared" si="4"/>
        <v>0.99980003999200162</v>
      </c>
      <c r="R12">
        <f t="shared" si="5"/>
        <v>9.9657495227491974E-5</v>
      </c>
      <c r="T12" s="5">
        <v>44579</v>
      </c>
      <c r="U12" s="1">
        <v>9.9657495227491974E-5</v>
      </c>
    </row>
    <row r="13" spans="3:21" x14ac:dyDescent="0.2">
      <c r="C13" s="5">
        <v>44580</v>
      </c>
      <c r="D13" s="6">
        <v>1.0001899999999999</v>
      </c>
      <c r="E13" s="6">
        <v>41683.5</v>
      </c>
      <c r="F13" s="6">
        <v>41719.379999999997</v>
      </c>
      <c r="G13" s="6">
        <v>41676</v>
      </c>
      <c r="H13" s="6">
        <v>41650.449999999997</v>
      </c>
      <c r="I13" s="5">
        <v>44580</v>
      </c>
      <c r="J13" s="7">
        <f t="shared" si="2"/>
        <v>7.9350883363812181E-4</v>
      </c>
      <c r="K13" s="5">
        <v>44580</v>
      </c>
      <c r="L13" s="8">
        <f t="shared" si="3"/>
        <v>1.0408868413474754E-3</v>
      </c>
      <c r="M13" s="5">
        <v>44580</v>
      </c>
      <c r="N13" s="9">
        <f t="shared" si="0"/>
        <v>1.8343956749855973E-3</v>
      </c>
      <c r="O13" s="5">
        <v>44580</v>
      </c>
      <c r="P13">
        <f t="shared" si="1"/>
        <v>0.99938693732603889</v>
      </c>
      <c r="Q13" s="6">
        <f t="shared" si="4"/>
        <v>0.99981003609314234</v>
      </c>
      <c r="R13">
        <f t="shared" si="5"/>
        <v>-4.2326872143726223E-4</v>
      </c>
      <c r="T13" s="5">
        <v>44580</v>
      </c>
      <c r="U13" s="1">
        <v>-4.2326872143726223E-4</v>
      </c>
    </row>
    <row r="14" spans="3:21" x14ac:dyDescent="0.2">
      <c r="C14" s="5">
        <v>44581</v>
      </c>
      <c r="D14" s="6">
        <v>0.99977000000000005</v>
      </c>
      <c r="E14" s="6">
        <v>40702</v>
      </c>
      <c r="F14" s="6">
        <v>40735.1</v>
      </c>
      <c r="G14" s="6">
        <v>40670.5</v>
      </c>
      <c r="H14" s="6">
        <v>40700</v>
      </c>
      <c r="I14" s="5">
        <v>44581</v>
      </c>
      <c r="J14" s="7">
        <f t="shared" si="2"/>
        <v>4.914004914004914E-5</v>
      </c>
      <c r="K14" s="5">
        <v>44581</v>
      </c>
      <c r="L14" s="8">
        <f t="shared" si="3"/>
        <v>1.5883748663035504E-3</v>
      </c>
      <c r="M14" s="5">
        <v>44581</v>
      </c>
      <c r="N14" s="9">
        <f t="shared" si="0"/>
        <v>1.6375149154435995E-3</v>
      </c>
      <c r="O14" s="5">
        <v>44581</v>
      </c>
      <c r="P14">
        <f t="shared" si="1"/>
        <v>1.0007253414637145</v>
      </c>
      <c r="Q14" s="6">
        <f t="shared" si="4"/>
        <v>1.0002300529121697</v>
      </c>
      <c r="R14">
        <f t="shared" si="5"/>
        <v>4.9505207667525214E-4</v>
      </c>
      <c r="T14" s="5">
        <v>44581</v>
      </c>
      <c r="U14" s="1">
        <v>4.9505207667525214E-4</v>
      </c>
    </row>
    <row r="15" spans="3:21" x14ac:dyDescent="0.2">
      <c r="C15" s="5">
        <v>44582</v>
      </c>
      <c r="D15" s="6">
        <v>1.0005299999999999</v>
      </c>
      <c r="E15" s="6">
        <v>36442.5</v>
      </c>
      <c r="F15" s="6">
        <v>36551.25</v>
      </c>
      <c r="G15" s="6">
        <v>36450.5</v>
      </c>
      <c r="H15" s="6">
        <v>36443.480000000003</v>
      </c>
      <c r="I15" s="5">
        <v>44582</v>
      </c>
      <c r="J15" s="7">
        <f t="shared" si="2"/>
        <v>-2.6890955529032941E-5</v>
      </c>
      <c r="K15" s="5">
        <v>44582</v>
      </c>
      <c r="L15" s="8">
        <f t="shared" si="3"/>
        <v>2.7640224413931222E-3</v>
      </c>
      <c r="M15" s="5">
        <v>44582</v>
      </c>
      <c r="N15" s="9">
        <f t="shared" si="0"/>
        <v>2.7371314858640893E-3</v>
      </c>
      <c r="O15" s="5">
        <v>44582</v>
      </c>
      <c r="P15">
        <f t="shared" si="1"/>
        <v>0.999807410049245</v>
      </c>
      <c r="Q15" s="6">
        <f t="shared" si="4"/>
        <v>0.99947028075120192</v>
      </c>
      <c r="R15">
        <f t="shared" si="5"/>
        <v>3.3725110102477242E-4</v>
      </c>
      <c r="T15" s="5">
        <v>44582</v>
      </c>
      <c r="U15" s="1">
        <v>3.3725110102477242E-4</v>
      </c>
    </row>
    <row r="16" spans="3:21" x14ac:dyDescent="0.2">
      <c r="C16" s="5">
        <v>44583</v>
      </c>
      <c r="D16" s="6">
        <v>1.0002</v>
      </c>
      <c r="E16" s="6">
        <v>35062</v>
      </c>
      <c r="F16" s="6">
        <v>35198.71</v>
      </c>
      <c r="G16" s="6">
        <v>35067</v>
      </c>
      <c r="H16" s="6">
        <v>35047.730000000003</v>
      </c>
      <c r="I16" s="5">
        <v>44583</v>
      </c>
      <c r="J16" s="7">
        <f t="shared" si="2"/>
        <v>4.0715903711871775E-4</v>
      </c>
      <c r="K16" s="5">
        <v>44583</v>
      </c>
      <c r="L16" s="8">
        <f t="shared" si="3"/>
        <v>3.7559528901816275E-3</v>
      </c>
      <c r="M16" s="5">
        <v>44583</v>
      </c>
      <c r="N16" s="9">
        <f t="shared" si="0"/>
        <v>4.1631119273003456E-3</v>
      </c>
      <c r="O16" s="5">
        <v>44583</v>
      </c>
      <c r="P16">
        <f t="shared" si="1"/>
        <v>0.99945048050874052</v>
      </c>
      <c r="Q16" s="6">
        <f t="shared" si="4"/>
        <v>0.99980003999200162</v>
      </c>
      <c r="R16">
        <f t="shared" si="5"/>
        <v>-3.4969052976473387E-4</v>
      </c>
      <c r="T16" s="5">
        <v>44583</v>
      </c>
      <c r="U16" s="1">
        <v>-3.4969052976473387E-4</v>
      </c>
    </row>
    <row r="17" spans="3:21" x14ac:dyDescent="0.2">
      <c r="C17" s="5">
        <v>44584</v>
      </c>
      <c r="D17" s="6">
        <v>0.99997000000000003</v>
      </c>
      <c r="E17" s="6">
        <v>36234.5</v>
      </c>
      <c r="F17" s="6">
        <v>36347.99</v>
      </c>
      <c r="G17" s="6">
        <v>36270</v>
      </c>
      <c r="H17" s="6">
        <v>36266.26</v>
      </c>
      <c r="I17" s="5">
        <v>44584</v>
      </c>
      <c r="J17" s="7">
        <f t="shared" si="2"/>
        <v>-8.7574511405372473E-4</v>
      </c>
      <c r="K17" s="5">
        <v>44584</v>
      </c>
      <c r="L17" s="8">
        <f t="shared" si="3"/>
        <v>2.1502619244554168E-3</v>
      </c>
      <c r="M17" s="5">
        <v>44584</v>
      </c>
      <c r="N17" s="9">
        <f t="shared" si="0"/>
        <v>1.2745168104016922E-3</v>
      </c>
      <c r="O17" s="5">
        <v>44584</v>
      </c>
      <c r="P17">
        <f t="shared" si="1"/>
        <v>0.99989688447752967</v>
      </c>
      <c r="Q17" s="6">
        <f t="shared" si="4"/>
        <v>1.0000300009000269</v>
      </c>
      <c r="R17">
        <f t="shared" si="5"/>
        <v>-1.3312128925025942E-4</v>
      </c>
      <c r="T17" s="5">
        <v>44584</v>
      </c>
      <c r="U17" s="1">
        <v>-1.3312128925025942E-4</v>
      </c>
    </row>
    <row r="18" spans="3:21" x14ac:dyDescent="0.2">
      <c r="C18" s="5">
        <v>44585</v>
      </c>
      <c r="D18" s="6">
        <v>1.0006600000000001</v>
      </c>
      <c r="E18" s="6">
        <v>36651.5</v>
      </c>
      <c r="F18" s="6">
        <v>36723.94</v>
      </c>
      <c r="G18" s="6">
        <v>36670</v>
      </c>
      <c r="H18" s="6">
        <v>36667.550000000003</v>
      </c>
      <c r="I18" s="5">
        <v>44585</v>
      </c>
      <c r="J18" s="7">
        <f t="shared" si="2"/>
        <v>-4.3771672773345666E-4</v>
      </c>
      <c r="K18" s="5">
        <v>44585</v>
      </c>
      <c r="L18" s="8">
        <f t="shared" si="3"/>
        <v>1.4709571857104535E-3</v>
      </c>
      <c r="M18" s="5">
        <v>44585</v>
      </c>
      <c r="N18" s="9">
        <f t="shared" si="0"/>
        <v>1.0332404579769968E-3</v>
      </c>
      <c r="O18" s="5">
        <v>44585</v>
      </c>
      <c r="P18">
        <f t="shared" si="1"/>
        <v>0.99993318789200991</v>
      </c>
      <c r="Q18" s="6">
        <f t="shared" si="4"/>
        <v>0.99934043531269356</v>
      </c>
      <c r="R18">
        <f t="shared" si="5"/>
        <v>5.9296795576626996E-4</v>
      </c>
      <c r="T18" s="5">
        <v>44585</v>
      </c>
      <c r="U18" s="1">
        <v>5.9296795576626996E-4</v>
      </c>
    </row>
    <row r="19" spans="3:21" x14ac:dyDescent="0.2">
      <c r="C19" s="5">
        <v>44586</v>
      </c>
      <c r="D19" s="6">
        <v>1.00048</v>
      </c>
      <c r="E19" s="6">
        <v>36937.5</v>
      </c>
      <c r="F19" s="6">
        <v>37006.03</v>
      </c>
      <c r="G19" s="6">
        <v>36956.5</v>
      </c>
      <c r="H19" s="6">
        <v>36953.449999999997</v>
      </c>
      <c r="I19" s="5">
        <v>44586</v>
      </c>
      <c r="J19" s="7">
        <f t="shared" si="2"/>
        <v>-4.3162411087454866E-4</v>
      </c>
      <c r="K19" s="5">
        <v>44586</v>
      </c>
      <c r="L19" s="8">
        <f t="shared" si="3"/>
        <v>1.340224317778979E-3</v>
      </c>
      <c r="M19" s="5">
        <v>44586</v>
      </c>
      <c r="N19" s="9">
        <f t="shared" si="0"/>
        <v>9.086002069044303E-4</v>
      </c>
      <c r="O19" s="5">
        <v>44586</v>
      </c>
      <c r="P19">
        <f t="shared" si="1"/>
        <v>0.99991747053968838</v>
      </c>
      <c r="Q19" s="6">
        <f t="shared" si="4"/>
        <v>0.99952023028946102</v>
      </c>
      <c r="R19">
        <f t="shared" si="5"/>
        <v>3.973519707958383E-4</v>
      </c>
      <c r="T19" s="5">
        <v>44586</v>
      </c>
      <c r="U19" s="1">
        <v>3.973519707958383E-4</v>
      </c>
    </row>
    <row r="20" spans="3:21" x14ac:dyDescent="0.2">
      <c r="C20" s="5">
        <v>44587</v>
      </c>
      <c r="D20" s="6">
        <v>1.0005900000000001</v>
      </c>
      <c r="E20" s="6">
        <v>36770</v>
      </c>
      <c r="F20" s="6">
        <v>36879.360000000001</v>
      </c>
      <c r="G20" s="6">
        <v>36808</v>
      </c>
      <c r="H20" s="6">
        <v>36817.96</v>
      </c>
      <c r="I20" s="5">
        <v>44587</v>
      </c>
      <c r="J20" s="7">
        <f t="shared" si="2"/>
        <v>-1.3026251318649683E-3</v>
      </c>
      <c r="K20" s="5">
        <v>44587</v>
      </c>
      <c r="L20" s="8">
        <f t="shared" si="3"/>
        <v>1.9387089763095138E-3</v>
      </c>
      <c r="M20" s="5">
        <v>44587</v>
      </c>
      <c r="N20" s="9">
        <f t="shared" si="0"/>
        <v>6.360838444445455E-4</v>
      </c>
      <c r="O20" s="5">
        <v>44587</v>
      </c>
      <c r="P20">
        <f t="shared" si="1"/>
        <v>1.0002705933492719</v>
      </c>
      <c r="Q20" s="6">
        <f t="shared" si="4"/>
        <v>0.99941034789474203</v>
      </c>
      <c r="R20">
        <f t="shared" si="5"/>
        <v>8.6038276392406119E-4</v>
      </c>
      <c r="T20" s="5">
        <v>44587</v>
      </c>
      <c r="U20" s="1">
        <v>8.6038276392406119E-4</v>
      </c>
    </row>
    <row r="21" spans="3:21" x14ac:dyDescent="0.2">
      <c r="C21" s="5">
        <v>44588</v>
      </c>
      <c r="D21" s="6">
        <v>0.99958000000000002</v>
      </c>
      <c r="E21" s="6">
        <v>37140.5</v>
      </c>
      <c r="F21" s="6">
        <v>37197.99</v>
      </c>
      <c r="G21" s="6">
        <v>37167</v>
      </c>
      <c r="H21" s="6">
        <v>37200.089999999997</v>
      </c>
      <c r="I21" s="5">
        <v>44588</v>
      </c>
      <c r="J21" s="7">
        <f t="shared" si="2"/>
        <v>-1.6018778449190987E-3</v>
      </c>
      <c r="K21" s="5">
        <v>44588</v>
      </c>
      <c r="L21" s="8">
        <f t="shared" si="3"/>
        <v>8.3380418112836551E-4</v>
      </c>
      <c r="M21" s="5">
        <v>44588</v>
      </c>
      <c r="N21" s="9">
        <f t="shared" si="0"/>
        <v>-7.6807366379073318E-4</v>
      </c>
      <c r="O21" s="5">
        <v>44588</v>
      </c>
      <c r="P21">
        <f t="shared" si="1"/>
        <v>1.0008903059165388</v>
      </c>
      <c r="Q21" s="6">
        <f t="shared" si="4"/>
        <v>1.0004201764741192</v>
      </c>
      <c r="R21">
        <f t="shared" si="5"/>
        <v>4.6982160459765475E-4</v>
      </c>
      <c r="T21" s="5">
        <v>44588</v>
      </c>
      <c r="U21" s="1">
        <v>4.6982160459765475E-4</v>
      </c>
    </row>
    <row r="22" spans="3:21" x14ac:dyDescent="0.2">
      <c r="C22" s="5">
        <v>44589</v>
      </c>
      <c r="D22" s="6">
        <v>1.00065</v>
      </c>
      <c r="E22" s="6">
        <v>37693.5</v>
      </c>
      <c r="F22" s="6">
        <v>37793.5</v>
      </c>
      <c r="G22" s="6">
        <v>37717</v>
      </c>
      <c r="H22" s="6">
        <v>37711.78</v>
      </c>
      <c r="I22" s="5">
        <v>44589</v>
      </c>
      <c r="J22" s="7">
        <f t="shared" si="2"/>
        <v>-4.8472917480953793E-4</v>
      </c>
      <c r="K22" s="5">
        <v>44589</v>
      </c>
      <c r="L22" s="8">
        <f t="shared" si="3"/>
        <v>2.028263117427155E-3</v>
      </c>
      <c r="M22" s="5">
        <v>44589</v>
      </c>
      <c r="N22" s="9">
        <f t="shared" si="0"/>
        <v>1.5435339426176171E-3</v>
      </c>
      <c r="O22" s="5">
        <v>44589</v>
      </c>
      <c r="P22">
        <f t="shared" si="1"/>
        <v>0.99986160086963438</v>
      </c>
      <c r="Q22" s="6">
        <f t="shared" si="4"/>
        <v>0.99935042222555337</v>
      </c>
      <c r="R22">
        <f t="shared" si="5"/>
        <v>5.1138013308804988E-4</v>
      </c>
      <c r="T22" s="5">
        <v>44589</v>
      </c>
      <c r="U22" s="1">
        <v>5.1138013308804988E-4</v>
      </c>
    </row>
    <row r="23" spans="3:21" x14ac:dyDescent="0.2">
      <c r="C23" s="5">
        <v>44590</v>
      </c>
      <c r="D23" s="6">
        <v>1.0005999999999999</v>
      </c>
      <c r="E23" s="6">
        <v>38150.5</v>
      </c>
      <c r="F23" s="6">
        <v>38286.85</v>
      </c>
      <c r="G23" s="6">
        <v>38179.5</v>
      </c>
      <c r="H23" s="6">
        <v>38148.85</v>
      </c>
      <c r="I23" s="5">
        <v>44590</v>
      </c>
      <c r="J23" s="7">
        <f t="shared" si="2"/>
        <v>4.3251631438469447E-5</v>
      </c>
      <c r="K23" s="5">
        <v>44590</v>
      </c>
      <c r="L23" s="8">
        <f t="shared" si="3"/>
        <v>2.8117183305176479E-3</v>
      </c>
      <c r="M23" s="5">
        <v>44590</v>
      </c>
      <c r="N23" s="9">
        <f t="shared" si="0"/>
        <v>2.8549699619561174E-3</v>
      </c>
      <c r="O23" s="5">
        <v>44590</v>
      </c>
      <c r="P23">
        <f t="shared" si="1"/>
        <v>0.99919721316413246</v>
      </c>
      <c r="Q23" s="6">
        <f t="shared" si="4"/>
        <v>0.99940035978412955</v>
      </c>
      <c r="R23">
        <f>LN(P23/Q23)</f>
        <v>-2.0328916981229354E-4</v>
      </c>
      <c r="T23" s="5">
        <v>44590</v>
      </c>
      <c r="U23" s="1">
        <v>-2.0328916981229354E-4</v>
      </c>
    </row>
    <row r="24" spans="3:21" x14ac:dyDescent="0.2">
      <c r="C24" s="5">
        <v>44591</v>
      </c>
      <c r="D24" s="6">
        <v>1.0002</v>
      </c>
      <c r="E24" s="6">
        <v>37875.5</v>
      </c>
      <c r="F24" s="6">
        <v>37944.230000000003</v>
      </c>
      <c r="G24" s="6">
        <v>37913.5</v>
      </c>
      <c r="H24" s="6">
        <v>37944.21</v>
      </c>
      <c r="I24" s="5">
        <v>44591</v>
      </c>
      <c r="J24" s="7">
        <f t="shared" si="2"/>
        <v>-1.8108164592173384E-3</v>
      </c>
      <c r="K24" s="5">
        <v>44591</v>
      </c>
      <c r="L24" s="8">
        <f t="shared" si="3"/>
        <v>8.1052923101278436E-4</v>
      </c>
      <c r="M24" s="5">
        <v>44591</v>
      </c>
      <c r="N24" s="9">
        <f t="shared" si="0"/>
        <v>-1.0002872282045541E-3</v>
      </c>
      <c r="O24" s="5">
        <v>44591</v>
      </c>
      <c r="P24">
        <f t="shared" si="1"/>
        <v>1.0008100017144288</v>
      </c>
      <c r="Q24" s="6">
        <f t="shared" si="4"/>
        <v>0.99980003999200162</v>
      </c>
      <c r="R24">
        <f t="shared" si="5"/>
        <v>1.0096538427469637E-3</v>
      </c>
      <c r="T24" s="5">
        <v>44591</v>
      </c>
      <c r="U24" s="1">
        <v>1.0096538427469637E-3</v>
      </c>
    </row>
    <row r="25" spans="3:21" x14ac:dyDescent="0.2">
      <c r="C25" s="5">
        <v>44592</v>
      </c>
      <c r="D25" s="6">
        <v>1.00091</v>
      </c>
      <c r="E25" s="6">
        <v>38440</v>
      </c>
      <c r="F25" s="6">
        <v>38482.51</v>
      </c>
      <c r="G25" s="6">
        <v>38467.5</v>
      </c>
      <c r="H25" s="6">
        <v>38454.49</v>
      </c>
      <c r="I25" s="5">
        <v>44592</v>
      </c>
      <c r="J25" s="7">
        <f t="shared" si="2"/>
        <v>-3.7680905402718808E-4</v>
      </c>
      <c r="K25" s="5">
        <v>44592</v>
      </c>
      <c r="L25" s="8">
        <f t="shared" si="3"/>
        <v>3.9019951907459638E-4</v>
      </c>
      <c r="M25" s="5">
        <v>44592</v>
      </c>
      <c r="N25" s="9">
        <f t="shared" si="0"/>
        <v>1.3390465047408303E-5</v>
      </c>
      <c r="O25" s="5">
        <v>44592</v>
      </c>
      <c r="P25">
        <f t="shared" si="1"/>
        <v>0.99966179242217457</v>
      </c>
      <c r="Q25" s="6">
        <f t="shared" si="4"/>
        <v>0.99909082734711419</v>
      </c>
      <c r="R25">
        <f t="shared" si="5"/>
        <v>5.713214181122208E-4</v>
      </c>
      <c r="T25" s="5">
        <v>44592</v>
      </c>
      <c r="U25" s="1">
        <v>5.713214181122208E-4</v>
      </c>
    </row>
    <row r="26" spans="3:21" x14ac:dyDescent="0.2">
      <c r="C26" s="5">
        <v>44593</v>
      </c>
      <c r="D26" s="6">
        <v>1.0004900000000001</v>
      </c>
      <c r="E26" s="6">
        <v>38680.5</v>
      </c>
      <c r="F26" s="6">
        <v>38760.839999999997</v>
      </c>
      <c r="G26" s="6">
        <v>38720</v>
      </c>
      <c r="H26" s="6">
        <v>38697.449999999997</v>
      </c>
      <c r="I26" s="5">
        <v>44593</v>
      </c>
      <c r="J26" s="7">
        <f t="shared" si="2"/>
        <v>-4.3801335746921542E-4</v>
      </c>
      <c r="K26" s="5">
        <v>44593</v>
      </c>
      <c r="L26" s="8">
        <f t="shared" si="3"/>
        <v>1.0547520661156123E-3</v>
      </c>
      <c r="M26" s="5">
        <v>44593</v>
      </c>
      <c r="N26" s="9">
        <f t="shared" si="0"/>
        <v>6.1673870864639691E-4</v>
      </c>
      <c r="O26" s="5">
        <v>44593</v>
      </c>
      <c r="P26">
        <f t="shared" si="1"/>
        <v>0.9994176136363635</v>
      </c>
      <c r="Q26" s="6">
        <f t="shared" si="4"/>
        <v>0.99951023998240851</v>
      </c>
      <c r="R26">
        <f t="shared" si="5"/>
        <v>-9.2676027244927212E-5</v>
      </c>
      <c r="T26" s="5">
        <v>44593</v>
      </c>
      <c r="U26" s="1">
        <v>-9.2676027244927212E-5</v>
      </c>
    </row>
    <row r="27" spans="3:21" x14ac:dyDescent="0.2">
      <c r="C27" s="5">
        <v>44594</v>
      </c>
      <c r="D27" s="6">
        <v>1.0008999999999999</v>
      </c>
      <c r="E27" s="6">
        <v>36887</v>
      </c>
      <c r="F27" s="6">
        <v>36986.82</v>
      </c>
      <c r="G27" s="6">
        <v>36907</v>
      </c>
      <c r="H27" s="6">
        <v>36898.910000000003</v>
      </c>
      <c r="I27" s="5">
        <v>44594</v>
      </c>
      <c r="J27" s="7">
        <f t="shared" si="2"/>
        <v>-3.2277376215187633E-4</v>
      </c>
      <c r="K27" s="5">
        <v>44594</v>
      </c>
      <c r="L27" s="8">
        <f t="shared" si="3"/>
        <v>2.1627333568157723E-3</v>
      </c>
      <c r="M27" s="5">
        <v>44594</v>
      </c>
      <c r="N27" s="9">
        <f t="shared" si="0"/>
        <v>1.839959594663896E-3</v>
      </c>
      <c r="O27" s="5">
        <v>44594</v>
      </c>
      <c r="P27">
        <f t="shared" si="1"/>
        <v>0.99978080039016992</v>
      </c>
      <c r="Q27" s="6">
        <f t="shared" si="4"/>
        <v>0.99910080927165557</v>
      </c>
      <c r="R27">
        <f t="shared" si="5"/>
        <v>6.8037160526024691E-4</v>
      </c>
      <c r="T27" s="5">
        <v>44594</v>
      </c>
      <c r="U27" s="1">
        <v>6.8037160526024691E-4</v>
      </c>
    </row>
    <row r="28" spans="3:21" x14ac:dyDescent="0.2">
      <c r="C28" s="5">
        <v>44595</v>
      </c>
      <c r="D28" s="6">
        <v>1.0005299999999999</v>
      </c>
      <c r="E28" s="6">
        <v>37291.5</v>
      </c>
      <c r="F28" s="6">
        <v>37350.06</v>
      </c>
      <c r="G28" s="6">
        <v>37299.5</v>
      </c>
      <c r="H28" s="6">
        <v>37306.639999999999</v>
      </c>
      <c r="I28" s="5">
        <v>44595</v>
      </c>
      <c r="J28" s="7">
        <f t="shared" si="2"/>
        <v>-4.0582587978974839E-4</v>
      </c>
      <c r="K28" s="5">
        <v>44595</v>
      </c>
      <c r="L28" s="8">
        <f t="shared" si="3"/>
        <v>1.355514148983168E-3</v>
      </c>
      <c r="M28" s="5">
        <v>44595</v>
      </c>
      <c r="N28" s="9">
        <f t="shared" si="0"/>
        <v>9.4968826919341958E-4</v>
      </c>
      <c r="O28" s="5">
        <v>44595</v>
      </c>
      <c r="P28">
        <f t="shared" si="1"/>
        <v>1.0001914234775264</v>
      </c>
      <c r="Q28" s="6">
        <f t="shared" si="4"/>
        <v>0.99947028075120192</v>
      </c>
      <c r="R28">
        <f t="shared" si="5"/>
        <v>7.2126475799617646E-4</v>
      </c>
      <c r="T28" s="5">
        <v>44595</v>
      </c>
      <c r="U28" s="1">
        <v>7.2126475799617646E-4</v>
      </c>
    </row>
    <row r="29" spans="3:21" x14ac:dyDescent="0.2">
      <c r="C29" s="5">
        <v>44596</v>
      </c>
      <c r="D29" s="6">
        <v>1.0004900000000001</v>
      </c>
      <c r="E29" s="6">
        <v>41548.5</v>
      </c>
      <c r="F29" s="6">
        <v>41623.46</v>
      </c>
      <c r="G29" s="6">
        <v>41540.5</v>
      </c>
      <c r="H29" s="6">
        <v>41549.33</v>
      </c>
      <c r="I29" s="5">
        <v>44596</v>
      </c>
      <c r="J29" s="7">
        <f t="shared" si="2"/>
        <v>-1.9976254731466094E-5</v>
      </c>
      <c r="K29" s="5">
        <v>44596</v>
      </c>
      <c r="L29" s="8">
        <f t="shared" si="3"/>
        <v>1.9970871799809614E-3</v>
      </c>
      <c r="M29" s="5">
        <v>44596</v>
      </c>
      <c r="N29" s="9">
        <f t="shared" si="0"/>
        <v>1.9771109252494953E-3</v>
      </c>
      <c r="O29" s="5">
        <v>44596</v>
      </c>
      <c r="P29">
        <f t="shared" si="1"/>
        <v>1.0002125636427102</v>
      </c>
      <c r="Q29" s="6">
        <f t="shared" si="4"/>
        <v>0.99951023998240851</v>
      </c>
      <c r="R29">
        <f t="shared" si="5"/>
        <v>7.0242104346210333E-4</v>
      </c>
      <c r="T29" s="5">
        <v>44596</v>
      </c>
      <c r="U29" s="1">
        <v>7.0242104346210333E-4</v>
      </c>
    </row>
    <row r="30" spans="3:21" x14ac:dyDescent="0.2">
      <c r="C30" s="5">
        <v>44597</v>
      </c>
      <c r="D30" s="6">
        <v>1.0009399999999999</v>
      </c>
      <c r="E30" s="6">
        <v>41380</v>
      </c>
      <c r="F30" s="6">
        <v>41419.49</v>
      </c>
      <c r="G30" s="6">
        <v>41400.5</v>
      </c>
      <c r="H30" s="6">
        <v>41369.519999999997</v>
      </c>
      <c r="I30" s="5">
        <v>44597</v>
      </c>
      <c r="J30" s="7">
        <f t="shared" si="2"/>
        <v>2.5332660374118921E-4</v>
      </c>
      <c r="K30" s="5">
        <v>44597</v>
      </c>
      <c r="L30" s="8">
        <f t="shared" si="3"/>
        <v>4.5869011243820636E-4</v>
      </c>
      <c r="M30" s="5">
        <v>44597</v>
      </c>
      <c r="N30" s="9">
        <f t="shared" si="0"/>
        <v>7.1201671617939551E-4</v>
      </c>
      <c r="O30" s="5">
        <v>44597</v>
      </c>
      <c r="P30">
        <f t="shared" si="1"/>
        <v>0.99925169985869722</v>
      </c>
      <c r="Q30" s="6">
        <f t="shared" si="4"/>
        <v>0.99906088277019611</v>
      </c>
      <c r="R30">
        <f t="shared" si="5"/>
        <v>1.9097821906323691E-4</v>
      </c>
      <c r="T30" s="5">
        <v>44597</v>
      </c>
      <c r="U30" s="1">
        <v>1.9097821906323691E-4</v>
      </c>
    </row>
    <row r="31" spans="3:21" x14ac:dyDescent="0.2">
      <c r="C31" s="5">
        <v>44598</v>
      </c>
      <c r="D31" s="6">
        <v>1.0008999999999999</v>
      </c>
      <c r="E31" s="6">
        <v>42350</v>
      </c>
      <c r="F31" s="6">
        <v>42409.56</v>
      </c>
      <c r="G31" s="6">
        <v>42378</v>
      </c>
      <c r="H31" s="6">
        <v>42377.65</v>
      </c>
      <c r="I31" s="5">
        <v>44598</v>
      </c>
      <c r="J31" s="7">
        <f t="shared" si="2"/>
        <v>-6.5246657141208755E-4</v>
      </c>
      <c r="K31" s="5">
        <v>44598</v>
      </c>
      <c r="L31" s="8">
        <f t="shared" si="3"/>
        <v>7.4472603709466406E-4</v>
      </c>
      <c r="M31" s="5">
        <v>44598</v>
      </c>
      <c r="N31" s="9">
        <f t="shared" si="0"/>
        <v>9.2259465682576511E-5</v>
      </c>
      <c r="O31" s="5">
        <v>44598</v>
      </c>
      <c r="P31">
        <f t="shared" si="1"/>
        <v>0.99999174099768751</v>
      </c>
      <c r="Q31" s="6">
        <f t="shared" si="4"/>
        <v>0.99910080927165557</v>
      </c>
      <c r="R31">
        <f t="shared" si="5"/>
        <v>8.9133620641770005E-4</v>
      </c>
      <c r="T31" s="5">
        <v>44598</v>
      </c>
      <c r="U31" s="1">
        <v>8.9133620641770005E-4</v>
      </c>
    </row>
    <row r="32" spans="3:21" x14ac:dyDescent="0.2">
      <c r="C32" s="5">
        <v>44599</v>
      </c>
      <c r="D32" s="6">
        <v>1.0006699999999999</v>
      </c>
      <c r="E32" s="6">
        <v>43825.5</v>
      </c>
      <c r="F32" s="6">
        <v>43887.92</v>
      </c>
      <c r="G32" s="6">
        <v>43855.5</v>
      </c>
      <c r="H32" s="6">
        <v>43823.01</v>
      </c>
      <c r="I32" s="5">
        <v>44599</v>
      </c>
      <c r="J32" s="7">
        <f t="shared" si="2"/>
        <v>5.6819465390395654E-5</v>
      </c>
      <c r="K32" s="5">
        <v>44599</v>
      </c>
      <c r="L32" s="8">
        <f t="shared" si="3"/>
        <v>7.3924593266519033E-4</v>
      </c>
      <c r="M32" s="5">
        <v>44599</v>
      </c>
      <c r="N32" s="9">
        <f t="shared" si="0"/>
        <v>7.9606539805558599E-4</v>
      </c>
      <c r="O32" s="5">
        <v>44599</v>
      </c>
      <c r="P32">
        <f t="shared" si="1"/>
        <v>0.9992591579163389</v>
      </c>
      <c r="Q32" s="6">
        <f t="shared" si="4"/>
        <v>0.99933044859943843</v>
      </c>
      <c r="R32">
        <f t="shared" si="5"/>
        <v>-7.1340992565323394E-5</v>
      </c>
      <c r="T32" s="5">
        <v>44599</v>
      </c>
      <c r="U32" s="1">
        <v>-7.1340992565323394E-5</v>
      </c>
    </row>
    <row r="33" spans="3:21" x14ac:dyDescent="0.2">
      <c r="C33" s="5">
        <v>44600</v>
      </c>
      <c r="D33" s="6">
        <v>1.0010600000000001</v>
      </c>
      <c r="E33" s="6">
        <v>44015</v>
      </c>
      <c r="F33" s="6">
        <v>44116.66</v>
      </c>
      <c r="G33" s="6">
        <v>44056</v>
      </c>
      <c r="H33" s="6">
        <v>44027.519999999997</v>
      </c>
      <c r="I33" s="5">
        <v>44600</v>
      </c>
      <c r="J33" s="7">
        <f t="shared" si="2"/>
        <v>-2.8436759554017121E-4</v>
      </c>
      <c r="K33" s="5">
        <v>44600</v>
      </c>
      <c r="L33" s="8">
        <f t="shared" si="3"/>
        <v>1.37688396586171E-3</v>
      </c>
      <c r="M33" s="5">
        <v>44600</v>
      </c>
      <c r="N33" s="9">
        <f t="shared" si="0"/>
        <v>1.0925163703215388E-3</v>
      </c>
      <c r="O33" s="5">
        <v>44600</v>
      </c>
      <c r="P33">
        <f t="shared" si="1"/>
        <v>0.99935355002723791</v>
      </c>
      <c r="Q33" s="6">
        <f t="shared" si="4"/>
        <v>0.99894112241024513</v>
      </c>
      <c r="R33">
        <f t="shared" si="5"/>
        <v>4.1277958505063728E-4</v>
      </c>
      <c r="T33" s="5">
        <v>44600</v>
      </c>
      <c r="U33" s="1">
        <v>4.1277958505063728E-4</v>
      </c>
    </row>
    <row r="34" spans="3:21" x14ac:dyDescent="0.2">
      <c r="C34" s="5">
        <v>44601</v>
      </c>
      <c r="D34" s="6">
        <v>1.00126</v>
      </c>
      <c r="E34" s="6">
        <v>44333</v>
      </c>
      <c r="F34" s="6">
        <v>44434.63</v>
      </c>
      <c r="G34" s="6">
        <v>44395.5</v>
      </c>
      <c r="H34" s="6">
        <v>44374.57</v>
      </c>
      <c r="I34" s="5">
        <v>44601</v>
      </c>
      <c r="J34" s="7">
        <f t="shared" si="2"/>
        <v>-9.3679781009708279E-4</v>
      </c>
      <c r="K34" s="5">
        <v>44601</v>
      </c>
      <c r="L34" s="8">
        <f t="shared" si="3"/>
        <v>8.8139563694512684E-4</v>
      </c>
      <c r="M34" s="5">
        <v>44601</v>
      </c>
      <c r="N34" s="9">
        <f t="shared" si="0"/>
        <v>-5.5402173151955958E-5</v>
      </c>
      <c r="O34" s="5">
        <v>44601</v>
      </c>
      <c r="P34">
        <f t="shared" si="1"/>
        <v>0.9995285558220991</v>
      </c>
      <c r="Q34" s="6">
        <f t="shared" si="4"/>
        <v>0.99874158560214121</v>
      </c>
      <c r="R34">
        <f t="shared" si="5"/>
        <v>7.876515235153334E-4</v>
      </c>
      <c r="T34" s="5">
        <v>44601</v>
      </c>
      <c r="U34" s="1">
        <v>7.876515235153334E-4</v>
      </c>
    </row>
    <row r="35" spans="3:21" x14ac:dyDescent="0.2">
      <c r="C35" s="5">
        <v>44602</v>
      </c>
      <c r="D35" s="6">
        <v>1.0004999999999999</v>
      </c>
      <c r="E35" s="6">
        <v>43477</v>
      </c>
      <c r="F35" s="6">
        <v>43519.31</v>
      </c>
      <c r="G35" s="6">
        <v>43494</v>
      </c>
      <c r="H35" s="6">
        <v>43486.15</v>
      </c>
      <c r="I35" s="5">
        <v>44602</v>
      </c>
      <c r="J35" s="7">
        <f t="shared" si="2"/>
        <v>-2.1041182077515382E-4</v>
      </c>
      <c r="K35" s="5">
        <v>44602</v>
      </c>
      <c r="L35" s="8">
        <f t="shared" si="3"/>
        <v>5.8191934519698512E-4</v>
      </c>
      <c r="M35" s="5">
        <v>44602</v>
      </c>
      <c r="N35" s="9">
        <f t="shared" si="0"/>
        <v>3.715075244218313E-4</v>
      </c>
      <c r="O35" s="5">
        <v>44602</v>
      </c>
      <c r="P35">
        <f t="shared" si="1"/>
        <v>0.99981951533544866</v>
      </c>
      <c r="Q35" s="6">
        <f t="shared" si="4"/>
        <v>0.99950024987506247</v>
      </c>
      <c r="R35">
        <f t="shared" si="5"/>
        <v>3.1937408778268697E-4</v>
      </c>
      <c r="T35" s="5">
        <v>44602</v>
      </c>
      <c r="U35" s="1">
        <v>3.1937408778268697E-4</v>
      </c>
    </row>
    <row r="36" spans="3:21" x14ac:dyDescent="0.2">
      <c r="C36" s="5">
        <v>44603</v>
      </c>
      <c r="D36" s="6">
        <v>1.00037</v>
      </c>
      <c r="E36" s="6">
        <v>42354</v>
      </c>
      <c r="F36" s="6">
        <v>42410.68</v>
      </c>
      <c r="G36" s="6">
        <v>42384.5</v>
      </c>
      <c r="H36" s="6">
        <v>42373.25</v>
      </c>
      <c r="I36" s="5">
        <v>44603</v>
      </c>
      <c r="J36" s="7">
        <f t="shared" si="2"/>
        <v>-4.5429604762438569E-4</v>
      </c>
      <c r="K36" s="5">
        <v>44603</v>
      </c>
      <c r="L36" s="8">
        <f t="shared" si="3"/>
        <v>6.1767863251897012E-4</v>
      </c>
      <c r="M36" s="5">
        <v>44603</v>
      </c>
      <c r="N36" s="9">
        <f t="shared" si="0"/>
        <v>1.6338258489458443E-4</v>
      </c>
      <c r="O36" s="5">
        <v>44603</v>
      </c>
      <c r="P36">
        <f t="shared" si="1"/>
        <v>0.99973457278014366</v>
      </c>
      <c r="Q36" s="6">
        <f t="shared" si="4"/>
        <v>0.99963013684936575</v>
      </c>
      <c r="R36">
        <f t="shared" si="5"/>
        <v>1.0446911498438697E-4</v>
      </c>
      <c r="T36" s="5">
        <v>44603</v>
      </c>
      <c r="U36" s="1">
        <v>1.0446911498438697E-4</v>
      </c>
    </row>
    <row r="37" spans="3:21" x14ac:dyDescent="0.2">
      <c r="C37" s="5">
        <v>44604</v>
      </c>
      <c r="D37" s="6">
        <v>1.00061</v>
      </c>
      <c r="E37" s="6">
        <v>42199.5</v>
      </c>
      <c r="F37" s="6">
        <v>42258.99</v>
      </c>
      <c r="G37" s="6">
        <v>42205</v>
      </c>
      <c r="H37" s="6">
        <v>42208.29</v>
      </c>
      <c r="I37" s="5">
        <v>44604</v>
      </c>
      <c r="J37" s="7">
        <f t="shared" si="2"/>
        <v>-2.0825292851240533E-4</v>
      </c>
      <c r="K37" s="5">
        <v>44604</v>
      </c>
      <c r="L37" s="8">
        <f t="shared" si="3"/>
        <v>1.2792323184456335E-3</v>
      </c>
      <c r="M37" s="5">
        <v>44604</v>
      </c>
      <c r="N37" s="9">
        <f t="shared" si="0"/>
        <v>1.0709793899332282E-3</v>
      </c>
      <c r="O37" s="5">
        <v>44604</v>
      </c>
      <c r="P37">
        <f t="shared" si="1"/>
        <v>1.0000779528491885</v>
      </c>
      <c r="Q37" s="6">
        <f t="shared" si="4"/>
        <v>0.99939037187315738</v>
      </c>
      <c r="R37">
        <f t="shared" si="5"/>
        <v>6.8776383664887299E-4</v>
      </c>
      <c r="T37" s="5">
        <v>44604</v>
      </c>
      <c r="U37" s="1">
        <v>6.8776383664887299E-4</v>
      </c>
    </row>
    <row r="38" spans="3:21" x14ac:dyDescent="0.2">
      <c r="C38" s="5">
        <v>44605</v>
      </c>
      <c r="D38" s="6">
        <v>1.0007999999999999</v>
      </c>
      <c r="E38" s="6">
        <v>42059.5</v>
      </c>
      <c r="F38" s="6">
        <v>42109.68</v>
      </c>
      <c r="G38" s="6">
        <v>42051</v>
      </c>
      <c r="H38" s="6">
        <v>42051.54</v>
      </c>
      <c r="I38" s="5">
        <v>44605</v>
      </c>
      <c r="J38" s="7">
        <f t="shared" si="2"/>
        <v>1.8929152178491268E-4</v>
      </c>
      <c r="K38" s="5">
        <v>44605</v>
      </c>
      <c r="L38" s="8">
        <f t="shared" si="3"/>
        <v>1.3954483841050222E-3</v>
      </c>
      <c r="M38" s="5">
        <v>44605</v>
      </c>
      <c r="N38" s="9">
        <f t="shared" si="0"/>
        <v>1.5847399058899348E-3</v>
      </c>
      <c r="O38" s="5">
        <v>44605</v>
      </c>
      <c r="P38">
        <f t="shared" si="1"/>
        <v>1.0000128415495471</v>
      </c>
      <c r="Q38" s="6">
        <f t="shared" si="4"/>
        <v>0.99920063948840931</v>
      </c>
      <c r="R38">
        <f t="shared" si="5"/>
        <v>8.1252163765926759E-4</v>
      </c>
      <c r="T38" s="5">
        <v>44605</v>
      </c>
      <c r="U38" s="1">
        <v>8.1252163765926759E-4</v>
      </c>
    </row>
    <row r="39" spans="3:21" x14ac:dyDescent="0.2">
      <c r="C39" s="5">
        <v>44606</v>
      </c>
      <c r="D39" s="6">
        <v>1.0004500000000001</v>
      </c>
      <c r="E39" s="6">
        <v>42536.5</v>
      </c>
      <c r="F39" s="6">
        <v>42561.86</v>
      </c>
      <c r="G39" s="6">
        <v>42535.5</v>
      </c>
      <c r="H39" s="6">
        <v>42532.78</v>
      </c>
      <c r="I39" s="5">
        <v>44606</v>
      </c>
      <c r="J39" s="7">
        <f t="shared" si="2"/>
        <v>8.7461952874962889E-5</v>
      </c>
      <c r="K39" s="5">
        <v>44606</v>
      </c>
      <c r="L39" s="8">
        <f t="shared" si="3"/>
        <v>6.1971764761200839E-4</v>
      </c>
      <c r="M39" s="5">
        <v>44606</v>
      </c>
      <c r="N39" s="9">
        <f t="shared" si="0"/>
        <v>7.0717960048697129E-4</v>
      </c>
      <c r="O39" s="5">
        <v>44606</v>
      </c>
      <c r="P39">
        <f t="shared" si="1"/>
        <v>0.99993605341420688</v>
      </c>
      <c r="Q39" s="6">
        <f t="shared" si="4"/>
        <v>0.9995502024089159</v>
      </c>
      <c r="R39">
        <f t="shared" si="5"/>
        <v>3.8595014990171764E-4</v>
      </c>
      <c r="T39" s="5">
        <v>44606</v>
      </c>
      <c r="U39" s="1">
        <v>3.8595014990171764E-4</v>
      </c>
    </row>
    <row r="40" spans="3:21" x14ac:dyDescent="0.2">
      <c r="C40" s="5">
        <v>44607</v>
      </c>
      <c r="D40" s="6">
        <v>1.00058</v>
      </c>
      <c r="E40" s="6">
        <v>44524.5</v>
      </c>
      <c r="F40" s="6">
        <v>44536.33</v>
      </c>
      <c r="G40" s="6">
        <v>44560.5</v>
      </c>
      <c r="H40" s="6">
        <v>44537.97</v>
      </c>
      <c r="I40" s="5">
        <v>44607</v>
      </c>
      <c r="J40" s="7">
        <f t="shared" si="2"/>
        <v>-3.02438570954203E-4</v>
      </c>
      <c r="K40" s="5">
        <v>44607</v>
      </c>
      <c r="L40" s="8">
        <f t="shared" si="3"/>
        <v>-5.4240863545064022E-4</v>
      </c>
      <c r="M40" s="5">
        <v>44607</v>
      </c>
      <c r="N40" s="9">
        <f t="shared" si="0"/>
        <v>-8.4484720640484322E-4</v>
      </c>
      <c r="O40" s="5">
        <v>44607</v>
      </c>
      <c r="P40">
        <f t="shared" si="1"/>
        <v>0.99949439526037631</v>
      </c>
      <c r="Q40" s="6">
        <f t="shared" si="4"/>
        <v>0.99942033620500104</v>
      </c>
      <c r="R40">
        <f t="shared" si="5"/>
        <v>7.4099264209030383E-5</v>
      </c>
      <c r="T40" s="5">
        <v>44607</v>
      </c>
      <c r="U40" s="1">
        <v>7.4099264209030383E-5</v>
      </c>
    </row>
    <row r="41" spans="3:21" x14ac:dyDescent="0.2">
      <c r="C41" s="5">
        <v>44608</v>
      </c>
      <c r="D41" s="6">
        <v>1.0006200000000001</v>
      </c>
      <c r="E41" s="6">
        <v>43879.5</v>
      </c>
      <c r="F41" s="6">
        <v>43884.639999999999</v>
      </c>
      <c r="G41" s="6">
        <v>43887.5</v>
      </c>
      <c r="H41" s="6">
        <v>43852.75</v>
      </c>
      <c r="I41" s="5">
        <v>44608</v>
      </c>
      <c r="J41" s="7">
        <f t="shared" si="2"/>
        <v>6.0999595236330671E-4</v>
      </c>
      <c r="K41" s="5">
        <v>44608</v>
      </c>
      <c r="L41" s="8">
        <f t="shared" si="3"/>
        <v>-6.5166619196823283E-5</v>
      </c>
      <c r="M41" s="5">
        <v>44608</v>
      </c>
      <c r="N41" s="9">
        <f t="shared" si="0"/>
        <v>5.4482933316648348E-4</v>
      </c>
      <c r="O41" s="5">
        <v>44608</v>
      </c>
      <c r="P41">
        <f t="shared" si="1"/>
        <v>0.99920820279122746</v>
      </c>
      <c r="Q41" s="6">
        <f t="shared" si="4"/>
        <v>0.99938038416181962</v>
      </c>
      <c r="R41">
        <f t="shared" si="5"/>
        <v>-1.7230296634550884E-4</v>
      </c>
      <c r="T41" s="5">
        <v>44608</v>
      </c>
      <c r="U41" s="1">
        <v>-1.7230296634550884E-4</v>
      </c>
    </row>
    <row r="42" spans="3:21" x14ac:dyDescent="0.2">
      <c r="C42" s="5">
        <v>44609</v>
      </c>
      <c r="D42" s="6">
        <v>1.0009399999999999</v>
      </c>
      <c r="E42" s="6">
        <v>40515</v>
      </c>
      <c r="F42" s="6">
        <v>40549.79</v>
      </c>
      <c r="G42" s="6">
        <v>40525</v>
      </c>
      <c r="H42" s="6">
        <v>40538.28</v>
      </c>
      <c r="I42" s="5">
        <v>44609</v>
      </c>
      <c r="J42" s="7">
        <f t="shared" si="2"/>
        <v>-5.7427202140788503E-4</v>
      </c>
      <c r="K42" s="5">
        <v>44609</v>
      </c>
      <c r="L42" s="8">
        <f t="shared" si="3"/>
        <v>6.117211597779364E-4</v>
      </c>
      <c r="M42" s="5">
        <v>44609</v>
      </c>
      <c r="N42" s="9">
        <f t="shared" si="0"/>
        <v>3.7449138370051365E-5</v>
      </c>
      <c r="O42" s="5">
        <v>44609</v>
      </c>
      <c r="P42">
        <f t="shared" si="1"/>
        <v>1.0003276989512646</v>
      </c>
      <c r="Q42" s="6">
        <f t="shared" si="4"/>
        <v>0.99906088277019611</v>
      </c>
      <c r="R42">
        <f t="shared" si="5"/>
        <v>1.2672037463567203E-3</v>
      </c>
      <c r="T42" s="5">
        <v>44609</v>
      </c>
      <c r="U42" s="1">
        <v>1.2672037463567203E-3</v>
      </c>
    </row>
    <row r="43" spans="3:21" x14ac:dyDescent="0.2">
      <c r="C43" s="5">
        <v>44610</v>
      </c>
      <c r="D43" s="6">
        <v>1.0002599999999999</v>
      </c>
      <c r="E43" s="6">
        <v>39999.5</v>
      </c>
      <c r="F43" s="6">
        <v>40023.93</v>
      </c>
      <c r="G43" s="6">
        <v>40001.5</v>
      </c>
      <c r="H43" s="6">
        <v>39969.71</v>
      </c>
      <c r="I43" s="5">
        <v>44610</v>
      </c>
      <c r="J43" s="7">
        <f t="shared" si="2"/>
        <v>7.4531438932133544E-4</v>
      </c>
      <c r="K43" s="5">
        <v>44610</v>
      </c>
      <c r="L43" s="8">
        <f t="shared" si="3"/>
        <v>5.6072897266353243E-4</v>
      </c>
      <c r="M43" s="5">
        <v>44610</v>
      </c>
      <c r="N43" s="9">
        <f t="shared" si="0"/>
        <v>1.3060433619848679E-3</v>
      </c>
      <c r="O43" s="5">
        <v>44610</v>
      </c>
      <c r="P43">
        <f t="shared" si="1"/>
        <v>0.99920527980200735</v>
      </c>
      <c r="Q43" s="6">
        <f t="shared" si="4"/>
        <v>0.99974006758242862</v>
      </c>
      <c r="R43">
        <f t="shared" si="5"/>
        <v>-5.3506994964132033E-4</v>
      </c>
      <c r="T43" s="5">
        <v>44610</v>
      </c>
      <c r="U43" s="1">
        <v>-5.3506994964132033E-4</v>
      </c>
    </row>
    <row r="44" spans="3:21" x14ac:dyDescent="0.2">
      <c r="C44" s="5">
        <v>44611</v>
      </c>
      <c r="D44" s="6">
        <v>1.0004</v>
      </c>
      <c r="E44" s="6">
        <v>40064</v>
      </c>
      <c r="F44" s="6">
        <v>40123.629999999997</v>
      </c>
      <c r="G44" s="6">
        <v>40100.5</v>
      </c>
      <c r="H44" s="6">
        <v>40091.279999999999</v>
      </c>
      <c r="I44" s="5">
        <v>44611</v>
      </c>
      <c r="J44" s="7">
        <f t="shared" si="2"/>
        <v>-6.8044721944519697E-4</v>
      </c>
      <c r="K44" s="5">
        <v>44611</v>
      </c>
      <c r="L44" s="8">
        <f t="shared" si="3"/>
        <v>5.7680078802003413E-4</v>
      </c>
      <c r="M44" s="5">
        <v>44611</v>
      </c>
      <c r="N44" s="9">
        <f t="shared" si="0"/>
        <v>-1.0364643142516284E-4</v>
      </c>
      <c r="O44" s="5">
        <v>44611</v>
      </c>
      <c r="P44">
        <f t="shared" si="1"/>
        <v>0.99977007767982951</v>
      </c>
      <c r="Q44" s="6">
        <f t="shared" si="4"/>
        <v>0.99960015993602558</v>
      </c>
      <c r="R44">
        <f t="shared" si="5"/>
        <v>1.6997126496752214E-4</v>
      </c>
      <c r="T44" s="5">
        <v>44611</v>
      </c>
      <c r="U44" s="1">
        <v>1.6997126496752214E-4</v>
      </c>
    </row>
    <row r="45" spans="3:21" x14ac:dyDescent="0.2">
      <c r="C45" s="5">
        <v>44612</v>
      </c>
      <c r="D45" s="6">
        <v>1.00074</v>
      </c>
      <c r="E45" s="6">
        <v>38355</v>
      </c>
      <c r="F45" s="6">
        <v>38384.47</v>
      </c>
      <c r="G45" s="6">
        <v>38377.5</v>
      </c>
      <c r="H45" s="6">
        <v>38379.599999999999</v>
      </c>
      <c r="I45" s="5">
        <v>44612</v>
      </c>
      <c r="J45" s="7">
        <f t="shared" si="2"/>
        <v>-6.4096551292870555E-4</v>
      </c>
      <c r="K45" s="5">
        <v>44612</v>
      </c>
      <c r="L45" s="8">
        <f t="shared" si="3"/>
        <v>1.8161683277965381E-4</v>
      </c>
      <c r="M45" s="5">
        <v>44612</v>
      </c>
      <c r="N45" s="9">
        <f t="shared" si="0"/>
        <v>-4.5934868014905171E-4</v>
      </c>
      <c r="O45" s="5">
        <v>44612</v>
      </c>
      <c r="P45">
        <f t="shared" si="1"/>
        <v>1.0000547195622433</v>
      </c>
      <c r="Q45" s="6">
        <f t="shared" si="4"/>
        <v>0.99926054719507573</v>
      </c>
      <c r="R45">
        <f t="shared" si="5"/>
        <v>7.9444440018239617E-4</v>
      </c>
      <c r="T45" s="5">
        <v>44612</v>
      </c>
      <c r="U45" s="1">
        <v>7.9444440018239617E-4</v>
      </c>
    </row>
    <row r="46" spans="3:21" x14ac:dyDescent="0.2">
      <c r="C46" s="5">
        <v>44613</v>
      </c>
      <c r="D46" s="6">
        <v>1.0001599999999999</v>
      </c>
      <c r="E46" s="6">
        <v>37001.5</v>
      </c>
      <c r="F46" s="6">
        <v>37056.120000000003</v>
      </c>
      <c r="G46" s="6">
        <v>37020</v>
      </c>
      <c r="H46" s="6">
        <v>37001.54</v>
      </c>
      <c r="I46" s="5">
        <v>44613</v>
      </c>
      <c r="J46" s="7">
        <f t="shared" si="2"/>
        <v>-1.0810360866297217E-6</v>
      </c>
      <c r="K46" s="5">
        <v>44613</v>
      </c>
      <c r="L46" s="8">
        <f t="shared" si="3"/>
        <v>9.7568881685582436E-4</v>
      </c>
      <c r="M46" s="5">
        <v>44613</v>
      </c>
      <c r="N46" s="9">
        <f t="shared" si="0"/>
        <v>9.7460778076919469E-4</v>
      </c>
      <c r="O46" s="5">
        <v>44613</v>
      </c>
      <c r="P46">
        <f t="shared" si="1"/>
        <v>0.99950135062128587</v>
      </c>
      <c r="Q46" s="6">
        <f t="shared" si="4"/>
        <v>0.99984002559590468</v>
      </c>
      <c r="R46">
        <f t="shared" si="5"/>
        <v>-3.3878654429586044E-4</v>
      </c>
      <c r="T46" s="5">
        <v>44613</v>
      </c>
      <c r="U46" s="1">
        <v>-3.3878654429586044E-4</v>
      </c>
    </row>
    <row r="47" spans="3:21" x14ac:dyDescent="0.2">
      <c r="C47" s="5">
        <v>44614</v>
      </c>
      <c r="D47" s="6">
        <v>1.00047</v>
      </c>
      <c r="E47" s="6">
        <v>38214.5</v>
      </c>
      <c r="F47" s="6">
        <v>38262.86</v>
      </c>
      <c r="G47" s="6">
        <v>38225.5</v>
      </c>
      <c r="H47" s="6">
        <v>38242.379999999997</v>
      </c>
      <c r="I47" s="5">
        <v>44614</v>
      </c>
      <c r="J47" s="7">
        <f t="shared" si="2"/>
        <v>-7.2903412392213518E-4</v>
      </c>
      <c r="K47" s="5">
        <v>44614</v>
      </c>
      <c r="L47" s="8">
        <f t="shared" si="3"/>
        <v>9.7735804633034451E-4</v>
      </c>
      <c r="M47" s="5">
        <v>44614</v>
      </c>
      <c r="N47" s="9">
        <f t="shared" si="0"/>
        <v>2.4832392240820933E-4</v>
      </c>
      <c r="O47" s="5">
        <v>44614</v>
      </c>
      <c r="P47">
        <f t="shared" si="1"/>
        <v>1.0004415900380634</v>
      </c>
      <c r="Q47" s="6">
        <f t="shared" si="4"/>
        <v>0.99953022079622578</v>
      </c>
      <c r="R47">
        <f t="shared" si="5"/>
        <v>9.1138215047223447E-4</v>
      </c>
      <c r="T47" s="5">
        <v>44614</v>
      </c>
      <c r="U47" s="1">
        <v>9.1138215047223447E-4</v>
      </c>
    </row>
    <row r="48" spans="3:21" x14ac:dyDescent="0.2">
      <c r="C48" s="5">
        <v>44615</v>
      </c>
      <c r="D48" s="6">
        <v>1.00092</v>
      </c>
      <c r="E48" s="6">
        <v>37245.5</v>
      </c>
      <c r="F48" s="6">
        <v>37260.129999999997</v>
      </c>
      <c r="G48" s="6">
        <v>37253.5</v>
      </c>
      <c r="H48" s="6">
        <v>37222.660000000003</v>
      </c>
      <c r="I48" s="5">
        <v>44615</v>
      </c>
      <c r="J48" s="7">
        <f t="shared" si="2"/>
        <v>6.1360472357420198E-4</v>
      </c>
      <c r="K48" s="5">
        <v>44615</v>
      </c>
      <c r="L48" s="8">
        <f t="shared" si="3"/>
        <v>1.7796985518132204E-4</v>
      </c>
      <c r="M48" s="5">
        <v>44615</v>
      </c>
      <c r="N48" s="9">
        <f t="shared" si="0"/>
        <v>7.9157457875552405E-4</v>
      </c>
      <c r="O48" s="5">
        <v>44615</v>
      </c>
      <c r="P48">
        <f t="shared" si="1"/>
        <v>0.99917215832069473</v>
      </c>
      <c r="Q48" s="6">
        <f t="shared" si="4"/>
        <v>0.9990808456220277</v>
      </c>
      <c r="R48">
        <f t="shared" si="5"/>
        <v>9.1392529925339878E-5</v>
      </c>
      <c r="T48" s="5">
        <v>44615</v>
      </c>
      <c r="U48" s="1">
        <v>9.1392529925339878E-5</v>
      </c>
    </row>
    <row r="49" spans="3:21" x14ac:dyDescent="0.2">
      <c r="C49" s="5">
        <v>44616</v>
      </c>
      <c r="D49" s="6">
        <v>1.00051</v>
      </c>
      <c r="E49" s="6">
        <v>38318</v>
      </c>
      <c r="F49" s="6">
        <v>38272.53</v>
      </c>
      <c r="G49" s="6">
        <v>38341</v>
      </c>
      <c r="H49" s="6">
        <v>38320.269999999997</v>
      </c>
      <c r="I49" s="5">
        <v>44616</v>
      </c>
      <c r="J49" s="7">
        <f t="shared" si="2"/>
        <v>-5.9237578440778175E-5</v>
      </c>
      <c r="K49" s="5">
        <v>44616</v>
      </c>
      <c r="L49" s="8">
        <f t="shared" si="3"/>
        <v>-1.78581674969357E-3</v>
      </c>
      <c r="M49" s="5">
        <v>44616</v>
      </c>
      <c r="N49" s="9">
        <f t="shared" si="0"/>
        <v>-1.8450543281343481E-3</v>
      </c>
      <c r="O49" s="5">
        <v>44616</v>
      </c>
      <c r="P49">
        <f t="shared" si="1"/>
        <v>0.99945932552619898</v>
      </c>
      <c r="Q49" s="6">
        <f t="shared" si="4"/>
        <v>0.99949025996741658</v>
      </c>
      <c r="R49">
        <f t="shared" si="5"/>
        <v>-3.0950696750528028E-5</v>
      </c>
      <c r="T49" s="5">
        <v>44616</v>
      </c>
      <c r="U49" s="1">
        <v>-3.0950696750528028E-5</v>
      </c>
    </row>
    <row r="50" spans="3:21" x14ac:dyDescent="0.2">
      <c r="C50" s="5">
        <v>44617</v>
      </c>
      <c r="D50" s="6">
        <v>1.0005999999999999</v>
      </c>
      <c r="E50" s="6">
        <v>39174.5</v>
      </c>
      <c r="F50" s="6">
        <v>39234.85</v>
      </c>
      <c r="G50" s="6">
        <v>39204</v>
      </c>
      <c r="H50" s="6">
        <v>39199.35</v>
      </c>
      <c r="I50" s="5">
        <v>44617</v>
      </c>
      <c r="J50" s="7">
        <f t="shared" si="2"/>
        <v>-6.3393908317353591E-4</v>
      </c>
      <c r="K50" s="5">
        <v>44617</v>
      </c>
      <c r="L50" s="8">
        <f t="shared" si="3"/>
        <v>7.8690949903067401E-4</v>
      </c>
      <c r="M50" s="5">
        <v>44617</v>
      </c>
      <c r="N50" s="9">
        <f t="shared" si="0"/>
        <v>1.5297041585713811E-4</v>
      </c>
      <c r="O50" s="5">
        <v>44617</v>
      </c>
      <c r="P50">
        <f t="shared" si="1"/>
        <v>0.99988138965411688</v>
      </c>
      <c r="Q50" s="6">
        <f t="shared" si="4"/>
        <v>0.99940035978412955</v>
      </c>
      <c r="R50">
        <f t="shared" si="5"/>
        <v>4.8120269132113328E-4</v>
      </c>
      <c r="T50" s="5">
        <v>44617</v>
      </c>
      <c r="U50" s="1">
        <v>4.8120269132113328E-4</v>
      </c>
    </row>
    <row r="51" spans="3:21" x14ac:dyDescent="0.2">
      <c r="C51" s="5">
        <v>44618</v>
      </c>
      <c r="D51" s="6">
        <v>1.00082</v>
      </c>
      <c r="E51" s="6">
        <v>39094.5</v>
      </c>
      <c r="F51" s="6">
        <v>39151.89</v>
      </c>
      <c r="G51" s="6">
        <v>39112</v>
      </c>
      <c r="H51" s="6">
        <v>39104.76</v>
      </c>
      <c r="I51" s="5">
        <v>44618</v>
      </c>
      <c r="J51" s="7">
        <f t="shared" si="2"/>
        <v>-2.6237215111413642E-4</v>
      </c>
      <c r="K51" s="5">
        <v>44618</v>
      </c>
      <c r="L51" s="8">
        <f t="shared" si="3"/>
        <v>1.019891593372863E-3</v>
      </c>
      <c r="M51" s="5">
        <v>44618</v>
      </c>
      <c r="N51" s="9">
        <f t="shared" si="0"/>
        <v>7.575194422587265E-4</v>
      </c>
      <c r="O51" s="5">
        <v>44618</v>
      </c>
      <c r="P51">
        <f t="shared" si="1"/>
        <v>0.99981489057066897</v>
      </c>
      <c r="Q51" s="6">
        <f t="shared" si="4"/>
        <v>0.99918067184908366</v>
      </c>
      <c r="R51">
        <f t="shared" si="5"/>
        <v>6.3453741948054829E-4</v>
      </c>
      <c r="T51" s="5">
        <v>44618</v>
      </c>
      <c r="U51" s="1">
        <v>6.3453741948054829E-4</v>
      </c>
    </row>
    <row r="52" spans="3:21" x14ac:dyDescent="0.2">
      <c r="C52" s="5">
        <v>44619</v>
      </c>
      <c r="D52" s="6">
        <v>1.0007999999999999</v>
      </c>
      <c r="E52" s="6">
        <v>37665</v>
      </c>
      <c r="F52" s="6">
        <v>37741.32</v>
      </c>
      <c r="G52" s="6">
        <v>37700</v>
      </c>
      <c r="H52" s="6">
        <v>37662.03</v>
      </c>
      <c r="I52" s="5">
        <v>44619</v>
      </c>
      <c r="J52" s="7">
        <f t="shared" si="2"/>
        <v>7.8859264888301667E-5</v>
      </c>
      <c r="K52" s="5">
        <v>44619</v>
      </c>
      <c r="L52" s="8">
        <f t="shared" si="3"/>
        <v>1.0960212201591435E-3</v>
      </c>
      <c r="M52" s="5">
        <v>44619</v>
      </c>
      <c r="N52" s="9">
        <f t="shared" si="0"/>
        <v>1.1748804850474452E-3</v>
      </c>
      <c r="O52" s="5">
        <v>44619</v>
      </c>
      <c r="P52">
        <f t="shared" si="1"/>
        <v>0.99899283819628648</v>
      </c>
      <c r="Q52" s="6">
        <f t="shared" si="4"/>
        <v>0.99920063948840931</v>
      </c>
      <c r="R52">
        <f t="shared" si="5"/>
        <v>-2.0798916140267427E-4</v>
      </c>
      <c r="T52" s="5">
        <v>44619</v>
      </c>
      <c r="U52" s="1">
        <v>-2.0798916140267427E-4</v>
      </c>
    </row>
    <row r="53" spans="3:21" x14ac:dyDescent="0.2">
      <c r="C53" s="5">
        <v>44620</v>
      </c>
      <c r="D53" s="6">
        <v>1.00057</v>
      </c>
      <c r="E53" s="6">
        <v>43150.5</v>
      </c>
      <c r="F53" s="6">
        <v>43171.59</v>
      </c>
      <c r="G53" s="6">
        <v>43180</v>
      </c>
      <c r="H53" s="6">
        <v>43178.53</v>
      </c>
      <c r="I53" s="5">
        <v>44620</v>
      </c>
      <c r="J53" s="7">
        <f t="shared" si="2"/>
        <v>-6.4916522169695999E-4</v>
      </c>
      <c r="K53" s="5">
        <v>44620</v>
      </c>
      <c r="L53" s="8">
        <f t="shared" si="3"/>
        <v>-1.9476609541462466E-4</v>
      </c>
      <c r="M53" s="5">
        <v>44620</v>
      </c>
      <c r="N53" s="9">
        <f t="shared" si="0"/>
        <v>-8.4393131711158463E-4</v>
      </c>
      <c r="O53" s="5">
        <v>44620</v>
      </c>
      <c r="P53">
        <f t="shared" si="1"/>
        <v>0.99996595646132469</v>
      </c>
      <c r="Q53" s="6">
        <f t="shared" si="4"/>
        <v>0.99943032471491255</v>
      </c>
      <c r="R53">
        <f t="shared" si="5"/>
        <v>5.3579349353492583E-4</v>
      </c>
      <c r="T53" s="5">
        <v>44620</v>
      </c>
      <c r="U53" s="1">
        <v>5.3579349353492583E-4</v>
      </c>
    </row>
    <row r="54" spans="3:21" x14ac:dyDescent="0.2">
      <c r="C54" s="5">
        <v>44621</v>
      </c>
      <c r="D54" s="6">
        <v>1.00041</v>
      </c>
      <c r="E54" s="6">
        <v>44389.5</v>
      </c>
      <c r="F54" s="6">
        <v>44469.58</v>
      </c>
      <c r="G54" s="6">
        <v>44421.5</v>
      </c>
      <c r="H54" s="6">
        <v>44409.75</v>
      </c>
      <c r="I54" s="5">
        <v>44621</v>
      </c>
      <c r="J54" s="7">
        <f t="shared" si="2"/>
        <v>-4.559809501291946E-4</v>
      </c>
      <c r="K54" s="5">
        <v>44621</v>
      </c>
      <c r="L54" s="8">
        <f t="shared" si="3"/>
        <v>1.0823587677138715E-3</v>
      </c>
      <c r="M54" s="5">
        <v>44621</v>
      </c>
      <c r="N54" s="9">
        <f t="shared" si="0"/>
        <v>6.2637781758467684E-4</v>
      </c>
      <c r="O54" s="5">
        <v>44621</v>
      </c>
      <c r="P54">
        <f t="shared" si="1"/>
        <v>0.9997354884459102</v>
      </c>
      <c r="Q54" s="6">
        <f t="shared" si="4"/>
        <v>0.99959016803110723</v>
      </c>
      <c r="R54">
        <f t="shared" si="5"/>
        <v>1.453694295254974E-4</v>
      </c>
      <c r="T54" s="5">
        <v>44621</v>
      </c>
      <c r="U54" s="1">
        <v>1.453694295254974E-4</v>
      </c>
    </row>
    <row r="55" spans="3:21" x14ac:dyDescent="0.2">
      <c r="C55" s="5">
        <v>44622</v>
      </c>
      <c r="D55" s="6">
        <v>1.00075</v>
      </c>
      <c r="E55" s="6">
        <v>43893.5</v>
      </c>
      <c r="F55" s="6">
        <v>43898.87</v>
      </c>
      <c r="G55" s="6">
        <v>43930.5</v>
      </c>
      <c r="H55" s="6">
        <v>43900.44</v>
      </c>
      <c r="I55" s="5">
        <v>44622</v>
      </c>
      <c r="J55" s="7">
        <f t="shared" si="2"/>
        <v>-1.5808497591373409E-4</v>
      </c>
      <c r="K55" s="5">
        <v>44622</v>
      </c>
      <c r="L55" s="8">
        <f t="shared" si="3"/>
        <v>-7.2000091052907157E-4</v>
      </c>
      <c r="M55" s="5">
        <v>44622</v>
      </c>
      <c r="N55" s="9">
        <f t="shared" si="0"/>
        <v>-8.7808588644280568E-4</v>
      </c>
      <c r="O55" s="5">
        <v>44622</v>
      </c>
      <c r="P55">
        <f t="shared" si="1"/>
        <v>0.99931573735787216</v>
      </c>
      <c r="Q55" s="6">
        <f t="shared" si="4"/>
        <v>0.9992505620784411</v>
      </c>
      <c r="R55">
        <f t="shared" si="5"/>
        <v>6.5222033887625568E-5</v>
      </c>
      <c r="T55" s="5">
        <v>44622</v>
      </c>
      <c r="U55" s="1">
        <v>6.5222033887625568E-5</v>
      </c>
    </row>
    <row r="56" spans="3:21" x14ac:dyDescent="0.2">
      <c r="C56" s="5">
        <v>44623</v>
      </c>
      <c r="D56" s="6">
        <v>1.0000899999999999</v>
      </c>
      <c r="E56" s="6">
        <v>42450.5</v>
      </c>
      <c r="F56" s="6">
        <v>42471.69</v>
      </c>
      <c r="G56" s="6">
        <v>42464.5</v>
      </c>
      <c r="H56" s="6">
        <v>42467.63</v>
      </c>
      <c r="I56" s="5">
        <v>44623</v>
      </c>
      <c r="J56" s="7">
        <f t="shared" si="2"/>
        <v>-4.0336604609198537E-4</v>
      </c>
      <c r="K56" s="5">
        <v>44623</v>
      </c>
      <c r="L56" s="8">
        <f t="shared" si="3"/>
        <v>1.693179008348698E-4</v>
      </c>
      <c r="M56" s="5">
        <v>44623</v>
      </c>
      <c r="N56" s="9">
        <f t="shared" si="0"/>
        <v>-2.3404814525711557E-4</v>
      </c>
      <c r="O56" s="5">
        <v>44623</v>
      </c>
      <c r="P56">
        <f t="shared" si="1"/>
        <v>1.0000737086272062</v>
      </c>
      <c r="Q56" s="6">
        <f t="shared" si="4"/>
        <v>0.99991000809927111</v>
      </c>
      <c r="R56">
        <f t="shared" si="5"/>
        <v>1.6370186110172834E-4</v>
      </c>
      <c r="T56" s="5">
        <v>44623</v>
      </c>
      <c r="U56" s="1">
        <v>1.6370186110172834E-4</v>
      </c>
    </row>
    <row r="57" spans="3:21" x14ac:dyDescent="0.2">
      <c r="C57" s="5">
        <v>44624</v>
      </c>
      <c r="D57" s="6">
        <v>1</v>
      </c>
      <c r="E57" s="6">
        <v>39114.5</v>
      </c>
      <c r="F57" s="6">
        <v>39183.4</v>
      </c>
      <c r="G57" s="6">
        <v>39100</v>
      </c>
      <c r="H57" s="6">
        <v>39147.919999999998</v>
      </c>
      <c r="I57" s="5">
        <v>44624</v>
      </c>
      <c r="J57" s="7">
        <f t="shared" si="2"/>
        <v>-8.5368520217672498E-4</v>
      </c>
      <c r="K57" s="5">
        <v>44624</v>
      </c>
      <c r="L57" s="8">
        <f t="shared" si="3"/>
        <v>2.1329923273657662E-3</v>
      </c>
      <c r="M57" s="5">
        <v>44624</v>
      </c>
      <c r="N57" s="9">
        <f t="shared" si="0"/>
        <v>1.2793071251890414E-3</v>
      </c>
      <c r="O57" s="5">
        <v>44624</v>
      </c>
      <c r="P57">
        <f t="shared" si="1"/>
        <v>1.0012255754475703</v>
      </c>
      <c r="Q57" s="6">
        <f t="shared" si="4"/>
        <v>1</v>
      </c>
      <c r="R57">
        <f t="shared" si="5"/>
        <v>1.2248250430371194E-3</v>
      </c>
      <c r="T57" s="5">
        <v>44624</v>
      </c>
      <c r="U57" s="1">
        <v>1.2248250430371194E-3</v>
      </c>
    </row>
    <row r="58" spans="3:21" x14ac:dyDescent="0.2">
      <c r="C58" s="5">
        <v>44625</v>
      </c>
      <c r="D58" s="6">
        <v>1.0004900000000001</v>
      </c>
      <c r="E58" s="6">
        <v>39360</v>
      </c>
      <c r="F58" s="6">
        <v>39432.82</v>
      </c>
      <c r="G58" s="6">
        <v>39382</v>
      </c>
      <c r="H58" s="6">
        <v>39394.11</v>
      </c>
      <c r="I58" s="5">
        <v>44625</v>
      </c>
      <c r="J58" s="7">
        <f t="shared" si="2"/>
        <v>-8.6586548090566279E-4</v>
      </c>
      <c r="K58" s="5">
        <v>44625</v>
      </c>
      <c r="L58" s="8">
        <f t="shared" si="3"/>
        <v>1.2904372555989972E-3</v>
      </c>
      <c r="M58" s="5">
        <v>44625</v>
      </c>
      <c r="N58" s="9">
        <f t="shared" si="0"/>
        <v>4.2457177469333444E-4</v>
      </c>
      <c r="O58" s="5">
        <v>44625</v>
      </c>
      <c r="P58">
        <f t="shared" si="1"/>
        <v>1.000307500888731</v>
      </c>
      <c r="Q58" s="6">
        <f t="shared" si="4"/>
        <v>0.99951023998240851</v>
      </c>
      <c r="R58">
        <f t="shared" si="5"/>
        <v>7.9733360922458561E-4</v>
      </c>
      <c r="T58" s="5">
        <v>44625</v>
      </c>
      <c r="U58" s="1">
        <v>7.9733360922458561E-4</v>
      </c>
    </row>
    <row r="59" spans="3:21" x14ac:dyDescent="0.2">
      <c r="C59" s="5">
        <v>44626</v>
      </c>
      <c r="D59" s="6">
        <v>1.0000599999999999</v>
      </c>
      <c r="E59" s="6">
        <v>38394</v>
      </c>
      <c r="F59" s="6">
        <v>38422.71</v>
      </c>
      <c r="G59" s="6">
        <v>38395.5</v>
      </c>
      <c r="H59" s="6">
        <v>38387.97</v>
      </c>
      <c r="I59" s="5">
        <v>44626</v>
      </c>
      <c r="J59" s="7">
        <f t="shared" si="2"/>
        <v>1.5708046036294276E-4</v>
      </c>
      <c r="K59" s="5">
        <v>44626</v>
      </c>
      <c r="L59" s="8">
        <f t="shared" si="3"/>
        <v>7.0867679806225017E-4</v>
      </c>
      <c r="M59" s="5">
        <v>44626</v>
      </c>
      <c r="N59" s="9">
        <f t="shared" si="0"/>
        <v>8.6575725842519291E-4</v>
      </c>
      <c r="O59" s="5">
        <v>44626</v>
      </c>
      <c r="P59">
        <f t="shared" si="1"/>
        <v>0.99980388326757053</v>
      </c>
      <c r="Q59" s="6">
        <f t="shared" si="4"/>
        <v>0.99994000359978408</v>
      </c>
      <c r="R59">
        <f t="shared" si="5"/>
        <v>-1.3613776575858134E-4</v>
      </c>
      <c r="T59" s="5">
        <v>44626</v>
      </c>
      <c r="U59" s="1">
        <v>-1.3613776575858134E-4</v>
      </c>
    </row>
    <row r="60" spans="3:21" x14ac:dyDescent="0.2">
      <c r="C60" s="5">
        <v>44627</v>
      </c>
      <c r="D60" s="6">
        <v>1.00051</v>
      </c>
      <c r="E60" s="6">
        <v>37976</v>
      </c>
      <c r="F60" s="6">
        <v>38029.1</v>
      </c>
      <c r="G60" s="6">
        <v>37985.5</v>
      </c>
      <c r="H60" s="6">
        <v>38005.14</v>
      </c>
      <c r="I60" s="5">
        <v>44627</v>
      </c>
      <c r="J60" s="7">
        <f t="shared" si="2"/>
        <v>-7.6673839380671715E-4</v>
      </c>
      <c r="K60" s="5">
        <v>44627</v>
      </c>
      <c r="L60" s="8">
        <f t="shared" si="3"/>
        <v>1.1478063998104156E-3</v>
      </c>
      <c r="M60" s="5">
        <v>44627</v>
      </c>
      <c r="N60" s="9">
        <f t="shared" si="0"/>
        <v>3.8106800600369844E-4</v>
      </c>
      <c r="O60" s="5">
        <v>44627</v>
      </c>
      <c r="P60">
        <f t="shared" si="1"/>
        <v>1.0005170393966119</v>
      </c>
      <c r="Q60" s="6">
        <f t="shared" si="4"/>
        <v>0.99949025996741658</v>
      </c>
      <c r="R60">
        <f t="shared" si="5"/>
        <v>1.0267757719985419E-3</v>
      </c>
      <c r="T60" s="5">
        <v>44627</v>
      </c>
      <c r="U60" s="1">
        <v>1.0267757719985419E-3</v>
      </c>
    </row>
    <row r="61" spans="3:21" x14ac:dyDescent="0.2">
      <c r="C61" s="5">
        <v>44628</v>
      </c>
      <c r="D61" s="6">
        <v>1</v>
      </c>
      <c r="E61" s="6">
        <v>38726.5</v>
      </c>
      <c r="F61" s="6">
        <v>38732.58</v>
      </c>
      <c r="G61" s="6">
        <v>38739.5</v>
      </c>
      <c r="H61" s="6">
        <v>38725.35</v>
      </c>
      <c r="I61" s="5">
        <v>44628</v>
      </c>
      <c r="J61" s="7">
        <f t="shared" si="2"/>
        <v>2.9696310039843545E-5</v>
      </c>
      <c r="K61" s="5">
        <v>44628</v>
      </c>
      <c r="L61" s="8">
        <f t="shared" si="3"/>
        <v>-1.7862904787099094E-4</v>
      </c>
      <c r="M61" s="5">
        <v>44628</v>
      </c>
      <c r="N61" s="9">
        <f t="shared" si="0"/>
        <v>-1.4893273783114739E-4</v>
      </c>
      <c r="O61" s="5">
        <v>44628</v>
      </c>
      <c r="P61">
        <f t="shared" si="1"/>
        <v>0.99963473973592842</v>
      </c>
      <c r="Q61" s="6">
        <f t="shared" si="4"/>
        <v>1</v>
      </c>
      <c r="R61">
        <f t="shared" si="5"/>
        <v>-3.653269878500224E-4</v>
      </c>
      <c r="T61" s="5">
        <v>44628</v>
      </c>
      <c r="U61" s="1">
        <v>-3.653269878500224E-4</v>
      </c>
    </row>
    <row r="62" spans="3:21" x14ac:dyDescent="0.2">
      <c r="C62" s="5">
        <v>44629</v>
      </c>
      <c r="D62" s="6">
        <v>1.0002</v>
      </c>
      <c r="E62" s="6">
        <v>41941.5</v>
      </c>
      <c r="F62" s="6">
        <v>41960.73</v>
      </c>
      <c r="G62" s="6">
        <v>41935</v>
      </c>
      <c r="H62" s="6">
        <v>41941.57</v>
      </c>
      <c r="I62" s="5">
        <v>44629</v>
      </c>
      <c r="J62" s="7">
        <f t="shared" si="2"/>
        <v>-1.6689885476320739E-6</v>
      </c>
      <c r="K62" s="5">
        <v>44629</v>
      </c>
      <c r="L62" s="8">
        <f t="shared" si="3"/>
        <v>6.1356861809951601E-4</v>
      </c>
      <c r="M62" s="5">
        <v>44629</v>
      </c>
      <c r="N62" s="9">
        <f t="shared" si="0"/>
        <v>6.1189962955188388E-4</v>
      </c>
      <c r="O62" s="5">
        <v>44629</v>
      </c>
      <c r="P62">
        <f t="shared" si="1"/>
        <v>1.0001566710385119</v>
      </c>
      <c r="Q62" s="6">
        <f t="shared" si="4"/>
        <v>0.99980003999200162</v>
      </c>
      <c r="R62">
        <f t="shared" si="5"/>
        <v>3.5663876955269625E-4</v>
      </c>
      <c r="T62" s="5">
        <v>44629</v>
      </c>
      <c r="U62" s="1">
        <v>3.5663876955269625E-4</v>
      </c>
    </row>
    <row r="63" spans="3:21" x14ac:dyDescent="0.2">
      <c r="C63" s="5">
        <v>44630</v>
      </c>
      <c r="D63" s="6">
        <v>1.0005200000000001</v>
      </c>
      <c r="E63" s="6">
        <v>39408</v>
      </c>
      <c r="F63" s="6">
        <v>39468.660000000003</v>
      </c>
      <c r="G63" s="6">
        <v>39423.5</v>
      </c>
      <c r="H63" s="6">
        <v>39415</v>
      </c>
      <c r="I63" s="5">
        <v>44630</v>
      </c>
      <c r="J63" s="7">
        <f t="shared" si="2"/>
        <v>-1.7759736141063047E-4</v>
      </c>
      <c r="K63" s="5">
        <v>44630</v>
      </c>
      <c r="L63" s="8">
        <f t="shared" si="3"/>
        <v>1.1455096579452229E-3</v>
      </c>
      <c r="M63" s="5">
        <v>44630</v>
      </c>
      <c r="N63" s="9">
        <f t="shared" si="0"/>
        <v>9.6791229653459248E-4</v>
      </c>
      <c r="O63" s="5">
        <v>44630</v>
      </c>
      <c r="P63">
        <f t="shared" si="1"/>
        <v>0.99978439255773843</v>
      </c>
      <c r="Q63" s="6">
        <f t="shared" si="4"/>
        <v>0.99948027025946495</v>
      </c>
      <c r="R63">
        <f t="shared" si="5"/>
        <v>3.0423415796344453E-4</v>
      </c>
      <c r="T63" s="5">
        <v>44630</v>
      </c>
      <c r="U63" s="1">
        <v>3.0423415796344453E-4</v>
      </c>
    </row>
    <row r="64" spans="3:21" x14ac:dyDescent="0.2">
      <c r="C64" s="5">
        <v>44631</v>
      </c>
      <c r="D64" s="6">
        <v>1.0002899999999999</v>
      </c>
      <c r="E64" s="6">
        <v>38726</v>
      </c>
      <c r="F64" s="6">
        <v>38783.300000000003</v>
      </c>
      <c r="G64" s="6">
        <v>38708</v>
      </c>
      <c r="H64" s="6">
        <v>38727.01</v>
      </c>
      <c r="I64" s="5">
        <v>44631</v>
      </c>
      <c r="J64" s="7">
        <f t="shared" si="2"/>
        <v>-2.6079989134251193E-5</v>
      </c>
      <c r="K64" s="5">
        <v>44631</v>
      </c>
      <c r="L64" s="8">
        <f t="shared" si="3"/>
        <v>1.9453342978196474E-3</v>
      </c>
      <c r="M64" s="5">
        <v>44631</v>
      </c>
      <c r="N64" s="9">
        <f t="shared" si="0"/>
        <v>1.9192543086853963E-3</v>
      </c>
      <c r="O64" s="5">
        <v>44631</v>
      </c>
      <c r="P64">
        <f t="shared" si="1"/>
        <v>1.0004911129482277</v>
      </c>
      <c r="Q64" s="6">
        <f t="shared" si="4"/>
        <v>0.99971008407561812</v>
      </c>
      <c r="R64">
        <f t="shared" si="5"/>
        <v>7.8095034986107965E-4</v>
      </c>
      <c r="T64" s="5">
        <v>44631</v>
      </c>
      <c r="U64" s="1">
        <v>7.8095034986107965E-4</v>
      </c>
    </row>
    <row r="65" spans="3:21" x14ac:dyDescent="0.2">
      <c r="C65" s="5">
        <v>44632</v>
      </c>
      <c r="D65" s="6">
        <v>1.0001100000000001</v>
      </c>
      <c r="E65" s="6">
        <v>38793</v>
      </c>
      <c r="F65" s="6">
        <v>38902.99</v>
      </c>
      <c r="G65" s="6">
        <v>38784</v>
      </c>
      <c r="H65" s="6">
        <v>38795.01</v>
      </c>
      <c r="I65" s="5">
        <v>44632</v>
      </c>
      <c r="J65" s="7">
        <f t="shared" si="2"/>
        <v>-5.1810787005907133E-5</v>
      </c>
      <c r="K65" s="5">
        <v>44632</v>
      </c>
      <c r="L65" s="8">
        <f t="shared" si="3"/>
        <v>3.0680177392738749E-3</v>
      </c>
      <c r="M65" s="5">
        <v>44632</v>
      </c>
      <c r="N65" s="9">
        <f t="shared" si="0"/>
        <v>3.0162069522679676E-3</v>
      </c>
      <c r="O65" s="5">
        <v>44632</v>
      </c>
      <c r="P65">
        <f t="shared" si="1"/>
        <v>1.0002838799504952</v>
      </c>
      <c r="Q65" s="6">
        <f t="shared" si="4"/>
        <v>0.99989001209866912</v>
      </c>
      <c r="R65">
        <f t="shared" si="5"/>
        <v>3.9383361464976935E-4</v>
      </c>
      <c r="T65" s="5">
        <v>44632</v>
      </c>
      <c r="U65" s="1">
        <v>3.9383361464976935E-4</v>
      </c>
    </row>
    <row r="66" spans="3:21" x14ac:dyDescent="0.2">
      <c r="C66" s="5">
        <v>44633</v>
      </c>
      <c r="D66" s="6">
        <v>1.0000100000000001</v>
      </c>
      <c r="E66" s="6">
        <v>37756</v>
      </c>
      <c r="F66" s="6">
        <v>37929.879999999997</v>
      </c>
      <c r="G66" s="6">
        <v>37754.5</v>
      </c>
      <c r="H66" s="6">
        <v>37773.519999999997</v>
      </c>
      <c r="I66" s="5">
        <v>44633</v>
      </c>
      <c r="J66" s="7">
        <f t="shared" si="2"/>
        <v>-4.6381698078433784E-4</v>
      </c>
      <c r="K66" s="5">
        <v>44633</v>
      </c>
      <c r="L66" s="8">
        <f t="shared" si="3"/>
        <v>4.6452740732892076E-3</v>
      </c>
      <c r="M66" s="5">
        <v>44633</v>
      </c>
      <c r="N66" s="9">
        <f t="shared" si="0"/>
        <v>4.1814570925048696E-3</v>
      </c>
      <c r="O66" s="5">
        <v>44633</v>
      </c>
      <c r="P66">
        <f t="shared" si="1"/>
        <v>1.0005037810062376</v>
      </c>
      <c r="Q66" s="6">
        <f t="shared" si="4"/>
        <v>0.99999000009999894</v>
      </c>
      <c r="R66">
        <f t="shared" si="5"/>
        <v>5.136541011897508E-4</v>
      </c>
      <c r="T66" s="5">
        <v>44633</v>
      </c>
      <c r="U66" s="1">
        <v>5.136541011897508E-4</v>
      </c>
    </row>
    <row r="67" spans="3:21" x14ac:dyDescent="0.2">
      <c r="C67" s="5">
        <v>44634</v>
      </c>
      <c r="D67" s="6">
        <v>1.0000100000000001</v>
      </c>
      <c r="E67" s="6">
        <v>39645.5</v>
      </c>
      <c r="F67" s="6">
        <v>39723.54</v>
      </c>
      <c r="G67" s="6">
        <v>39654.5</v>
      </c>
      <c r="H67" s="6">
        <v>39667.58</v>
      </c>
      <c r="I67" s="5">
        <v>44634</v>
      </c>
      <c r="J67" s="7">
        <f t="shared" si="2"/>
        <v>-5.5662583903534689E-4</v>
      </c>
      <c r="K67" s="5">
        <v>44634</v>
      </c>
      <c r="L67" s="8">
        <f t="shared" si="3"/>
        <v>1.7410382176045814E-3</v>
      </c>
      <c r="M67" s="5">
        <v>44634</v>
      </c>
      <c r="N67" s="9">
        <f t="shared" si="0"/>
        <v>1.1844123785692345E-3</v>
      </c>
      <c r="O67" s="5">
        <v>44634</v>
      </c>
      <c r="P67">
        <f t="shared" si="1"/>
        <v>1.0003298490713539</v>
      </c>
      <c r="Q67" s="6">
        <f t="shared" si="4"/>
        <v>0.99999000009999894</v>
      </c>
      <c r="R67">
        <f t="shared" si="5"/>
        <v>3.3979463310909128E-4</v>
      </c>
      <c r="T67" s="5">
        <v>44634</v>
      </c>
      <c r="U67" s="1">
        <v>3.3979463310909128E-4</v>
      </c>
    </row>
    <row r="68" spans="3:21" x14ac:dyDescent="0.2">
      <c r="C68" s="5">
        <v>44635</v>
      </c>
      <c r="D68" s="6">
        <v>1.00048</v>
      </c>
      <c r="E68" s="6">
        <v>39280</v>
      </c>
      <c r="F68" s="6">
        <v>39334.58</v>
      </c>
      <c r="G68" s="6">
        <v>39282</v>
      </c>
      <c r="H68" s="6">
        <v>39275.96</v>
      </c>
      <c r="I68" s="5">
        <v>44635</v>
      </c>
      <c r="J68" s="7">
        <f t="shared" si="2"/>
        <v>1.0286190331186998E-4</v>
      </c>
      <c r="K68" s="5">
        <v>44635</v>
      </c>
      <c r="L68" s="8">
        <f t="shared" si="3"/>
        <v>1.3385265516012868E-3</v>
      </c>
      <c r="M68" s="5">
        <v>44635</v>
      </c>
      <c r="N68" s="9">
        <f t="shared" si="0"/>
        <v>1.4413884549131569E-3</v>
      </c>
      <c r="O68" s="5">
        <v>44635</v>
      </c>
      <c r="P68">
        <f t="shared" si="1"/>
        <v>0.99984624000814615</v>
      </c>
      <c r="Q68" s="6">
        <f t="shared" si="4"/>
        <v>0.99952023028946102</v>
      </c>
      <c r="R68">
        <f t="shared" si="5"/>
        <v>3.2611302271741866E-4</v>
      </c>
      <c r="T68" s="5">
        <v>44635</v>
      </c>
      <c r="U68" s="1">
        <v>3.2611302271741866E-4</v>
      </c>
    </row>
    <row r="69" spans="3:21" x14ac:dyDescent="0.2">
      <c r="C69" s="5">
        <v>44636</v>
      </c>
      <c r="D69" s="6">
        <v>1.0002899999999999</v>
      </c>
      <c r="E69" s="6">
        <v>41124.5</v>
      </c>
      <c r="F69" s="6">
        <v>41135.99</v>
      </c>
      <c r="G69" s="6">
        <v>41123</v>
      </c>
      <c r="H69" s="6">
        <v>41107.769999999997</v>
      </c>
      <c r="I69" s="5">
        <v>44636</v>
      </c>
      <c r="J69" s="7">
        <f t="shared" si="2"/>
        <v>4.0697902124107446E-4</v>
      </c>
      <c r="K69" s="5">
        <v>44636</v>
      </c>
      <c r="L69" s="8">
        <f t="shared" si="3"/>
        <v>3.1588162342236615E-4</v>
      </c>
      <c r="M69" s="5">
        <v>44636</v>
      </c>
      <c r="N69" s="9">
        <f t="shared" si="0"/>
        <v>7.2286064466344055E-4</v>
      </c>
      <c r="O69" s="5">
        <v>44636</v>
      </c>
      <c r="P69">
        <f t="shared" si="1"/>
        <v>0.99962964764243845</v>
      </c>
      <c r="Q69" s="6">
        <f t="shared" si="4"/>
        <v>0.99971008407561812</v>
      </c>
      <c r="R69">
        <f t="shared" si="5"/>
        <v>-8.0462996805349569E-5</v>
      </c>
      <c r="T69" s="5">
        <v>44636</v>
      </c>
      <c r="U69" s="1">
        <v>-8.0462996805349569E-5</v>
      </c>
    </row>
    <row r="70" spans="3:21" x14ac:dyDescent="0.2">
      <c r="C70" s="5">
        <v>44637</v>
      </c>
      <c r="D70" s="6">
        <v>1.0005500000000001</v>
      </c>
      <c r="E70" s="6">
        <v>40890</v>
      </c>
      <c r="F70" s="6">
        <v>40985.11</v>
      </c>
      <c r="G70" s="6">
        <v>40908.5</v>
      </c>
      <c r="H70" s="6">
        <v>40912.43</v>
      </c>
      <c r="I70" s="5">
        <v>44637</v>
      </c>
      <c r="J70" s="7">
        <f t="shared" si="2"/>
        <v>-5.4824413998387023E-4</v>
      </c>
      <c r="K70" s="5">
        <v>44637</v>
      </c>
      <c r="L70" s="8">
        <f t="shared" si="3"/>
        <v>1.8727159392302475E-3</v>
      </c>
      <c r="M70" s="5">
        <v>44637</v>
      </c>
      <c r="N70" s="9">
        <f t="shared" si="0"/>
        <v>1.3244717992463772E-3</v>
      </c>
      <c r="O70" s="5">
        <v>44637</v>
      </c>
      <c r="P70">
        <f t="shared" si="1"/>
        <v>1.0000960680543163</v>
      </c>
      <c r="Q70" s="6">
        <f t="shared" si="4"/>
        <v>0.99945030233371646</v>
      </c>
      <c r="R70">
        <f t="shared" si="5"/>
        <v>6.4591224551167491E-4</v>
      </c>
      <c r="T70" s="5">
        <v>44637</v>
      </c>
      <c r="U70" s="1">
        <v>6.4591224551167491E-4</v>
      </c>
    </row>
    <row r="71" spans="3:21" x14ac:dyDescent="0.2">
      <c r="C71" s="5">
        <v>44638</v>
      </c>
      <c r="D71" s="6">
        <v>1.0006900000000001</v>
      </c>
      <c r="E71" s="6">
        <v>41751.5</v>
      </c>
      <c r="F71" s="6">
        <v>41842.57</v>
      </c>
      <c r="G71" s="6">
        <v>41766</v>
      </c>
      <c r="H71" s="6">
        <v>41751.440000000002</v>
      </c>
      <c r="I71" s="5">
        <v>44638</v>
      </c>
      <c r="J71" s="7">
        <f t="shared" si="2"/>
        <v>1.4370761822268091E-6</v>
      </c>
      <c r="K71" s="5">
        <v>44638</v>
      </c>
      <c r="L71" s="8">
        <f t="shared" si="3"/>
        <v>1.8333093904132479E-3</v>
      </c>
      <c r="M71" s="5">
        <v>44638</v>
      </c>
      <c r="N71" s="9">
        <f t="shared" si="0"/>
        <v>1.8347464665954747E-3</v>
      </c>
      <c r="O71" s="5">
        <v>44638</v>
      </c>
      <c r="P71">
        <f t="shared" si="1"/>
        <v>0.99965139108365664</v>
      </c>
      <c r="Q71" s="6">
        <f t="shared" si="4"/>
        <v>0.99931047577171739</v>
      </c>
      <c r="R71">
        <f t="shared" si="5"/>
        <v>3.4109236488921062E-4</v>
      </c>
      <c r="T71" s="5">
        <v>44638</v>
      </c>
      <c r="U71" s="1">
        <v>3.4109236488921062E-4</v>
      </c>
    </row>
    <row r="72" spans="3:21" x14ac:dyDescent="0.2">
      <c r="C72" s="5">
        <v>44639</v>
      </c>
      <c r="D72" s="6">
        <v>1.0003899999999999</v>
      </c>
      <c r="E72" s="6">
        <v>42180.5</v>
      </c>
      <c r="F72" s="6">
        <v>42244.47</v>
      </c>
      <c r="G72" s="6">
        <v>42215</v>
      </c>
      <c r="H72" s="6">
        <v>42194.5</v>
      </c>
      <c r="I72" s="5">
        <v>44639</v>
      </c>
      <c r="J72" s="7">
        <f t="shared" si="2"/>
        <v>-3.3179679816089776E-4</v>
      </c>
      <c r="K72" s="5">
        <v>44639</v>
      </c>
      <c r="L72" s="8">
        <f t="shared" si="3"/>
        <v>6.9809309487151873E-4</v>
      </c>
      <c r="M72" s="5">
        <v>44639</v>
      </c>
      <c r="N72" s="9">
        <f t="shared" ref="N72:N135" si="6">J72+L72</f>
        <v>3.6629629671062098E-4</v>
      </c>
      <c r="O72" s="5">
        <v>44639</v>
      </c>
      <c r="P72">
        <f t="shared" ref="P72:P135" si="7">(1/G72)*H72</f>
        <v>0.99951439061944802</v>
      </c>
      <c r="Q72" s="6">
        <f t="shared" si="4"/>
        <v>0.99961015204070425</v>
      </c>
      <c r="R72">
        <f t="shared" si="5"/>
        <v>-9.5803357205608738E-5</v>
      </c>
      <c r="T72" s="5">
        <v>44639</v>
      </c>
      <c r="U72" s="1">
        <v>-9.5803357205608738E-5</v>
      </c>
    </row>
    <row r="73" spans="3:21" x14ac:dyDescent="0.2">
      <c r="C73" s="5">
        <v>44640</v>
      </c>
      <c r="D73" s="6">
        <v>1.00048</v>
      </c>
      <c r="E73" s="6">
        <v>41272</v>
      </c>
      <c r="F73" s="6">
        <v>41321.5</v>
      </c>
      <c r="G73" s="6">
        <v>41267.5</v>
      </c>
      <c r="H73" s="6">
        <v>41256.06</v>
      </c>
      <c r="I73" s="5">
        <v>44640</v>
      </c>
      <c r="J73" s="7">
        <f t="shared" ref="J73:J136" si="8">(E73-H73)/H73</f>
        <v>3.8636748152883068E-4</v>
      </c>
      <c r="K73" s="5">
        <v>44640</v>
      </c>
      <c r="L73" s="8">
        <f t="shared" ref="L73:L136" si="9">(F73-G73)/G73</f>
        <v>1.3085357727024899E-3</v>
      </c>
      <c r="M73" s="5">
        <v>44640</v>
      </c>
      <c r="N73" s="9">
        <f t="shared" si="6"/>
        <v>1.6949032542313207E-3</v>
      </c>
      <c r="O73" s="5">
        <v>44640</v>
      </c>
      <c r="P73">
        <f t="shared" si="7"/>
        <v>0.99972278427333849</v>
      </c>
      <c r="Q73" s="6">
        <f t="shared" ref="Q73:Q136" si="10">1/D73</f>
        <v>0.99952023028946102</v>
      </c>
      <c r="R73">
        <f t="shared" ref="R73:R136" si="11">LN(P73/Q73)</f>
        <v>2.0263067880697464E-4</v>
      </c>
      <c r="T73" s="5">
        <v>44640</v>
      </c>
      <c r="U73" s="1">
        <v>2.0263067880697464E-4</v>
      </c>
    </row>
    <row r="74" spans="3:21" x14ac:dyDescent="0.2">
      <c r="C74" s="5">
        <v>44641</v>
      </c>
      <c r="D74" s="6">
        <v>1.00027</v>
      </c>
      <c r="E74" s="6">
        <v>40985</v>
      </c>
      <c r="F74" s="6">
        <v>41031.64</v>
      </c>
      <c r="G74" s="6">
        <v>40994</v>
      </c>
      <c r="H74" s="6">
        <v>41000</v>
      </c>
      <c r="I74" s="5">
        <v>44641</v>
      </c>
      <c r="J74" s="7">
        <f t="shared" si="8"/>
        <v>-3.6585365853658537E-4</v>
      </c>
      <c r="K74" s="5">
        <v>44641</v>
      </c>
      <c r="L74" s="8">
        <f t="shared" si="9"/>
        <v>9.1818314875346196E-4</v>
      </c>
      <c r="M74" s="5">
        <v>44641</v>
      </c>
      <c r="N74" s="9">
        <f t="shared" si="6"/>
        <v>5.5232949021687659E-4</v>
      </c>
      <c r="O74" s="5">
        <v>44641</v>
      </c>
      <c r="P74">
        <f t="shared" si="7"/>
        <v>1.000146362882373</v>
      </c>
      <c r="Q74" s="6">
        <f t="shared" si="10"/>
        <v>0.99973007288032234</v>
      </c>
      <c r="R74">
        <f t="shared" si="11"/>
        <v>4.1631572893101565E-4</v>
      </c>
      <c r="T74" s="5">
        <v>44641</v>
      </c>
      <c r="U74" s="1">
        <v>4.1631572893101565E-4</v>
      </c>
    </row>
    <row r="75" spans="3:21" x14ac:dyDescent="0.2">
      <c r="C75" s="5">
        <v>44642</v>
      </c>
      <c r="D75" s="6">
        <v>1.0003</v>
      </c>
      <c r="E75" s="6">
        <v>42359.5</v>
      </c>
      <c r="F75" s="6">
        <v>42407.08</v>
      </c>
      <c r="G75" s="6">
        <v>42357</v>
      </c>
      <c r="H75" s="6">
        <v>42357.83</v>
      </c>
      <c r="I75" s="5">
        <v>44642</v>
      </c>
      <c r="J75" s="7">
        <f t="shared" si="8"/>
        <v>3.9426004589901177E-5</v>
      </c>
      <c r="K75" s="5">
        <v>44642</v>
      </c>
      <c r="L75" s="8">
        <f t="shared" si="9"/>
        <v>1.182331137710455E-3</v>
      </c>
      <c r="M75" s="5">
        <v>44642</v>
      </c>
      <c r="N75" s="9">
        <f t="shared" si="6"/>
        <v>1.2217571423003561E-3</v>
      </c>
      <c r="O75" s="5">
        <v>44642</v>
      </c>
      <c r="P75">
        <f t="shared" si="7"/>
        <v>1.0000195953443352</v>
      </c>
      <c r="Q75" s="6">
        <f t="shared" si="10"/>
        <v>0.99970008997300808</v>
      </c>
      <c r="R75">
        <f t="shared" si="11"/>
        <v>3.195501613469268E-4</v>
      </c>
      <c r="T75" s="5">
        <v>44642</v>
      </c>
      <c r="U75" s="1">
        <v>3.195501613469268E-4</v>
      </c>
    </row>
    <row r="76" spans="3:21" x14ac:dyDescent="0.2">
      <c r="C76" s="5">
        <v>44643</v>
      </c>
      <c r="D76" s="6">
        <v>1.0003</v>
      </c>
      <c r="E76" s="6">
        <v>42851.5</v>
      </c>
      <c r="F76" s="6">
        <v>42898.720000000001</v>
      </c>
      <c r="G76" s="6">
        <v>42885</v>
      </c>
      <c r="H76" s="6">
        <v>42891.39</v>
      </c>
      <c r="I76" s="5">
        <v>44643</v>
      </c>
      <c r="J76" s="7">
        <f t="shared" si="8"/>
        <v>-9.3002348489986959E-4</v>
      </c>
      <c r="K76" s="5">
        <v>44643</v>
      </c>
      <c r="L76" s="8">
        <f t="shared" si="9"/>
        <v>3.1992538183516763E-4</v>
      </c>
      <c r="M76" s="5">
        <v>44643</v>
      </c>
      <c r="N76" s="9">
        <f t="shared" si="6"/>
        <v>-6.1009810306470195E-4</v>
      </c>
      <c r="O76" s="5">
        <v>44643</v>
      </c>
      <c r="P76">
        <f t="shared" si="7"/>
        <v>1.0001490031479539</v>
      </c>
      <c r="Q76" s="6">
        <f t="shared" si="10"/>
        <v>0.99970008997300808</v>
      </c>
      <c r="R76">
        <f t="shared" si="11"/>
        <v>4.4894705708545626E-4</v>
      </c>
      <c r="T76" s="5">
        <v>44643</v>
      </c>
      <c r="U76" s="1">
        <v>4.4894705708545626E-4</v>
      </c>
    </row>
    <row r="77" spans="3:21" x14ac:dyDescent="0.2">
      <c r="C77" s="5">
        <v>44644</v>
      </c>
      <c r="D77" s="6">
        <v>1.0006299999999999</v>
      </c>
      <c r="E77" s="6">
        <v>43970.5</v>
      </c>
      <c r="F77" s="6">
        <v>44032.74</v>
      </c>
      <c r="G77" s="6">
        <v>43992</v>
      </c>
      <c r="H77" s="6">
        <v>43991.519999999997</v>
      </c>
      <c r="I77" s="5">
        <v>44644</v>
      </c>
      <c r="J77" s="7">
        <f t="shared" si="8"/>
        <v>-4.7781936154960773E-4</v>
      </c>
      <c r="K77" s="5">
        <v>44644</v>
      </c>
      <c r="L77" s="8">
        <f t="shared" si="9"/>
        <v>9.2607746863061378E-4</v>
      </c>
      <c r="M77" s="5">
        <v>44644</v>
      </c>
      <c r="N77" s="9">
        <f t="shared" si="6"/>
        <v>4.4825810708100605E-4</v>
      </c>
      <c r="O77" s="5">
        <v>44644</v>
      </c>
      <c r="P77">
        <f t="shared" si="7"/>
        <v>0.99998908892525906</v>
      </c>
      <c r="Q77" s="6">
        <f t="shared" si="10"/>
        <v>0.99937039665011052</v>
      </c>
      <c r="R77">
        <f t="shared" si="11"/>
        <v>6.1889049904243149E-4</v>
      </c>
      <c r="T77" s="5">
        <v>44644</v>
      </c>
      <c r="U77" s="1">
        <v>6.1889049904243149E-4</v>
      </c>
    </row>
    <row r="78" spans="3:21" x14ac:dyDescent="0.2">
      <c r="C78" s="5">
        <v>44645</v>
      </c>
      <c r="D78" s="6">
        <v>1.0004</v>
      </c>
      <c r="E78" s="6">
        <v>44293.5</v>
      </c>
      <c r="F78" s="6">
        <v>44342.64</v>
      </c>
      <c r="G78" s="6">
        <v>44309.5</v>
      </c>
      <c r="H78" s="6">
        <v>44306.33</v>
      </c>
      <c r="I78" s="5">
        <v>44645</v>
      </c>
      <c r="J78" s="7">
        <f t="shared" si="8"/>
        <v>-2.8957487564421937E-4</v>
      </c>
      <c r="K78" s="5">
        <v>44645</v>
      </c>
      <c r="L78" s="8">
        <f t="shared" si="9"/>
        <v>7.4792087475596472E-4</v>
      </c>
      <c r="M78" s="5">
        <v>44645</v>
      </c>
      <c r="N78" s="9">
        <f t="shared" si="6"/>
        <v>4.5834599911174535E-4</v>
      </c>
      <c r="O78" s="5">
        <v>44645</v>
      </c>
      <c r="P78">
        <f t="shared" si="7"/>
        <v>0.99992845777993433</v>
      </c>
      <c r="Q78" s="6">
        <f t="shared" si="10"/>
        <v>0.99960015993602558</v>
      </c>
      <c r="R78">
        <f t="shared" si="11"/>
        <v>3.2837524199458886E-4</v>
      </c>
      <c r="T78" s="5">
        <v>44645</v>
      </c>
      <c r="U78" s="1">
        <v>3.2837524199458886E-4</v>
      </c>
    </row>
    <row r="79" spans="3:21" x14ac:dyDescent="0.2">
      <c r="C79" s="5">
        <v>44646</v>
      </c>
      <c r="D79" s="6">
        <v>1.00044</v>
      </c>
      <c r="E79" s="6">
        <v>44470</v>
      </c>
      <c r="F79" s="6">
        <v>44592.58</v>
      </c>
      <c r="G79" s="6">
        <v>44529.5</v>
      </c>
      <c r="H79" s="6">
        <v>44514.73</v>
      </c>
      <c r="I79" s="5">
        <v>44646</v>
      </c>
      <c r="J79" s="7">
        <f t="shared" si="8"/>
        <v>-1.0048359273436725E-3</v>
      </c>
      <c r="K79" s="5">
        <v>44646</v>
      </c>
      <c r="L79" s="8">
        <f t="shared" si="9"/>
        <v>1.4165890027959386E-3</v>
      </c>
      <c r="M79" s="5">
        <v>44646</v>
      </c>
      <c r="N79" s="9">
        <f t="shared" si="6"/>
        <v>4.1175307545226613E-4</v>
      </c>
      <c r="O79" s="5">
        <v>44646</v>
      </c>
      <c r="P79">
        <f t="shared" si="7"/>
        <v>0.99966830977217358</v>
      </c>
      <c r="Q79" s="6">
        <f t="shared" si="10"/>
        <v>0.99956019351485348</v>
      </c>
      <c r="R79">
        <f t="shared" si="11"/>
        <v>1.081579791881175E-4</v>
      </c>
      <c r="T79" s="5">
        <v>44646</v>
      </c>
      <c r="U79" s="1">
        <v>1.081579791881175E-4</v>
      </c>
    </row>
    <row r="80" spans="3:21" x14ac:dyDescent="0.2">
      <c r="C80" s="5">
        <v>44647</v>
      </c>
      <c r="D80" s="6">
        <v>1.00017</v>
      </c>
      <c r="E80" s="6">
        <v>46793</v>
      </c>
      <c r="F80" s="6">
        <v>46851.6</v>
      </c>
      <c r="G80" s="6">
        <v>46820</v>
      </c>
      <c r="H80" s="6">
        <v>46841.13</v>
      </c>
      <c r="I80" s="5">
        <v>44647</v>
      </c>
      <c r="J80" s="7">
        <f t="shared" si="8"/>
        <v>-1.0275157751317566E-3</v>
      </c>
      <c r="K80" s="5">
        <v>44647</v>
      </c>
      <c r="L80" s="8">
        <f t="shared" si="9"/>
        <v>6.7492524562149823E-4</v>
      </c>
      <c r="M80" s="5">
        <v>44647</v>
      </c>
      <c r="N80" s="9">
        <f t="shared" si="6"/>
        <v>-3.525905295102584E-4</v>
      </c>
      <c r="O80" s="5">
        <v>44647</v>
      </c>
      <c r="P80">
        <f t="shared" si="7"/>
        <v>1.0004513028620248</v>
      </c>
      <c r="Q80" s="6">
        <f t="shared" si="10"/>
        <v>0.99983002889508787</v>
      </c>
      <c r="R80">
        <f t="shared" si="11"/>
        <v>6.2118660715477722E-4</v>
      </c>
      <c r="T80" s="5">
        <v>44647</v>
      </c>
      <c r="U80" s="1">
        <v>6.2118660715477722E-4</v>
      </c>
    </row>
    <row r="81" spans="3:21" x14ac:dyDescent="0.2">
      <c r="C81" s="5">
        <v>44648</v>
      </c>
      <c r="D81" s="6">
        <v>1.00023</v>
      </c>
      <c r="E81" s="6">
        <v>47122.5</v>
      </c>
      <c r="F81" s="6">
        <v>47142.18</v>
      </c>
      <c r="G81" s="6">
        <v>47139</v>
      </c>
      <c r="H81" s="6">
        <v>47127.99</v>
      </c>
      <c r="I81" s="5">
        <v>44648</v>
      </c>
      <c r="J81" s="7">
        <f t="shared" si="8"/>
        <v>-1.1649128256897787E-4</v>
      </c>
      <c r="K81" s="5">
        <v>44648</v>
      </c>
      <c r="L81" s="8">
        <f t="shared" si="9"/>
        <v>6.7460064914408262E-5</v>
      </c>
      <c r="M81" s="5">
        <v>44648</v>
      </c>
      <c r="N81" s="9">
        <f t="shared" si="6"/>
        <v>-4.9031217654569605E-5</v>
      </c>
      <c r="O81" s="5">
        <v>44648</v>
      </c>
      <c r="P81">
        <f t="shared" si="7"/>
        <v>0.99976643543562649</v>
      </c>
      <c r="Q81" s="6">
        <f t="shared" si="10"/>
        <v>0.99977005288783583</v>
      </c>
      <c r="R81">
        <f t="shared" si="11"/>
        <v>-3.6182907693562384E-6</v>
      </c>
      <c r="T81" s="5">
        <v>44648</v>
      </c>
      <c r="U81" s="1">
        <v>-3.6182907693562384E-6</v>
      </c>
    </row>
    <row r="82" spans="3:21" x14ac:dyDescent="0.2">
      <c r="C82" s="5">
        <v>44649</v>
      </c>
      <c r="D82" s="6">
        <v>1.0003899999999999</v>
      </c>
      <c r="E82" s="6">
        <v>47418</v>
      </c>
      <c r="F82" s="6">
        <v>47483.040000000001</v>
      </c>
      <c r="G82" s="6">
        <v>47450.5</v>
      </c>
      <c r="H82" s="6">
        <v>47433.63</v>
      </c>
      <c r="I82" s="5">
        <v>44649</v>
      </c>
      <c r="J82" s="7">
        <f t="shared" si="8"/>
        <v>-3.2951304802093751E-4</v>
      </c>
      <c r="K82" s="5">
        <v>44649</v>
      </c>
      <c r="L82" s="8">
        <f t="shared" si="9"/>
        <v>6.8576727326373531E-4</v>
      </c>
      <c r="M82" s="5">
        <v>44649</v>
      </c>
      <c r="N82" s="9">
        <f t="shared" si="6"/>
        <v>3.562542252427978E-4</v>
      </c>
      <c r="O82" s="5">
        <v>44649</v>
      </c>
      <c r="P82">
        <f t="shared" si="7"/>
        <v>0.99964447160725378</v>
      </c>
      <c r="Q82" s="6">
        <f t="shared" si="10"/>
        <v>0.99961015204070425</v>
      </c>
      <c r="R82">
        <f t="shared" si="11"/>
        <v>3.4332361818214789E-5</v>
      </c>
      <c r="T82" s="5">
        <v>44649</v>
      </c>
      <c r="U82" s="1">
        <v>3.4332361818214789E-5</v>
      </c>
    </row>
    <row r="83" spans="3:21" x14ac:dyDescent="0.2">
      <c r="C83" s="5">
        <v>44650</v>
      </c>
      <c r="D83" s="6">
        <v>1.00023</v>
      </c>
      <c r="E83" s="6">
        <v>47024</v>
      </c>
      <c r="F83" s="6">
        <v>47088.4</v>
      </c>
      <c r="G83" s="6">
        <v>47048</v>
      </c>
      <c r="H83" s="6">
        <v>47057.17</v>
      </c>
      <c r="I83" s="5">
        <v>44650</v>
      </c>
      <c r="J83" s="7">
        <f t="shared" si="8"/>
        <v>-7.0488726797634149E-4</v>
      </c>
      <c r="K83" s="5">
        <v>44650</v>
      </c>
      <c r="L83" s="8">
        <f t="shared" si="9"/>
        <v>8.586975004251287E-4</v>
      </c>
      <c r="M83" s="5">
        <v>44650</v>
      </c>
      <c r="N83" s="9">
        <f t="shared" si="6"/>
        <v>1.5381023244878721E-4</v>
      </c>
      <c r="O83" s="5">
        <v>44650</v>
      </c>
      <c r="P83">
        <f t="shared" si="7"/>
        <v>1.0001949073286855</v>
      </c>
      <c r="Q83" s="6">
        <f t="shared" si="10"/>
        <v>0.99977005288783583</v>
      </c>
      <c r="R83">
        <f t="shared" si="11"/>
        <v>4.2486189077487407E-4</v>
      </c>
      <c r="T83" s="5">
        <v>44650</v>
      </c>
      <c r="U83" s="1">
        <v>4.2486189077487407E-4</v>
      </c>
    </row>
    <row r="84" spans="3:21" x14ac:dyDescent="0.2">
      <c r="C84" s="5">
        <v>44651</v>
      </c>
      <c r="D84" s="6">
        <v>1.0003500000000001</v>
      </c>
      <c r="E84" s="6">
        <v>45511</v>
      </c>
      <c r="F84" s="6">
        <v>45571.68</v>
      </c>
      <c r="G84" s="6">
        <v>45509.5</v>
      </c>
      <c r="H84" s="6">
        <v>45513.51</v>
      </c>
      <c r="I84" s="5">
        <v>44651</v>
      </c>
      <c r="J84" s="7">
        <f t="shared" si="8"/>
        <v>-5.5148460314355827E-5</v>
      </c>
      <c r="K84" s="5">
        <v>44651</v>
      </c>
      <c r="L84" s="8">
        <f t="shared" si="9"/>
        <v>1.3663081334666452E-3</v>
      </c>
      <c r="M84" s="5">
        <v>44651</v>
      </c>
      <c r="N84" s="9">
        <f t="shared" si="6"/>
        <v>1.3111596731522894E-3</v>
      </c>
      <c r="O84" s="5">
        <v>44651</v>
      </c>
      <c r="P84">
        <f t="shared" si="7"/>
        <v>1.0000881134708137</v>
      </c>
      <c r="Q84" s="6">
        <f t="shared" si="10"/>
        <v>0.99965012245713991</v>
      </c>
      <c r="R84">
        <f t="shared" si="11"/>
        <v>4.3804835333786051E-4</v>
      </c>
      <c r="T84" s="5">
        <v>44651</v>
      </c>
      <c r="U84" s="1">
        <v>4.3804835333786051E-4</v>
      </c>
    </row>
    <row r="85" spans="3:21" x14ac:dyDescent="0.2">
      <c r="C85" s="5">
        <v>44652</v>
      </c>
      <c r="D85" s="6">
        <v>1.0002800000000001</v>
      </c>
      <c r="E85" s="6">
        <v>46274</v>
      </c>
      <c r="F85" s="6">
        <v>46363.360000000001</v>
      </c>
      <c r="G85" s="6">
        <v>46283</v>
      </c>
      <c r="H85" s="6">
        <v>46279.92</v>
      </c>
      <c r="I85" s="5">
        <v>44652</v>
      </c>
      <c r="J85" s="7">
        <f t="shared" si="8"/>
        <v>-1.2791724791223177E-4</v>
      </c>
      <c r="K85" s="5">
        <v>44652</v>
      </c>
      <c r="L85" s="8">
        <f t="shared" si="9"/>
        <v>1.7362746580818138E-3</v>
      </c>
      <c r="M85" s="5">
        <v>44652</v>
      </c>
      <c r="N85" s="9">
        <f t="shared" si="6"/>
        <v>1.608357410169582E-3</v>
      </c>
      <c r="O85" s="5">
        <v>44652</v>
      </c>
      <c r="P85">
        <f t="shared" si="7"/>
        <v>0.99993345288766933</v>
      </c>
      <c r="Q85" s="6">
        <f t="shared" si="10"/>
        <v>0.9997200783780541</v>
      </c>
      <c r="R85">
        <f t="shared" si="11"/>
        <v>2.1341148062788097E-4</v>
      </c>
      <c r="T85" s="5">
        <v>44652</v>
      </c>
      <c r="U85" s="1">
        <v>2.1341148062788097E-4</v>
      </c>
    </row>
    <row r="86" spans="3:21" x14ac:dyDescent="0.2">
      <c r="C86" s="5">
        <v>44653</v>
      </c>
      <c r="D86" s="6">
        <v>1.00004</v>
      </c>
      <c r="E86" s="6">
        <v>45807</v>
      </c>
      <c r="F86" s="6">
        <v>45868.69</v>
      </c>
      <c r="G86" s="6">
        <v>45801</v>
      </c>
      <c r="H86" s="6">
        <v>45806.21</v>
      </c>
      <c r="I86" s="5">
        <v>44653</v>
      </c>
      <c r="J86" s="7">
        <f t="shared" si="8"/>
        <v>1.7246569842841683E-5</v>
      </c>
      <c r="K86" s="5">
        <v>44653</v>
      </c>
      <c r="L86" s="8">
        <f t="shared" si="9"/>
        <v>1.4779153293596717E-3</v>
      </c>
      <c r="M86" s="5">
        <v>44653</v>
      </c>
      <c r="N86" s="9">
        <f t="shared" si="6"/>
        <v>1.4951618992025133E-3</v>
      </c>
      <c r="O86" s="5">
        <v>44653</v>
      </c>
      <c r="P86">
        <f t="shared" si="7"/>
        <v>1.0001137529748259</v>
      </c>
      <c r="Q86" s="6">
        <f t="shared" si="10"/>
        <v>0.99996000159993592</v>
      </c>
      <c r="R86">
        <f t="shared" si="11"/>
        <v>1.5374570546814351E-4</v>
      </c>
      <c r="T86" s="5">
        <v>44653</v>
      </c>
      <c r="U86" s="1">
        <v>1.5374570546814351E-4</v>
      </c>
    </row>
    <row r="87" spans="3:21" x14ac:dyDescent="0.2">
      <c r="C87" s="5">
        <v>44654</v>
      </c>
      <c r="D87" s="6">
        <v>1.00027</v>
      </c>
      <c r="E87" s="6">
        <v>46411.5</v>
      </c>
      <c r="F87" s="6">
        <v>46455.7</v>
      </c>
      <c r="G87" s="6">
        <v>46401.5</v>
      </c>
      <c r="H87" s="6">
        <v>46418.31</v>
      </c>
      <c r="I87" s="5">
        <v>44654</v>
      </c>
      <c r="J87" s="7">
        <f t="shared" si="8"/>
        <v>-1.4670934809986991E-4</v>
      </c>
      <c r="K87" s="5">
        <v>44654</v>
      </c>
      <c r="L87" s="8">
        <f t="shared" si="9"/>
        <v>1.1680656875315903E-3</v>
      </c>
      <c r="M87" s="5">
        <v>44654</v>
      </c>
      <c r="N87" s="9">
        <f t="shared" si="6"/>
        <v>1.0213563394317203E-3</v>
      </c>
      <c r="O87" s="5">
        <v>44654</v>
      </c>
      <c r="P87">
        <f t="shared" si="7"/>
        <v>1.0003622727713544</v>
      </c>
      <c r="Q87" s="6">
        <f t="shared" si="10"/>
        <v>0.99973007288032234</v>
      </c>
      <c r="R87">
        <f t="shared" si="11"/>
        <v>6.3217072297773404E-4</v>
      </c>
      <c r="T87" s="5">
        <v>44654</v>
      </c>
      <c r="U87" s="1">
        <v>6.3217072297773404E-4</v>
      </c>
    </row>
    <row r="88" spans="3:21" x14ac:dyDescent="0.2">
      <c r="C88" s="5">
        <v>44655</v>
      </c>
      <c r="D88" s="6">
        <v>1.00031</v>
      </c>
      <c r="E88" s="6">
        <v>46580.5</v>
      </c>
      <c r="F88" s="6">
        <v>46610.32</v>
      </c>
      <c r="G88" s="6">
        <v>46583</v>
      </c>
      <c r="H88" s="6">
        <v>46590.38</v>
      </c>
      <c r="I88" s="5">
        <v>44655</v>
      </c>
      <c r="J88" s="7">
        <f t="shared" si="8"/>
        <v>-2.1206094477008733E-4</v>
      </c>
      <c r="K88" s="5">
        <v>44655</v>
      </c>
      <c r="L88" s="8">
        <f t="shared" si="9"/>
        <v>5.8648004636884074E-4</v>
      </c>
      <c r="M88" s="5">
        <v>44655</v>
      </c>
      <c r="N88" s="9">
        <f t="shared" si="6"/>
        <v>3.7441910159875341E-4</v>
      </c>
      <c r="O88" s="5">
        <v>44655</v>
      </c>
      <c r="P88">
        <f t="shared" si="7"/>
        <v>1.0001584268939312</v>
      </c>
      <c r="Q88" s="6">
        <f t="shared" si="10"/>
        <v>0.99969009607021819</v>
      </c>
      <c r="R88">
        <f t="shared" si="11"/>
        <v>4.6836630564415973E-4</v>
      </c>
      <c r="T88" s="5">
        <v>44655</v>
      </c>
      <c r="U88" s="1">
        <v>4.6836630564415973E-4</v>
      </c>
    </row>
    <row r="89" spans="3:21" x14ac:dyDescent="0.2">
      <c r="C89" s="5">
        <v>44656</v>
      </c>
      <c r="D89" s="6">
        <v>1.00038</v>
      </c>
      <c r="E89" s="6">
        <v>45485.5</v>
      </c>
      <c r="F89" s="6">
        <v>45541.64</v>
      </c>
      <c r="G89" s="6">
        <v>45485</v>
      </c>
      <c r="H89" s="6">
        <v>45488.93</v>
      </c>
      <c r="I89" s="5">
        <v>44656</v>
      </c>
      <c r="J89" s="7">
        <f t="shared" si="8"/>
        <v>-7.5402960676373149E-5</v>
      </c>
      <c r="K89" s="5">
        <v>44656</v>
      </c>
      <c r="L89" s="8">
        <f t="shared" si="9"/>
        <v>1.2452456853907755E-3</v>
      </c>
      <c r="M89" s="5">
        <v>44656</v>
      </c>
      <c r="N89" s="9">
        <f t="shared" si="6"/>
        <v>1.1698427247144024E-3</v>
      </c>
      <c r="O89" s="5">
        <v>44656</v>
      </c>
      <c r="P89">
        <f t="shared" si="7"/>
        <v>1.000086402110586</v>
      </c>
      <c r="Q89" s="6">
        <f t="shared" si="10"/>
        <v>0.99962014434514879</v>
      </c>
      <c r="R89">
        <f t="shared" si="11"/>
        <v>4.6632619642411843E-4</v>
      </c>
      <c r="T89" s="5">
        <v>44656</v>
      </c>
      <c r="U89" s="1">
        <v>4.6632619642411843E-4</v>
      </c>
    </row>
    <row r="90" spans="3:21" x14ac:dyDescent="0.2">
      <c r="C90" s="5">
        <v>44657</v>
      </c>
      <c r="D90" s="6">
        <v>1.0002899999999999</v>
      </c>
      <c r="E90" s="6">
        <v>43158.5</v>
      </c>
      <c r="F90" s="6">
        <v>43220.59</v>
      </c>
      <c r="G90" s="6">
        <v>43157.5</v>
      </c>
      <c r="H90" s="6">
        <v>43175.09</v>
      </c>
      <c r="I90" s="5">
        <v>44657</v>
      </c>
      <c r="J90" s="7">
        <f t="shared" si="8"/>
        <v>-3.8424934377661999E-4</v>
      </c>
      <c r="K90" s="5">
        <v>44657</v>
      </c>
      <c r="L90" s="8">
        <f t="shared" si="9"/>
        <v>1.4618548340380353E-3</v>
      </c>
      <c r="M90" s="5">
        <v>44657</v>
      </c>
      <c r="N90" s="9">
        <f t="shared" si="6"/>
        <v>1.0776054902614154E-3</v>
      </c>
      <c r="O90" s="5">
        <v>44657</v>
      </c>
      <c r="P90">
        <f t="shared" si="7"/>
        <v>1.000407576898569</v>
      </c>
      <c r="Q90" s="6">
        <f t="shared" si="10"/>
        <v>0.99971008407561812</v>
      </c>
      <c r="R90">
        <f t="shared" si="11"/>
        <v>6.9745181979451686E-4</v>
      </c>
      <c r="T90" s="5">
        <v>44657</v>
      </c>
      <c r="U90" s="1">
        <v>6.9745181979451686E-4</v>
      </c>
    </row>
    <row r="91" spans="3:21" x14ac:dyDescent="0.2">
      <c r="C91" s="5">
        <v>44658</v>
      </c>
      <c r="D91" s="6">
        <v>1.0001199999999999</v>
      </c>
      <c r="E91" s="6">
        <v>43427</v>
      </c>
      <c r="F91" s="6">
        <v>43460.11</v>
      </c>
      <c r="G91" s="6">
        <v>43423</v>
      </c>
      <c r="H91" s="6">
        <v>43447.67</v>
      </c>
      <c r="I91" s="5">
        <v>44658</v>
      </c>
      <c r="J91" s="7">
        <f t="shared" si="8"/>
        <v>-4.7574472923400158E-4</v>
      </c>
      <c r="K91" s="5">
        <v>44658</v>
      </c>
      <c r="L91" s="8">
        <f t="shared" si="9"/>
        <v>8.5461621721208999E-4</v>
      </c>
      <c r="M91" s="5">
        <v>44658</v>
      </c>
      <c r="N91" s="9">
        <f t="shared" si="6"/>
        <v>3.7887148797808841E-4</v>
      </c>
      <c r="O91" s="5">
        <v>44658</v>
      </c>
      <c r="P91">
        <f t="shared" si="7"/>
        <v>1.0005681320958939</v>
      </c>
      <c r="Q91" s="6">
        <f t="shared" si="10"/>
        <v>0.99988001439827234</v>
      </c>
      <c r="R91">
        <f t="shared" si="11"/>
        <v>6.8796357053052884E-4</v>
      </c>
      <c r="T91" s="5">
        <v>44658</v>
      </c>
      <c r="U91" s="1">
        <v>6.8796357053052884E-4</v>
      </c>
    </row>
    <row r="92" spans="3:21" x14ac:dyDescent="0.2">
      <c r="C92" s="5">
        <v>44659</v>
      </c>
      <c r="D92" s="6">
        <v>1.0003500000000001</v>
      </c>
      <c r="E92" s="6">
        <v>42256</v>
      </c>
      <c r="F92" s="6">
        <v>42339.29</v>
      </c>
      <c r="G92" s="6">
        <v>42245</v>
      </c>
      <c r="H92" s="6">
        <v>42276.04</v>
      </c>
      <c r="I92" s="5">
        <v>44659</v>
      </c>
      <c r="J92" s="7">
        <f t="shared" si="8"/>
        <v>-4.7402736869396644E-4</v>
      </c>
      <c r="K92" s="5">
        <v>44659</v>
      </c>
      <c r="L92" s="8">
        <f t="shared" si="9"/>
        <v>2.2319801159900788E-3</v>
      </c>
      <c r="M92" s="5">
        <v>44659</v>
      </c>
      <c r="N92" s="9">
        <f t="shared" si="6"/>
        <v>1.7579527472961123E-3</v>
      </c>
      <c r="O92" s="5">
        <v>44659</v>
      </c>
      <c r="P92">
        <f t="shared" si="7"/>
        <v>1.000734761510238</v>
      </c>
      <c r="Q92" s="6">
        <f t="shared" si="10"/>
        <v>0.99965012245713991</v>
      </c>
      <c r="R92">
        <f t="shared" si="11"/>
        <v>1.084430469440955E-3</v>
      </c>
      <c r="T92" s="5">
        <v>44659</v>
      </c>
      <c r="U92" s="1">
        <v>1.084430469440955E-3</v>
      </c>
    </row>
    <row r="93" spans="3:21" x14ac:dyDescent="0.2">
      <c r="C93" s="5">
        <v>44660</v>
      </c>
      <c r="D93" s="6">
        <v>1.0002</v>
      </c>
      <c r="E93" s="6">
        <v>42726.5</v>
      </c>
      <c r="F93" s="6">
        <v>42826.21</v>
      </c>
      <c r="G93" s="6">
        <v>42750</v>
      </c>
      <c r="H93" s="6">
        <v>42746.05</v>
      </c>
      <c r="I93" s="5">
        <v>44660</v>
      </c>
      <c r="J93" s="7">
        <f t="shared" si="8"/>
        <v>-4.5735219979396713E-4</v>
      </c>
      <c r="K93" s="5">
        <v>44660</v>
      </c>
      <c r="L93" s="8">
        <f t="shared" si="9"/>
        <v>1.7826900584795118E-3</v>
      </c>
      <c r="M93" s="5">
        <v>44660</v>
      </c>
      <c r="N93" s="9">
        <f t="shared" si="6"/>
        <v>1.3253378586855448E-3</v>
      </c>
      <c r="O93" s="5">
        <v>44660</v>
      </c>
      <c r="P93">
        <f t="shared" si="7"/>
        <v>0.99990760233918141</v>
      </c>
      <c r="Q93" s="6">
        <f t="shared" si="10"/>
        <v>0.99980003999200162</v>
      </c>
      <c r="R93">
        <f t="shared" si="11"/>
        <v>1.0757807292075867E-4</v>
      </c>
      <c r="T93" s="5">
        <v>44660</v>
      </c>
      <c r="U93" s="1">
        <v>1.0757807292075867E-4</v>
      </c>
    </row>
    <row r="94" spans="3:21" x14ac:dyDescent="0.2">
      <c r="C94" s="5">
        <v>44661</v>
      </c>
      <c r="D94" s="6">
        <v>1.0004999999999999</v>
      </c>
      <c r="E94" s="6">
        <v>42137</v>
      </c>
      <c r="F94" s="6">
        <v>42199.45</v>
      </c>
      <c r="G94" s="6">
        <v>42147</v>
      </c>
      <c r="H94" s="6">
        <v>42151.82</v>
      </c>
      <c r="I94" s="5">
        <v>44661</v>
      </c>
      <c r="J94" s="7">
        <f t="shared" si="8"/>
        <v>-3.5158624230222346E-4</v>
      </c>
      <c r="K94" s="5">
        <v>44661</v>
      </c>
      <c r="L94" s="8">
        <f t="shared" si="9"/>
        <v>1.2444539350368257E-3</v>
      </c>
      <c r="M94" s="5">
        <v>44661</v>
      </c>
      <c r="N94" s="9">
        <f t="shared" si="6"/>
        <v>8.928676927346022E-4</v>
      </c>
      <c r="O94" s="5">
        <v>44661</v>
      </c>
      <c r="P94">
        <f t="shared" si="7"/>
        <v>1.0001143616390253</v>
      </c>
      <c r="Q94" s="6">
        <f t="shared" si="10"/>
        <v>0.99950024987506247</v>
      </c>
      <c r="R94">
        <f t="shared" si="11"/>
        <v>6.1423014188273463E-4</v>
      </c>
      <c r="T94" s="5">
        <v>44661</v>
      </c>
      <c r="U94" s="1">
        <v>6.1423014188273463E-4</v>
      </c>
    </row>
    <row r="95" spans="3:21" x14ac:dyDescent="0.2">
      <c r="C95" s="5">
        <v>44662</v>
      </c>
      <c r="D95" s="6">
        <v>1.0000199999999999</v>
      </c>
      <c r="E95" s="6">
        <v>39500</v>
      </c>
      <c r="F95" s="6">
        <v>39533.480000000003</v>
      </c>
      <c r="G95" s="6">
        <v>39511</v>
      </c>
      <c r="H95" s="6">
        <v>39524.11</v>
      </c>
      <c r="I95" s="5">
        <v>44662</v>
      </c>
      <c r="J95" s="7">
        <f t="shared" si="8"/>
        <v>-6.1000741066656735E-4</v>
      </c>
      <c r="K95" s="5">
        <v>44662</v>
      </c>
      <c r="L95" s="8">
        <f t="shared" si="9"/>
        <v>5.6895548075227664E-4</v>
      </c>
      <c r="M95" s="5">
        <v>44662</v>
      </c>
      <c r="N95" s="9">
        <f t="shared" si="6"/>
        <v>-4.1051929914290709E-5</v>
      </c>
      <c r="O95" s="5">
        <v>44662</v>
      </c>
      <c r="P95">
        <f t="shared" si="7"/>
        <v>1.0003318063324138</v>
      </c>
      <c r="Q95" s="6">
        <f t="shared" si="10"/>
        <v>0.99998000039999213</v>
      </c>
      <c r="R95">
        <f t="shared" si="11"/>
        <v>3.5175109686891721E-4</v>
      </c>
      <c r="T95" s="5">
        <v>44662</v>
      </c>
      <c r="U95" s="1">
        <v>3.5175109686891721E-4</v>
      </c>
    </row>
    <row r="96" spans="3:21" x14ac:dyDescent="0.2">
      <c r="C96" s="5">
        <v>44663</v>
      </c>
      <c r="D96" s="6">
        <v>1</v>
      </c>
      <c r="E96" s="6">
        <v>40055</v>
      </c>
      <c r="F96" s="6">
        <v>40112.11</v>
      </c>
      <c r="G96" s="6">
        <v>40071</v>
      </c>
      <c r="H96" s="6">
        <v>40067.1</v>
      </c>
      <c r="I96" s="5">
        <v>44663</v>
      </c>
      <c r="J96" s="7">
        <f t="shared" si="8"/>
        <v>-3.0199340606129583E-4</v>
      </c>
      <c r="K96" s="5">
        <v>44663</v>
      </c>
      <c r="L96" s="8">
        <f t="shared" si="9"/>
        <v>1.0259289760674948E-3</v>
      </c>
      <c r="M96" s="5">
        <v>44663</v>
      </c>
      <c r="N96" s="9">
        <f t="shared" si="6"/>
        <v>7.2393557000619891E-4</v>
      </c>
      <c r="O96" s="5">
        <v>44663</v>
      </c>
      <c r="P96">
        <f t="shared" si="7"/>
        <v>0.99990267275585831</v>
      </c>
      <c r="Q96" s="6">
        <f t="shared" si="10"/>
        <v>1</v>
      </c>
      <c r="R96">
        <f t="shared" si="11"/>
        <v>-9.7331980745249573E-5</v>
      </c>
      <c r="T96" s="5">
        <v>44663</v>
      </c>
      <c r="U96" s="1">
        <v>-9.7331980745249573E-5</v>
      </c>
    </row>
    <row r="97" spans="3:21" x14ac:dyDescent="0.2">
      <c r="C97" s="5">
        <v>44664</v>
      </c>
      <c r="D97" s="6">
        <v>1.0005500000000001</v>
      </c>
      <c r="E97" s="6">
        <v>41137</v>
      </c>
      <c r="F97" s="6">
        <v>41186.550000000003</v>
      </c>
      <c r="G97" s="6">
        <v>41135</v>
      </c>
      <c r="H97" s="6">
        <v>41138.199999999997</v>
      </c>
      <c r="I97" s="5">
        <v>44664</v>
      </c>
      <c r="J97" s="7">
        <f t="shared" si="8"/>
        <v>-2.9169968544979842E-5</v>
      </c>
      <c r="K97" s="5">
        <v>44664</v>
      </c>
      <c r="L97" s="8">
        <f t="shared" si="9"/>
        <v>1.2531907135043857E-3</v>
      </c>
      <c r="M97" s="5">
        <v>44664</v>
      </c>
      <c r="N97" s="9">
        <f t="shared" si="6"/>
        <v>1.2240207449594059E-3</v>
      </c>
      <c r="O97" s="5">
        <v>44664</v>
      </c>
      <c r="P97">
        <f t="shared" si="7"/>
        <v>1.0000777926340099</v>
      </c>
      <c r="Q97" s="6">
        <f t="shared" si="10"/>
        <v>0.99945030233371646</v>
      </c>
      <c r="R97">
        <f t="shared" si="11"/>
        <v>6.2763841375520287E-4</v>
      </c>
      <c r="T97" s="5">
        <v>44664</v>
      </c>
      <c r="U97" s="1">
        <v>6.2763841375520287E-4</v>
      </c>
    </row>
    <row r="98" spans="3:21" x14ac:dyDescent="0.2">
      <c r="C98" s="5">
        <v>44665</v>
      </c>
      <c r="D98" s="6">
        <v>1.0004</v>
      </c>
      <c r="E98" s="6">
        <v>39930</v>
      </c>
      <c r="F98" s="6">
        <v>39986.28</v>
      </c>
      <c r="G98" s="6">
        <v>39924.5</v>
      </c>
      <c r="H98" s="6">
        <v>39953.53</v>
      </c>
      <c r="I98" s="5">
        <v>44665</v>
      </c>
      <c r="J98" s="7">
        <f t="shared" si="8"/>
        <v>-5.8893419430019914E-4</v>
      </c>
      <c r="K98" s="5">
        <v>44665</v>
      </c>
      <c r="L98" s="8">
        <f t="shared" si="9"/>
        <v>1.5474207566782011E-3</v>
      </c>
      <c r="M98" s="5">
        <v>44665</v>
      </c>
      <c r="N98" s="9">
        <f t="shared" si="6"/>
        <v>9.5848656237800195E-4</v>
      </c>
      <c r="O98" s="5">
        <v>44665</v>
      </c>
      <c r="P98">
        <f t="shared" si="7"/>
        <v>1.0007271224436123</v>
      </c>
      <c r="Q98" s="6">
        <f t="shared" si="10"/>
        <v>0.99960015993602558</v>
      </c>
      <c r="R98">
        <f t="shared" si="11"/>
        <v>1.1267782394903734E-3</v>
      </c>
      <c r="T98" s="5">
        <v>44665</v>
      </c>
      <c r="U98" s="1">
        <v>1.1267782394903734E-3</v>
      </c>
    </row>
    <row r="99" spans="3:21" x14ac:dyDescent="0.2">
      <c r="C99" s="5">
        <v>44666</v>
      </c>
      <c r="D99" s="6">
        <v>1.0002899999999999</v>
      </c>
      <c r="E99" s="6">
        <v>40528.5</v>
      </c>
      <c r="F99" s="6">
        <v>40659</v>
      </c>
      <c r="G99" s="6">
        <v>40540</v>
      </c>
      <c r="H99" s="6">
        <v>40554.93</v>
      </c>
      <c r="I99" s="5">
        <v>44666</v>
      </c>
      <c r="J99" s="7">
        <f t="shared" si="8"/>
        <v>-6.5170868252023345E-4</v>
      </c>
      <c r="K99" s="5">
        <v>44666</v>
      </c>
      <c r="L99" s="8">
        <f t="shared" si="9"/>
        <v>2.9353724716329552E-3</v>
      </c>
      <c r="M99" s="5">
        <v>44666</v>
      </c>
      <c r="N99" s="9">
        <f t="shared" si="6"/>
        <v>2.2836637891127218E-3</v>
      </c>
      <c r="O99" s="5">
        <v>44666</v>
      </c>
      <c r="P99">
        <f t="shared" si="7"/>
        <v>1.00036827824371</v>
      </c>
      <c r="Q99" s="6">
        <f t="shared" si="10"/>
        <v>0.99971008407561812</v>
      </c>
      <c r="R99">
        <f t="shared" si="11"/>
        <v>6.5816840405058389E-4</v>
      </c>
      <c r="T99" s="5">
        <v>44666</v>
      </c>
      <c r="U99" s="1">
        <v>6.5816840405058389E-4</v>
      </c>
    </row>
    <row r="100" spans="3:21" x14ac:dyDescent="0.2">
      <c r="C100" s="5">
        <v>44667</v>
      </c>
      <c r="D100" s="6">
        <v>1.0004599999999999</v>
      </c>
      <c r="E100" s="6">
        <v>40357.5</v>
      </c>
      <c r="F100" s="6">
        <v>40444.81</v>
      </c>
      <c r="G100" s="6">
        <v>40367.5</v>
      </c>
      <c r="H100" s="6">
        <v>40375.269999999997</v>
      </c>
      <c r="I100" s="5">
        <v>44667</v>
      </c>
      <c r="J100" s="7">
        <f t="shared" si="8"/>
        <v>-4.4012089578588081E-4</v>
      </c>
      <c r="K100" s="5">
        <v>44667</v>
      </c>
      <c r="L100" s="8">
        <f t="shared" si="9"/>
        <v>1.9151545178670384E-3</v>
      </c>
      <c r="M100" s="5">
        <v>44667</v>
      </c>
      <c r="N100" s="9">
        <f t="shared" si="6"/>
        <v>1.4750336220811576E-3</v>
      </c>
      <c r="O100" s="5">
        <v>44667</v>
      </c>
      <c r="P100">
        <f t="shared" si="7"/>
        <v>1.0001924815755248</v>
      </c>
      <c r="Q100" s="6">
        <f t="shared" si="10"/>
        <v>0.99954021150270889</v>
      </c>
      <c r="R100">
        <f t="shared" si="11"/>
        <v>6.523572857571392E-4</v>
      </c>
      <c r="T100" s="5">
        <v>44667</v>
      </c>
      <c r="U100" s="1">
        <v>6.523572857571392E-4</v>
      </c>
    </row>
    <row r="101" spans="3:21" x14ac:dyDescent="0.2">
      <c r="C101" s="5">
        <v>44668</v>
      </c>
      <c r="D101" s="6">
        <v>1.0002500000000001</v>
      </c>
      <c r="E101" s="6">
        <v>39662</v>
      </c>
      <c r="F101" s="6">
        <v>39743.440000000002</v>
      </c>
      <c r="G101" s="6">
        <v>39670</v>
      </c>
      <c r="H101" s="6">
        <v>39686.18</v>
      </c>
      <c r="I101" s="5">
        <v>44668</v>
      </c>
      <c r="J101" s="7">
        <f t="shared" si="8"/>
        <v>-6.0928010708010424E-4</v>
      </c>
      <c r="K101" s="5">
        <v>44668</v>
      </c>
      <c r="L101" s="8">
        <f t="shared" si="9"/>
        <v>1.8512730022687755E-3</v>
      </c>
      <c r="M101" s="5">
        <v>44668</v>
      </c>
      <c r="N101" s="9">
        <f t="shared" si="6"/>
        <v>1.2419928951886714E-3</v>
      </c>
      <c r="O101" s="5">
        <v>44668</v>
      </c>
      <c r="P101">
        <f t="shared" si="7"/>
        <v>1.0004078648853039</v>
      </c>
      <c r="Q101" s="6">
        <f t="shared" si="10"/>
        <v>0.99975006248437881</v>
      </c>
      <c r="R101">
        <f t="shared" si="11"/>
        <v>6.5775048623859618E-4</v>
      </c>
      <c r="T101" s="5">
        <v>44668</v>
      </c>
      <c r="U101" s="1">
        <v>6.5775048623859618E-4</v>
      </c>
    </row>
    <row r="102" spans="3:21" x14ac:dyDescent="0.2">
      <c r="C102" s="5">
        <v>44669</v>
      </c>
      <c r="D102" s="6">
        <v>0.99980999999999998</v>
      </c>
      <c r="E102" s="6">
        <v>40773.5</v>
      </c>
      <c r="F102" s="6">
        <v>40922.400000000001</v>
      </c>
      <c r="G102" s="6">
        <v>40790.5</v>
      </c>
      <c r="H102" s="6">
        <v>40797.06</v>
      </c>
      <c r="I102" s="5">
        <v>44669</v>
      </c>
      <c r="J102" s="7">
        <f t="shared" si="8"/>
        <v>-5.7749259382900808E-4</v>
      </c>
      <c r="K102" s="5">
        <v>44669</v>
      </c>
      <c r="L102" s="8">
        <f t="shared" si="9"/>
        <v>3.2335960579056755E-3</v>
      </c>
      <c r="M102" s="5">
        <v>44669</v>
      </c>
      <c r="N102" s="9">
        <f t="shared" si="6"/>
        <v>2.6561034640766677E-3</v>
      </c>
      <c r="O102" s="5">
        <v>44669</v>
      </c>
      <c r="P102">
        <f t="shared" si="7"/>
        <v>1.0001608217599685</v>
      </c>
      <c r="Q102" s="6">
        <f t="shared" si="10"/>
        <v>1.0001900361068603</v>
      </c>
      <c r="R102">
        <f t="shared" si="11"/>
        <v>-2.9209222751162721E-5</v>
      </c>
      <c r="T102" s="5">
        <v>44669</v>
      </c>
      <c r="U102" s="1">
        <v>-2.9209222751162721E-5</v>
      </c>
    </row>
    <row r="103" spans="3:21" x14ac:dyDescent="0.2">
      <c r="C103" s="5">
        <v>44670</v>
      </c>
      <c r="D103" s="6">
        <v>1.00007</v>
      </c>
      <c r="E103" s="6">
        <v>41465.5</v>
      </c>
      <c r="F103" s="6">
        <v>41556.46</v>
      </c>
      <c r="G103" s="6">
        <v>41476.5</v>
      </c>
      <c r="H103" s="6">
        <v>41495.269999999997</v>
      </c>
      <c r="I103" s="5">
        <v>44670</v>
      </c>
      <c r="J103" s="7">
        <f t="shared" si="8"/>
        <v>-7.1743116745587635E-4</v>
      </c>
      <c r="K103" s="5">
        <v>44670</v>
      </c>
      <c r="L103" s="8">
        <f t="shared" si="9"/>
        <v>1.9278386556242481E-3</v>
      </c>
      <c r="M103" s="5">
        <v>44670</v>
      </c>
      <c r="N103" s="9">
        <f t="shared" si="6"/>
        <v>1.2104074881683718E-3</v>
      </c>
      <c r="O103" s="5">
        <v>44670</v>
      </c>
      <c r="P103">
        <f t="shared" si="7"/>
        <v>1.0004525454172843</v>
      </c>
      <c r="Q103" s="6">
        <f t="shared" si="10"/>
        <v>0.999930004899657</v>
      </c>
      <c r="R103">
        <f t="shared" si="11"/>
        <v>5.2244059960420135E-4</v>
      </c>
      <c r="T103" s="5">
        <v>44670</v>
      </c>
      <c r="U103" s="1">
        <v>5.2244059960420135E-4</v>
      </c>
    </row>
    <row r="104" spans="3:21" x14ac:dyDescent="0.2">
      <c r="C104" s="5">
        <v>44671</v>
      </c>
      <c r="D104" s="6">
        <v>1.0006299999999999</v>
      </c>
      <c r="E104" s="6">
        <v>41333.5</v>
      </c>
      <c r="F104" s="6">
        <v>41402.43</v>
      </c>
      <c r="G104" s="6">
        <v>41350.5</v>
      </c>
      <c r="H104" s="6">
        <v>41356.04</v>
      </c>
      <c r="I104" s="5">
        <v>44671</v>
      </c>
      <c r="J104" s="7">
        <f t="shared" si="8"/>
        <v>-5.4502316952979228E-4</v>
      </c>
      <c r="K104" s="5">
        <v>44671</v>
      </c>
      <c r="L104" s="8">
        <f t="shared" si="9"/>
        <v>1.2558493851344069E-3</v>
      </c>
      <c r="M104" s="5">
        <v>44671</v>
      </c>
      <c r="N104" s="9">
        <f t="shared" si="6"/>
        <v>7.1082621560461458E-4</v>
      </c>
      <c r="O104" s="5">
        <v>44671</v>
      </c>
      <c r="P104">
        <f t="shared" si="7"/>
        <v>1.0001339766145512</v>
      </c>
      <c r="Q104" s="6">
        <f t="shared" si="10"/>
        <v>0.99937039665011052</v>
      </c>
      <c r="R104">
        <f t="shared" si="11"/>
        <v>7.637692737956774E-4</v>
      </c>
      <c r="T104" s="5">
        <v>44671</v>
      </c>
      <c r="U104" s="1">
        <v>7.637692737956774E-4</v>
      </c>
    </row>
    <row r="105" spans="3:21" x14ac:dyDescent="0.2">
      <c r="C105" s="5">
        <v>44672</v>
      </c>
      <c r="D105" s="6">
        <v>1.0005299999999999</v>
      </c>
      <c r="E105" s="6">
        <v>40454.5</v>
      </c>
      <c r="F105" s="6">
        <v>40558.550000000003</v>
      </c>
      <c r="G105" s="6">
        <v>40468.5</v>
      </c>
      <c r="H105" s="6">
        <v>40484.32</v>
      </c>
      <c r="I105" s="5">
        <v>44672</v>
      </c>
      <c r="J105" s="7">
        <f t="shared" si="8"/>
        <v>-7.3658147154255548E-4</v>
      </c>
      <c r="K105" s="5">
        <v>44672</v>
      </c>
      <c r="L105" s="8">
        <f t="shared" si="9"/>
        <v>2.2251874915058109E-3</v>
      </c>
      <c r="M105" s="5">
        <v>44672</v>
      </c>
      <c r="N105" s="9">
        <f t="shared" si="6"/>
        <v>1.4886060199632554E-3</v>
      </c>
      <c r="O105" s="5">
        <v>44672</v>
      </c>
      <c r="P105">
        <f t="shared" si="7"/>
        <v>1.0003909213338769</v>
      </c>
      <c r="Q105" s="6">
        <f t="shared" si="10"/>
        <v>0.99947028075120192</v>
      </c>
      <c r="R105">
        <f t="shared" si="11"/>
        <v>9.2070454364571769E-4</v>
      </c>
      <c r="T105" s="5">
        <v>44672</v>
      </c>
      <c r="U105" s="1">
        <v>9.2070454364571769E-4</v>
      </c>
    </row>
    <row r="106" spans="3:21" x14ac:dyDescent="0.2">
      <c r="C106" s="5">
        <v>44673</v>
      </c>
      <c r="D106" s="6">
        <v>1.0001800000000001</v>
      </c>
      <c r="E106" s="6">
        <v>39676.5</v>
      </c>
      <c r="F106" s="6">
        <v>39782.14</v>
      </c>
      <c r="G106" s="6">
        <v>39690.5</v>
      </c>
      <c r="H106" s="6">
        <v>39707.22</v>
      </c>
      <c r="I106" s="5">
        <v>44673</v>
      </c>
      <c r="J106" s="7">
        <f t="shared" si="8"/>
        <v>-7.7366282504796771E-4</v>
      </c>
      <c r="K106" s="5">
        <v>44673</v>
      </c>
      <c r="L106" s="8">
        <f t="shared" si="9"/>
        <v>2.3088648417127376E-3</v>
      </c>
      <c r="M106" s="5">
        <v>44673</v>
      </c>
      <c r="N106" s="9">
        <f t="shared" si="6"/>
        <v>1.5352020166647699E-3</v>
      </c>
      <c r="O106" s="5">
        <v>44673</v>
      </c>
      <c r="P106">
        <f t="shared" si="7"/>
        <v>1.0004212594953452</v>
      </c>
      <c r="Q106" s="6">
        <f t="shared" si="10"/>
        <v>0.99982003239416894</v>
      </c>
      <c r="R106">
        <f t="shared" si="11"/>
        <v>6.0115459241875707E-4</v>
      </c>
      <c r="T106" s="5">
        <v>44673</v>
      </c>
      <c r="U106" s="1">
        <v>6.0115459241875707E-4</v>
      </c>
    </row>
    <row r="107" spans="3:21" x14ac:dyDescent="0.2">
      <c r="C107" s="5">
        <v>44674</v>
      </c>
      <c r="D107" s="6">
        <v>1.0002500000000001</v>
      </c>
      <c r="E107" s="6">
        <v>39421.5</v>
      </c>
      <c r="F107" s="6">
        <v>39509.75</v>
      </c>
      <c r="G107" s="6">
        <v>39434</v>
      </c>
      <c r="H107" s="6">
        <v>39437.61</v>
      </c>
      <c r="I107" s="5">
        <v>44674</v>
      </c>
      <c r="J107" s="7">
        <f t="shared" si="8"/>
        <v>-4.0849331386969397E-4</v>
      </c>
      <c r="K107" s="5">
        <v>44674</v>
      </c>
      <c r="L107" s="8">
        <f t="shared" si="9"/>
        <v>1.9209311761424152E-3</v>
      </c>
      <c r="M107" s="5">
        <v>44674</v>
      </c>
      <c r="N107" s="9">
        <f t="shared" si="6"/>
        <v>1.5124378622727213E-3</v>
      </c>
      <c r="O107" s="5">
        <v>44674</v>
      </c>
      <c r="P107">
        <f t="shared" si="7"/>
        <v>1.0000915453669421</v>
      </c>
      <c r="Q107" s="6">
        <f t="shared" si="10"/>
        <v>0.99975006248437881</v>
      </c>
      <c r="R107">
        <f t="shared" si="11"/>
        <v>3.4150993212814137E-4</v>
      </c>
      <c r="T107" s="5">
        <v>44674</v>
      </c>
      <c r="U107" s="1">
        <v>3.4150993212814137E-4</v>
      </c>
    </row>
    <row r="108" spans="3:21" x14ac:dyDescent="0.2">
      <c r="C108" s="5">
        <v>44675</v>
      </c>
      <c r="D108" s="6">
        <v>1.0001899999999999</v>
      </c>
      <c r="E108" s="6">
        <v>39439.5</v>
      </c>
      <c r="F108" s="6">
        <v>39491.56</v>
      </c>
      <c r="G108" s="6">
        <v>39441</v>
      </c>
      <c r="H108" s="6">
        <v>39456.9</v>
      </c>
      <c r="I108" s="5">
        <v>44675</v>
      </c>
      <c r="J108" s="7">
        <f t="shared" si="8"/>
        <v>-4.4098750788839101E-4</v>
      </c>
      <c r="K108" s="5">
        <v>44675</v>
      </c>
      <c r="L108" s="8">
        <f t="shared" si="9"/>
        <v>1.2819147587535224E-3</v>
      </c>
      <c r="M108" s="5">
        <v>44675</v>
      </c>
      <c r="N108" s="9">
        <f t="shared" si="6"/>
        <v>8.409272508651314E-4</v>
      </c>
      <c r="O108" s="5">
        <v>44675</v>
      </c>
      <c r="P108">
        <f t="shared" si="7"/>
        <v>1.0004031337947821</v>
      </c>
      <c r="Q108" s="6">
        <f t="shared" si="10"/>
        <v>0.99981003609314234</v>
      </c>
      <c r="R108">
        <f t="shared" si="11"/>
        <v>5.9303451047193218E-4</v>
      </c>
      <c r="T108" s="5">
        <v>44675</v>
      </c>
      <c r="U108" s="1">
        <v>5.9303451047193218E-4</v>
      </c>
    </row>
    <row r="109" spans="3:21" x14ac:dyDescent="0.2">
      <c r="C109" s="5">
        <v>44676</v>
      </c>
      <c r="D109" s="6">
        <v>1.0000100000000001</v>
      </c>
      <c r="E109" s="6">
        <v>40400</v>
      </c>
      <c r="F109" s="6">
        <v>40446.959999999999</v>
      </c>
      <c r="G109" s="6">
        <v>40414.5</v>
      </c>
      <c r="H109" s="6">
        <v>40421.83</v>
      </c>
      <c r="I109" s="5">
        <v>44676</v>
      </c>
      <c r="J109" s="7">
        <f t="shared" si="8"/>
        <v>-5.4005471795813662E-4</v>
      </c>
      <c r="K109" s="5">
        <v>44676</v>
      </c>
      <c r="L109" s="8">
        <f t="shared" si="9"/>
        <v>8.0317707753403179E-4</v>
      </c>
      <c r="M109" s="5">
        <v>44676</v>
      </c>
      <c r="N109" s="9">
        <f t="shared" si="6"/>
        <v>2.6312235957589517E-4</v>
      </c>
      <c r="O109" s="5">
        <v>44676</v>
      </c>
      <c r="P109">
        <f t="shared" si="7"/>
        <v>1.0001813705476996</v>
      </c>
      <c r="Q109" s="6">
        <f t="shared" si="10"/>
        <v>0.99999000009999894</v>
      </c>
      <c r="R109">
        <f t="shared" si="11"/>
        <v>1.9135405205063965E-4</v>
      </c>
      <c r="T109" s="5">
        <v>44676</v>
      </c>
      <c r="U109" s="1">
        <v>1.9135405205063965E-4</v>
      </c>
    </row>
    <row r="110" spans="3:21" x14ac:dyDescent="0.2">
      <c r="C110" s="5">
        <v>44677</v>
      </c>
      <c r="D110" s="6">
        <v>1.0001500000000001</v>
      </c>
      <c r="E110" s="6">
        <v>38103.5</v>
      </c>
      <c r="F110" s="6">
        <v>38178.46</v>
      </c>
      <c r="G110" s="6">
        <v>38091.5</v>
      </c>
      <c r="H110" s="6">
        <v>38121.279999999999</v>
      </c>
      <c r="I110" s="5">
        <v>44677</v>
      </c>
      <c r="J110" s="7">
        <f t="shared" si="8"/>
        <v>-4.6640616474574926E-4</v>
      </c>
      <c r="K110" s="5">
        <v>44677</v>
      </c>
      <c r="L110" s="8">
        <f t="shared" si="9"/>
        <v>2.2829240119186466E-3</v>
      </c>
      <c r="M110" s="5">
        <v>44677</v>
      </c>
      <c r="N110" s="9">
        <f t="shared" si="6"/>
        <v>1.8165178471728973E-3</v>
      </c>
      <c r="O110" s="5">
        <v>44677</v>
      </c>
      <c r="P110">
        <f t="shared" si="7"/>
        <v>1.0007818017142933</v>
      </c>
      <c r="Q110" s="6">
        <f t="shared" si="10"/>
        <v>0.99985002249662536</v>
      </c>
      <c r="R110">
        <f t="shared" si="11"/>
        <v>9.3148501764754772E-4</v>
      </c>
      <c r="T110" s="5">
        <v>44677</v>
      </c>
      <c r="U110" s="1">
        <v>9.3148501764754772E-4</v>
      </c>
    </row>
    <row r="111" spans="3:21" x14ac:dyDescent="0.2">
      <c r="C111" s="5">
        <v>44678</v>
      </c>
      <c r="D111" s="6">
        <v>1.0005299999999999</v>
      </c>
      <c r="E111" s="6">
        <v>39206</v>
      </c>
      <c r="F111" s="6">
        <v>39230.379999999997</v>
      </c>
      <c r="G111" s="6">
        <v>39207.5</v>
      </c>
      <c r="H111" s="6">
        <v>39229.08</v>
      </c>
      <c r="I111" s="5">
        <v>44678</v>
      </c>
      <c r="J111" s="7">
        <f t="shared" si="8"/>
        <v>-5.8833905867794359E-4</v>
      </c>
      <c r="K111" s="5">
        <v>44678</v>
      </c>
      <c r="L111" s="8">
        <f t="shared" si="9"/>
        <v>5.8356181852955123E-4</v>
      </c>
      <c r="M111" s="5">
        <v>44678</v>
      </c>
      <c r="N111" s="9">
        <f t="shared" si="6"/>
        <v>-4.7772401483923543E-6</v>
      </c>
      <c r="O111" s="5">
        <v>44678</v>
      </c>
      <c r="P111">
        <f t="shared" si="7"/>
        <v>1.0005504048970224</v>
      </c>
      <c r="Q111" s="6">
        <f t="shared" si="10"/>
        <v>0.99947028075120192</v>
      </c>
      <c r="R111">
        <f t="shared" si="11"/>
        <v>1.080113079410858E-3</v>
      </c>
      <c r="T111" s="5">
        <v>44678</v>
      </c>
      <c r="U111" s="1">
        <v>1.080113079410858E-3</v>
      </c>
    </row>
    <row r="112" spans="3:21" x14ac:dyDescent="0.2">
      <c r="C112" s="5">
        <v>44679</v>
      </c>
      <c r="D112" s="6">
        <v>0.99958999999999998</v>
      </c>
      <c r="E112" s="6">
        <v>39734.5</v>
      </c>
      <c r="F112" s="6">
        <v>39754.21</v>
      </c>
      <c r="G112" s="6">
        <v>39727.5</v>
      </c>
      <c r="H112" s="6">
        <v>39746.879999999997</v>
      </c>
      <c r="I112" s="5">
        <v>44679</v>
      </c>
      <c r="J112" s="7">
        <f t="shared" si="8"/>
        <v>-3.1147098841462228E-4</v>
      </c>
      <c r="K112" s="5">
        <v>44679</v>
      </c>
      <c r="L112" s="8">
        <f t="shared" si="9"/>
        <v>6.7233024982692408E-4</v>
      </c>
      <c r="M112" s="5">
        <v>44679</v>
      </c>
      <c r="N112" s="9">
        <f t="shared" si="6"/>
        <v>3.6085926141230179E-4</v>
      </c>
      <c r="O112" s="5">
        <v>44679</v>
      </c>
      <c r="P112">
        <f t="shared" si="7"/>
        <v>1.0004878232962053</v>
      </c>
      <c r="Q112" s="6">
        <f t="shared" si="10"/>
        <v>1.0004101681689492</v>
      </c>
      <c r="R112">
        <f t="shared" si="11"/>
        <v>7.7620276122328567E-5</v>
      </c>
      <c r="T112" s="5">
        <v>44679</v>
      </c>
      <c r="U112" s="1">
        <v>7.7620276122328567E-5</v>
      </c>
    </row>
    <row r="113" spans="3:21" x14ac:dyDescent="0.2">
      <c r="C113" s="5">
        <v>44680</v>
      </c>
      <c r="D113" s="6">
        <v>0.99987999999999999</v>
      </c>
      <c r="E113" s="6">
        <v>38572</v>
      </c>
      <c r="F113" s="6">
        <v>38609.129999999997</v>
      </c>
      <c r="G113" s="6">
        <v>38578</v>
      </c>
      <c r="H113" s="6">
        <v>38595.03</v>
      </c>
      <c r="I113" s="5">
        <v>44680</v>
      </c>
      <c r="J113" s="7">
        <f t="shared" si="8"/>
        <v>-5.9670895449488801E-4</v>
      </c>
      <c r="K113" s="5">
        <v>44680</v>
      </c>
      <c r="L113" s="8">
        <f t="shared" si="9"/>
        <v>8.0693659598728238E-4</v>
      </c>
      <c r="M113" s="5">
        <v>44680</v>
      </c>
      <c r="N113" s="9">
        <f t="shared" si="6"/>
        <v>2.1022764149239437E-4</v>
      </c>
      <c r="O113" s="5">
        <v>44680</v>
      </c>
      <c r="P113">
        <f t="shared" si="7"/>
        <v>1.0004414433096582</v>
      </c>
      <c r="Q113" s="6">
        <f t="shared" si="10"/>
        <v>1.0001200144017282</v>
      </c>
      <c r="R113">
        <f t="shared" si="11"/>
        <v>3.2133870164997386E-4</v>
      </c>
      <c r="T113" s="5">
        <v>44680</v>
      </c>
      <c r="U113" s="1">
        <v>3.2133870164997386E-4</v>
      </c>
    </row>
    <row r="114" spans="3:21" x14ac:dyDescent="0.2">
      <c r="C114" s="5">
        <v>44681</v>
      </c>
      <c r="D114" s="6">
        <v>1.0004299999999999</v>
      </c>
      <c r="E114" s="6">
        <v>37611.5</v>
      </c>
      <c r="F114" s="6">
        <v>37739.949999999997</v>
      </c>
      <c r="G114" s="6">
        <v>37615</v>
      </c>
      <c r="H114" s="6">
        <v>37626.050000000003</v>
      </c>
      <c r="I114" s="5">
        <v>44681</v>
      </c>
      <c r="J114" s="7">
        <f t="shared" si="8"/>
        <v>-3.8670017182252482E-4</v>
      </c>
      <c r="K114" s="5">
        <v>44681</v>
      </c>
      <c r="L114" s="8">
        <f t="shared" si="9"/>
        <v>3.3218131064734042E-3</v>
      </c>
      <c r="M114" s="5">
        <v>44681</v>
      </c>
      <c r="N114" s="9">
        <f t="shared" si="6"/>
        <v>2.9351129346508794E-3</v>
      </c>
      <c r="O114" s="5">
        <v>44681</v>
      </c>
      <c r="P114">
        <f t="shared" si="7"/>
        <v>1.0002937657849262</v>
      </c>
      <c r="Q114" s="6">
        <f t="shared" si="10"/>
        <v>0.99957018482052729</v>
      </c>
      <c r="R114">
        <f t="shared" si="11"/>
        <v>7.23630220700354E-4</v>
      </c>
      <c r="T114" s="5">
        <v>44681</v>
      </c>
      <c r="U114" s="1">
        <v>7.23630220700354E-4</v>
      </c>
    </row>
    <row r="115" spans="3:21" x14ac:dyDescent="0.2">
      <c r="C115" s="5">
        <v>44682</v>
      </c>
      <c r="D115" s="6">
        <v>1.0001100000000001</v>
      </c>
      <c r="E115" s="6">
        <v>38446.5</v>
      </c>
      <c r="F115" s="6">
        <v>38445.24</v>
      </c>
      <c r="G115" s="6">
        <v>38458.5</v>
      </c>
      <c r="H115" s="6">
        <v>38471.49</v>
      </c>
      <c r="I115" s="5">
        <v>44682</v>
      </c>
      <c r="J115" s="7">
        <f t="shared" si="8"/>
        <v>-6.4957192975884125E-4</v>
      </c>
      <c r="K115" s="5">
        <v>44682</v>
      </c>
      <c r="L115" s="8">
        <f t="shared" si="9"/>
        <v>-3.4478723819187014E-4</v>
      </c>
      <c r="M115" s="5">
        <v>44682</v>
      </c>
      <c r="N115" s="9">
        <f t="shared" si="6"/>
        <v>-9.9435916795071128E-4</v>
      </c>
      <c r="O115" s="5">
        <v>44682</v>
      </c>
      <c r="P115">
        <f t="shared" si="7"/>
        <v>1.000337766683568</v>
      </c>
      <c r="Q115" s="6">
        <f t="shared" si="10"/>
        <v>0.99989001209866912</v>
      </c>
      <c r="R115">
        <f t="shared" si="11"/>
        <v>4.4770360368698997E-4</v>
      </c>
      <c r="T115" s="5">
        <v>44682</v>
      </c>
      <c r="U115" s="1">
        <v>4.4770360368698997E-4</v>
      </c>
    </row>
    <row r="116" spans="3:21" x14ac:dyDescent="0.2">
      <c r="C116" s="5">
        <v>44683</v>
      </c>
      <c r="D116" s="6">
        <v>0.99992000000000003</v>
      </c>
      <c r="E116" s="6">
        <v>38528</v>
      </c>
      <c r="F116" s="6">
        <v>38533.660000000003</v>
      </c>
      <c r="G116" s="6">
        <v>38512.5</v>
      </c>
      <c r="H116" s="6">
        <v>38523.67</v>
      </c>
      <c r="I116" s="5">
        <v>44683</v>
      </c>
      <c r="J116" s="7">
        <f t="shared" si="8"/>
        <v>1.1239842932933821E-4</v>
      </c>
      <c r="K116" s="5">
        <v>44683</v>
      </c>
      <c r="L116" s="8">
        <f t="shared" si="9"/>
        <v>5.494320025966502E-4</v>
      </c>
      <c r="M116" s="5">
        <v>44683</v>
      </c>
      <c r="N116" s="9">
        <f t="shared" si="6"/>
        <v>6.6183043192598844E-4</v>
      </c>
      <c r="O116" s="5">
        <v>44683</v>
      </c>
      <c r="P116">
        <f t="shared" si="7"/>
        <v>1.0002900357026938</v>
      </c>
      <c r="Q116" s="6">
        <f t="shared" si="10"/>
        <v>1.000080006400512</v>
      </c>
      <c r="R116">
        <f t="shared" si="11"/>
        <v>2.0999045029967392E-4</v>
      </c>
      <c r="T116" s="5">
        <v>44683</v>
      </c>
      <c r="U116" s="1">
        <v>2.0999045029967392E-4</v>
      </c>
    </row>
    <row r="117" spans="3:21" x14ac:dyDescent="0.2">
      <c r="C117" s="5">
        <v>44684</v>
      </c>
      <c r="D117" s="6">
        <v>0.99988999999999995</v>
      </c>
      <c r="E117" s="6">
        <v>37733.5</v>
      </c>
      <c r="F117" s="6">
        <v>37793.019999999997</v>
      </c>
      <c r="G117" s="6">
        <v>37708</v>
      </c>
      <c r="H117" s="6">
        <v>37730.949999999997</v>
      </c>
      <c r="I117" s="5">
        <v>44684</v>
      </c>
      <c r="J117" s="7">
        <f t="shared" si="8"/>
        <v>6.7583774063544931E-5</v>
      </c>
      <c r="K117" s="5">
        <v>44684</v>
      </c>
      <c r="L117" s="8">
        <f t="shared" si="9"/>
        <v>2.2546939641454543E-3</v>
      </c>
      <c r="M117" s="5">
        <v>44684</v>
      </c>
      <c r="N117" s="9">
        <f t="shared" si="6"/>
        <v>2.3222777382089993E-3</v>
      </c>
      <c r="O117" s="5">
        <v>44684</v>
      </c>
      <c r="P117">
        <f t="shared" si="7"/>
        <v>1.0006086241646335</v>
      </c>
      <c r="Q117" s="6">
        <f t="shared" si="10"/>
        <v>1.0001100121013311</v>
      </c>
      <c r="R117">
        <f t="shared" si="11"/>
        <v>4.9843297761824096E-4</v>
      </c>
      <c r="T117" s="5">
        <v>44684</v>
      </c>
      <c r="U117" s="1">
        <v>4.9843297761824096E-4</v>
      </c>
    </row>
    <row r="118" spans="3:21" x14ac:dyDescent="0.2">
      <c r="C118" s="5">
        <v>44685</v>
      </c>
      <c r="D118" s="6">
        <v>1.00007</v>
      </c>
      <c r="E118" s="6">
        <v>39696.5</v>
      </c>
      <c r="F118" s="6">
        <v>39704.93</v>
      </c>
      <c r="G118" s="6">
        <v>39675</v>
      </c>
      <c r="H118" s="6">
        <v>39695.33</v>
      </c>
      <c r="I118" s="5">
        <v>44685</v>
      </c>
      <c r="J118" s="7">
        <f t="shared" si="8"/>
        <v>2.9474499897047178E-5</v>
      </c>
      <c r="K118" s="5">
        <v>44685</v>
      </c>
      <c r="L118" s="8">
        <f t="shared" si="9"/>
        <v>7.5437933207310123E-4</v>
      </c>
      <c r="M118" s="5">
        <v>44685</v>
      </c>
      <c r="N118" s="9">
        <f t="shared" si="6"/>
        <v>7.8385383197014842E-4</v>
      </c>
      <c r="O118" s="5">
        <v>44685</v>
      </c>
      <c r="P118">
        <f t="shared" si="7"/>
        <v>1.0005124133585381</v>
      </c>
      <c r="Q118" s="6">
        <f t="shared" si="10"/>
        <v>0.999930004899657</v>
      </c>
      <c r="R118">
        <f t="shared" si="11"/>
        <v>5.8227966975798963E-4</v>
      </c>
      <c r="T118" s="5">
        <v>44685</v>
      </c>
      <c r="U118" s="1">
        <v>5.8227966975798963E-4</v>
      </c>
    </row>
    <row r="119" spans="3:21" x14ac:dyDescent="0.2">
      <c r="C119" s="5">
        <v>44686</v>
      </c>
      <c r="D119" s="6">
        <v>0.99985000000000002</v>
      </c>
      <c r="E119" s="6">
        <v>36526</v>
      </c>
      <c r="F119" s="6">
        <v>36591.93</v>
      </c>
      <c r="G119" s="6">
        <v>36511</v>
      </c>
      <c r="H119" s="6">
        <v>36554.26</v>
      </c>
      <c r="I119" s="5">
        <v>44686</v>
      </c>
      <c r="J119" s="7">
        <f t="shared" si="8"/>
        <v>-7.7309730794720055E-4</v>
      </c>
      <c r="K119" s="5">
        <v>44686</v>
      </c>
      <c r="L119" s="8">
        <f t="shared" si="9"/>
        <v>2.2165922598668974E-3</v>
      </c>
      <c r="M119" s="5">
        <v>44686</v>
      </c>
      <c r="N119" s="9">
        <f t="shared" si="6"/>
        <v>1.4434949519196967E-3</v>
      </c>
      <c r="O119" s="5">
        <v>44686</v>
      </c>
      <c r="P119">
        <f t="shared" si="7"/>
        <v>1.0011848484018515</v>
      </c>
      <c r="Q119" s="6">
        <f t="shared" si="10"/>
        <v>1.0001500225033755</v>
      </c>
      <c r="R119">
        <f t="shared" si="11"/>
        <v>1.0341357718224233E-3</v>
      </c>
      <c r="T119" s="5">
        <v>44686</v>
      </c>
      <c r="U119" s="1">
        <v>1.0341357718224233E-3</v>
      </c>
    </row>
    <row r="120" spans="3:21" x14ac:dyDescent="0.2">
      <c r="C120" s="5">
        <v>44687</v>
      </c>
      <c r="D120" s="6">
        <v>0.99990000000000001</v>
      </c>
      <c r="E120" s="6">
        <v>35990.5</v>
      </c>
      <c r="F120" s="6">
        <v>36073.160000000003</v>
      </c>
      <c r="G120" s="6">
        <v>35992</v>
      </c>
      <c r="H120" s="6">
        <v>36018.370000000003</v>
      </c>
      <c r="I120" s="5">
        <v>44687</v>
      </c>
      <c r="J120" s="7">
        <f t="shared" si="8"/>
        <v>-7.7377182809779056E-4</v>
      </c>
      <c r="K120" s="5">
        <v>44687</v>
      </c>
      <c r="L120" s="8">
        <f t="shared" si="9"/>
        <v>2.2549455434541978E-3</v>
      </c>
      <c r="M120" s="5">
        <v>44687</v>
      </c>
      <c r="N120" s="9">
        <f t="shared" si="6"/>
        <v>1.4811737153564073E-3</v>
      </c>
      <c r="O120" s="5">
        <v>44687</v>
      </c>
      <c r="P120">
        <f t="shared" si="7"/>
        <v>1.0007326628139588</v>
      </c>
      <c r="Q120" s="6">
        <f t="shared" si="10"/>
        <v>1.000100010001</v>
      </c>
      <c r="R120">
        <f t="shared" si="11"/>
        <v>6.3238954725062396E-4</v>
      </c>
      <c r="T120" s="5">
        <v>44687</v>
      </c>
      <c r="U120" s="1">
        <v>6.3238954725062396E-4</v>
      </c>
    </row>
    <row r="121" spans="3:21" x14ac:dyDescent="0.2">
      <c r="C121" s="5">
        <v>44688</v>
      </c>
      <c r="D121" s="6">
        <v>1.00004</v>
      </c>
      <c r="E121" s="6">
        <v>35462</v>
      </c>
      <c r="F121" s="6">
        <v>35538.25</v>
      </c>
      <c r="G121" s="6">
        <v>35437.5</v>
      </c>
      <c r="H121" s="6">
        <v>35468.769999999997</v>
      </c>
      <c r="I121" s="5">
        <v>44688</v>
      </c>
      <c r="J121" s="7">
        <f t="shared" si="8"/>
        <v>-1.9087213906760227E-4</v>
      </c>
      <c r="K121" s="5">
        <v>44688</v>
      </c>
      <c r="L121" s="8">
        <f t="shared" si="9"/>
        <v>2.8430335097001762E-3</v>
      </c>
      <c r="M121" s="5">
        <v>44688</v>
      </c>
      <c r="N121" s="9">
        <f t="shared" si="6"/>
        <v>2.6521613706325738E-3</v>
      </c>
      <c r="O121" s="5">
        <v>44688</v>
      </c>
      <c r="P121">
        <f t="shared" si="7"/>
        <v>1.0008823985890651</v>
      </c>
      <c r="Q121" s="6">
        <f t="shared" si="10"/>
        <v>0.99996000159993592</v>
      </c>
      <c r="R121">
        <f t="shared" si="11"/>
        <v>9.2200870431986576E-4</v>
      </c>
      <c r="T121" s="5">
        <v>44688</v>
      </c>
      <c r="U121" s="1">
        <v>9.2200870431986576E-4</v>
      </c>
    </row>
    <row r="122" spans="3:21" x14ac:dyDescent="0.2">
      <c r="C122" s="5">
        <v>44689</v>
      </c>
      <c r="D122" s="6">
        <v>0.99941999999999998</v>
      </c>
      <c r="E122" s="6">
        <v>34032.5</v>
      </c>
      <c r="F122" s="6">
        <v>34068.94</v>
      </c>
      <c r="G122" s="6">
        <v>34015</v>
      </c>
      <c r="H122" s="6">
        <v>34046.76</v>
      </c>
      <c r="I122" s="5">
        <v>44689</v>
      </c>
      <c r="J122" s="7">
        <f t="shared" si="8"/>
        <v>-4.1883574237319606E-4</v>
      </c>
      <c r="K122" s="5">
        <v>44689</v>
      </c>
      <c r="L122" s="8">
        <f t="shared" si="9"/>
        <v>1.5857709833897494E-3</v>
      </c>
      <c r="M122" s="5">
        <v>44689</v>
      </c>
      <c r="N122" s="9">
        <f t="shared" si="6"/>
        <v>1.1669352410165533E-3</v>
      </c>
      <c r="O122" s="5">
        <v>44689</v>
      </c>
      <c r="P122">
        <f t="shared" si="7"/>
        <v>1.0009337057180656</v>
      </c>
      <c r="Q122" s="6">
        <f t="shared" si="10"/>
        <v>1.0005803365952253</v>
      </c>
      <c r="R122">
        <f t="shared" si="11"/>
        <v>3.5310182096294718E-4</v>
      </c>
      <c r="T122" s="5">
        <v>44689</v>
      </c>
      <c r="U122" s="1">
        <v>3.5310182096294718E-4</v>
      </c>
    </row>
    <row r="123" spans="3:21" x14ac:dyDescent="0.2">
      <c r="C123" s="5">
        <v>44690</v>
      </c>
      <c r="D123" s="6">
        <v>0.99977000000000005</v>
      </c>
      <c r="E123" s="6">
        <v>30063.5</v>
      </c>
      <c r="F123" s="6">
        <v>30080.41</v>
      </c>
      <c r="G123" s="6">
        <v>30060.5</v>
      </c>
      <c r="H123" s="6">
        <v>30089.17</v>
      </c>
      <c r="I123" s="5">
        <v>44690</v>
      </c>
      <c r="J123" s="7">
        <f t="shared" si="8"/>
        <v>-8.5313087732224763E-4</v>
      </c>
      <c r="K123" s="5">
        <v>44690</v>
      </c>
      <c r="L123" s="8">
        <f t="shared" si="9"/>
        <v>6.6233096588545943E-4</v>
      </c>
      <c r="M123" s="5">
        <v>44690</v>
      </c>
      <c r="N123" s="9">
        <f t="shared" si="6"/>
        <v>-1.907999114367882E-4</v>
      </c>
      <c r="O123" s="5">
        <v>44690</v>
      </c>
      <c r="P123">
        <f t="shared" si="7"/>
        <v>1.0009537432843765</v>
      </c>
      <c r="Q123" s="6">
        <f t="shared" si="10"/>
        <v>1.0002300529121697</v>
      </c>
      <c r="R123">
        <f t="shared" si="11"/>
        <v>7.2326230617052721E-4</v>
      </c>
      <c r="T123" s="5">
        <v>44690</v>
      </c>
      <c r="U123" s="1">
        <v>7.2326230617052721E-4</v>
      </c>
    </row>
    <row r="124" spans="3:21" x14ac:dyDescent="0.2">
      <c r="C124" s="5">
        <v>44691</v>
      </c>
      <c r="D124" s="6">
        <v>0.99983</v>
      </c>
      <c r="E124" s="6">
        <v>31015</v>
      </c>
      <c r="F124" s="6">
        <v>31068.38</v>
      </c>
      <c r="G124" s="6">
        <v>31004</v>
      </c>
      <c r="H124" s="6">
        <v>31018.89</v>
      </c>
      <c r="I124" s="5">
        <v>44691</v>
      </c>
      <c r="J124" s="7">
        <f t="shared" si="8"/>
        <v>-1.2540745332922674E-4</v>
      </c>
      <c r="K124" s="5">
        <v>44691</v>
      </c>
      <c r="L124" s="8">
        <f t="shared" si="9"/>
        <v>2.076506257257161E-3</v>
      </c>
      <c r="M124" s="5">
        <v>44691</v>
      </c>
      <c r="N124" s="9">
        <f t="shared" si="6"/>
        <v>1.9510988039279343E-3</v>
      </c>
      <c r="O124" s="5">
        <v>44691</v>
      </c>
      <c r="P124">
        <f t="shared" si="7"/>
        <v>1.0004802606115339</v>
      </c>
      <c r="Q124" s="6">
        <f t="shared" si="10"/>
        <v>1.0001700289049138</v>
      </c>
      <c r="R124">
        <f t="shared" si="11"/>
        <v>3.1013087167932962E-4</v>
      </c>
      <c r="T124" s="5">
        <v>44691</v>
      </c>
      <c r="U124" s="1">
        <v>3.1013087167932962E-4</v>
      </c>
    </row>
    <row r="125" spans="3:21" x14ac:dyDescent="0.2">
      <c r="C125" s="5">
        <v>44692</v>
      </c>
      <c r="D125" s="6">
        <v>0.99522999999999995</v>
      </c>
      <c r="E125" s="6">
        <v>29067.5</v>
      </c>
      <c r="F125" s="6">
        <v>28985.23</v>
      </c>
      <c r="G125" s="6">
        <v>28964</v>
      </c>
      <c r="H125" s="6">
        <v>29128.67</v>
      </c>
      <c r="I125" s="5">
        <v>44692</v>
      </c>
      <c r="J125" s="7">
        <f t="shared" si="8"/>
        <v>-2.0999928935992703E-3</v>
      </c>
      <c r="K125" s="5">
        <v>44692</v>
      </c>
      <c r="L125" s="8">
        <f t="shared" si="9"/>
        <v>7.3297887032176367E-4</v>
      </c>
      <c r="M125" s="5">
        <v>44692</v>
      </c>
      <c r="N125" s="9">
        <f t="shared" si="6"/>
        <v>-1.3670140232775066E-3</v>
      </c>
      <c r="O125" s="5">
        <v>44692</v>
      </c>
      <c r="P125">
        <f t="shared" si="7"/>
        <v>1.00568533351747</v>
      </c>
      <c r="Q125" s="6">
        <f t="shared" si="10"/>
        <v>1.0047928619515087</v>
      </c>
      <c r="R125">
        <f t="shared" si="11"/>
        <v>8.8782024753608331E-4</v>
      </c>
      <c r="T125" s="5">
        <v>44692</v>
      </c>
      <c r="U125" s="1">
        <v>8.8782024753608331E-4</v>
      </c>
    </row>
    <row r="126" spans="3:21" x14ac:dyDescent="0.2">
      <c r="C126" s="5">
        <v>44693</v>
      </c>
      <c r="D126" s="6">
        <v>0.99675000000000002</v>
      </c>
      <c r="E126" s="6">
        <v>29003</v>
      </c>
      <c r="F126" s="6">
        <v>28946.75</v>
      </c>
      <c r="G126" s="6">
        <v>28931</v>
      </c>
      <c r="H126" s="6">
        <v>29028.65</v>
      </c>
      <c r="I126" s="5">
        <v>44693</v>
      </c>
      <c r="J126" s="7">
        <f t="shared" si="8"/>
        <v>-8.8360981306404029E-4</v>
      </c>
      <c r="K126" s="5">
        <v>44693</v>
      </c>
      <c r="L126" s="8">
        <f t="shared" si="9"/>
        <v>5.4439874183401888E-4</v>
      </c>
      <c r="M126" s="5">
        <v>44693</v>
      </c>
      <c r="N126" s="9">
        <f t="shared" si="6"/>
        <v>-3.3921107123002141E-4</v>
      </c>
      <c r="O126" s="5">
        <v>44693</v>
      </c>
      <c r="P126">
        <f t="shared" si="7"/>
        <v>1.0033752721993709</v>
      </c>
      <c r="Q126" s="6">
        <f t="shared" si="10"/>
        <v>1.0032605969400552</v>
      </c>
      <c r="R126">
        <f t="shared" si="11"/>
        <v>1.1429603268259794E-4</v>
      </c>
      <c r="T126" s="5">
        <v>44693</v>
      </c>
      <c r="U126" s="1">
        <v>1.1429603268259794E-4</v>
      </c>
    </row>
    <row r="127" spans="3:21" x14ac:dyDescent="0.2">
      <c r="C127" s="5">
        <v>44694</v>
      </c>
      <c r="D127" s="6">
        <v>0.99834999999999996</v>
      </c>
      <c r="E127" s="6">
        <v>29268.5</v>
      </c>
      <c r="F127" s="6">
        <v>29294.93</v>
      </c>
      <c r="G127" s="6">
        <v>29220.5</v>
      </c>
      <c r="H127" s="6">
        <v>29274.21</v>
      </c>
      <c r="I127" s="5">
        <v>44694</v>
      </c>
      <c r="J127" s="7">
        <f t="shared" si="8"/>
        <v>-1.9505223198163594E-4</v>
      </c>
      <c r="K127" s="5">
        <v>44694</v>
      </c>
      <c r="L127" s="8">
        <f t="shared" si="9"/>
        <v>2.5471843397614786E-3</v>
      </c>
      <c r="M127" s="5">
        <v>44694</v>
      </c>
      <c r="N127" s="9">
        <f t="shared" si="6"/>
        <v>2.3521321077798426E-3</v>
      </c>
      <c r="O127" s="5">
        <v>44694</v>
      </c>
      <c r="P127">
        <f t="shared" si="7"/>
        <v>1.0018380931195563</v>
      </c>
      <c r="Q127" s="6">
        <f t="shared" si="10"/>
        <v>1.0016527269995492</v>
      </c>
      <c r="R127">
        <f t="shared" si="11"/>
        <v>1.8504314437033429E-4</v>
      </c>
      <c r="T127" s="5">
        <v>44694</v>
      </c>
      <c r="U127" s="1">
        <v>1.8504314437033429E-4</v>
      </c>
    </row>
    <row r="128" spans="3:21" x14ac:dyDescent="0.2">
      <c r="C128" s="5">
        <v>44695</v>
      </c>
      <c r="D128" s="6">
        <v>0.99885999999999997</v>
      </c>
      <c r="E128" s="6">
        <v>30071</v>
      </c>
      <c r="F128" s="6">
        <v>30127.49</v>
      </c>
      <c r="G128" s="6">
        <v>30024</v>
      </c>
      <c r="H128" s="6">
        <v>30082.12</v>
      </c>
      <c r="I128" s="5">
        <v>44695</v>
      </c>
      <c r="J128" s="7">
        <f t="shared" si="8"/>
        <v>-3.6965479826551393E-4</v>
      </c>
      <c r="K128" s="5">
        <v>44695</v>
      </c>
      <c r="L128" s="8">
        <f t="shared" si="9"/>
        <v>3.4469091393552359E-3</v>
      </c>
      <c r="M128" s="5">
        <v>44695</v>
      </c>
      <c r="N128" s="9">
        <f t="shared" si="6"/>
        <v>3.0772543410897218E-3</v>
      </c>
      <c r="O128" s="5">
        <v>44695</v>
      </c>
      <c r="P128">
        <f t="shared" si="7"/>
        <v>1.0019357847055688</v>
      </c>
      <c r="Q128" s="6">
        <f t="shared" si="10"/>
        <v>1.0011413010832348</v>
      </c>
      <c r="R128">
        <f t="shared" si="11"/>
        <v>7.9326319454435892E-4</v>
      </c>
      <c r="T128" s="5">
        <v>44695</v>
      </c>
      <c r="U128" s="1">
        <v>7.9326319454435892E-4</v>
      </c>
    </row>
    <row r="129" spans="3:21" x14ac:dyDescent="0.2">
      <c r="C129" s="5">
        <v>44696</v>
      </c>
      <c r="D129" s="6">
        <v>0.99885000000000002</v>
      </c>
      <c r="E129" s="6">
        <v>31315.5</v>
      </c>
      <c r="F129" s="6">
        <v>31328.1</v>
      </c>
      <c r="G129" s="6">
        <v>31273.5</v>
      </c>
      <c r="H129" s="6">
        <v>31330.65</v>
      </c>
      <c r="I129" s="5">
        <v>44696</v>
      </c>
      <c r="J129" s="7">
        <f t="shared" si="8"/>
        <v>-4.8355204887231689E-4</v>
      </c>
      <c r="K129" s="5">
        <v>44696</v>
      </c>
      <c r="L129" s="8">
        <f t="shared" si="9"/>
        <v>1.745887092906088E-3</v>
      </c>
      <c r="M129" s="5">
        <v>44696</v>
      </c>
      <c r="N129" s="9">
        <f t="shared" si="6"/>
        <v>1.2623350440337711E-3</v>
      </c>
      <c r="O129" s="5">
        <v>44696</v>
      </c>
      <c r="P129">
        <f t="shared" si="7"/>
        <v>1.0018274257758166</v>
      </c>
      <c r="Q129" s="6">
        <f t="shared" si="10"/>
        <v>1.001151324022626</v>
      </c>
      <c r="R129">
        <f t="shared" si="11"/>
        <v>6.7509630737403055E-4</v>
      </c>
      <c r="T129" s="5">
        <v>44696</v>
      </c>
      <c r="U129" s="1">
        <v>6.7509630737403055E-4</v>
      </c>
    </row>
    <row r="130" spans="3:21" x14ac:dyDescent="0.2">
      <c r="C130" s="5">
        <v>44697</v>
      </c>
      <c r="D130" s="6">
        <v>0.99858999999999998</v>
      </c>
      <c r="E130" s="6">
        <v>29854</v>
      </c>
      <c r="F130" s="6">
        <v>29871.22</v>
      </c>
      <c r="G130" s="6">
        <v>29823.5</v>
      </c>
      <c r="H130" s="6">
        <v>29867.1</v>
      </c>
      <c r="I130" s="5">
        <v>44697</v>
      </c>
      <c r="J130" s="7">
        <f t="shared" si="8"/>
        <v>-4.3860970767160341E-4</v>
      </c>
      <c r="K130" s="5">
        <v>44697</v>
      </c>
      <c r="L130" s="8">
        <f t="shared" si="9"/>
        <v>1.6000804734521824E-3</v>
      </c>
      <c r="M130" s="5">
        <v>44697</v>
      </c>
      <c r="N130" s="9">
        <f t="shared" si="6"/>
        <v>1.1614707657805791E-3</v>
      </c>
      <c r="O130" s="5">
        <v>44697</v>
      </c>
      <c r="P130">
        <f t="shared" si="7"/>
        <v>1.0014619343806059</v>
      </c>
      <c r="Q130" s="6">
        <f t="shared" si="10"/>
        <v>1.0014119909071793</v>
      </c>
      <c r="R130">
        <f t="shared" si="11"/>
        <v>4.9871809509724645E-5</v>
      </c>
      <c r="T130" s="5">
        <v>44697</v>
      </c>
      <c r="U130" s="1">
        <v>4.9871809509724645E-5</v>
      </c>
    </row>
    <row r="131" spans="3:21" x14ac:dyDescent="0.2">
      <c r="C131" s="5">
        <v>44698</v>
      </c>
      <c r="D131" s="6">
        <v>0.99880000000000002</v>
      </c>
      <c r="E131" s="6">
        <v>30424.5</v>
      </c>
      <c r="F131" s="6">
        <v>30432.26</v>
      </c>
      <c r="G131" s="6">
        <v>30397</v>
      </c>
      <c r="H131" s="6">
        <v>30442.84</v>
      </c>
      <c r="I131" s="5">
        <v>44698</v>
      </c>
      <c r="J131" s="7">
        <f t="shared" si="8"/>
        <v>-6.0244050817861094E-4</v>
      </c>
      <c r="K131" s="5">
        <v>44698</v>
      </c>
      <c r="L131" s="8">
        <f t="shared" si="9"/>
        <v>1.1599828930486035E-3</v>
      </c>
      <c r="M131" s="5">
        <v>44698</v>
      </c>
      <c r="N131" s="9">
        <f t="shared" si="6"/>
        <v>5.575423848699926E-4</v>
      </c>
      <c r="O131" s="5">
        <v>44698</v>
      </c>
      <c r="P131">
        <f t="shared" si="7"/>
        <v>1.0015080435569299</v>
      </c>
      <c r="Q131" s="6">
        <f t="shared" si="10"/>
        <v>1.0012014417300761</v>
      </c>
      <c r="R131">
        <f t="shared" si="11"/>
        <v>3.0618702462996742E-4</v>
      </c>
      <c r="T131" s="5">
        <v>44698</v>
      </c>
      <c r="U131" s="1">
        <v>3.0618702462996742E-4</v>
      </c>
    </row>
    <row r="132" spans="3:21" x14ac:dyDescent="0.2">
      <c r="C132" s="5">
        <v>44699</v>
      </c>
      <c r="D132" s="6">
        <v>0.99870000000000003</v>
      </c>
      <c r="E132" s="6">
        <v>28694</v>
      </c>
      <c r="F132" s="6">
        <v>28709.43</v>
      </c>
      <c r="G132" s="6">
        <v>28655</v>
      </c>
      <c r="H132" s="6">
        <v>28705.599999999999</v>
      </c>
      <c r="I132" s="5">
        <v>44699</v>
      </c>
      <c r="J132" s="7">
        <f t="shared" si="8"/>
        <v>-4.0410233543275686E-4</v>
      </c>
      <c r="K132" s="5">
        <v>44699</v>
      </c>
      <c r="L132" s="8">
        <f t="shared" si="9"/>
        <v>1.8994939801081938E-3</v>
      </c>
      <c r="M132" s="5">
        <v>44699</v>
      </c>
      <c r="N132" s="9">
        <f t="shared" si="6"/>
        <v>1.4953916446754369E-3</v>
      </c>
      <c r="O132" s="5">
        <v>44699</v>
      </c>
      <c r="P132">
        <f t="shared" si="7"/>
        <v>1.0017658349328213</v>
      </c>
      <c r="Q132" s="6">
        <f t="shared" si="10"/>
        <v>1.0013016921998599</v>
      </c>
      <c r="R132">
        <f t="shared" si="11"/>
        <v>4.6343194623381525E-4</v>
      </c>
      <c r="T132" s="5">
        <v>44699</v>
      </c>
      <c r="U132" s="1">
        <v>4.6343194623381525E-4</v>
      </c>
    </row>
    <row r="133" spans="3:21" x14ac:dyDescent="0.2">
      <c r="C133" s="5">
        <v>44700</v>
      </c>
      <c r="D133" s="6">
        <v>0.99875000000000003</v>
      </c>
      <c r="E133" s="6">
        <v>30310</v>
      </c>
      <c r="F133" s="6">
        <v>30305</v>
      </c>
      <c r="G133" s="6">
        <v>30280</v>
      </c>
      <c r="H133" s="6">
        <v>30316.49</v>
      </c>
      <c r="I133" s="5">
        <v>44700</v>
      </c>
      <c r="J133" s="7">
        <f t="shared" si="8"/>
        <v>-2.1407491434534805E-4</v>
      </c>
      <c r="K133" s="5">
        <v>44700</v>
      </c>
      <c r="L133" s="8">
        <f t="shared" si="9"/>
        <v>8.2562747688243068E-4</v>
      </c>
      <c r="M133" s="5">
        <v>44700</v>
      </c>
      <c r="N133" s="9">
        <f t="shared" si="6"/>
        <v>6.1155256253708269E-4</v>
      </c>
      <c r="O133" s="5">
        <v>44700</v>
      </c>
      <c r="P133">
        <f t="shared" si="7"/>
        <v>1.0012050858652577</v>
      </c>
      <c r="Q133" s="6">
        <f t="shared" si="10"/>
        <v>1.0012515644555695</v>
      </c>
      <c r="R133">
        <f t="shared" si="11"/>
        <v>-4.6421569538315226E-5</v>
      </c>
      <c r="T133" s="5">
        <v>44700</v>
      </c>
      <c r="U133" s="1">
        <v>-4.6421569538315226E-5</v>
      </c>
    </row>
    <row r="134" spans="3:21" x14ac:dyDescent="0.2">
      <c r="C134" s="5">
        <v>44701</v>
      </c>
      <c r="D134" s="6">
        <v>0.99892000000000003</v>
      </c>
      <c r="E134" s="6">
        <v>29185</v>
      </c>
      <c r="F134" s="6">
        <v>29205.4</v>
      </c>
      <c r="G134" s="6">
        <v>29151.5</v>
      </c>
      <c r="H134" s="6">
        <v>29205.79</v>
      </c>
      <c r="I134" s="5">
        <v>44701</v>
      </c>
      <c r="J134" s="7">
        <f t="shared" si="8"/>
        <v>-7.1184515125257265E-4</v>
      </c>
      <c r="K134" s="5">
        <v>44701</v>
      </c>
      <c r="L134" s="8">
        <f t="shared" si="9"/>
        <v>1.8489614599592288E-3</v>
      </c>
      <c r="M134" s="5">
        <v>44701</v>
      </c>
      <c r="N134" s="9">
        <f t="shared" si="6"/>
        <v>1.1371163087066562E-3</v>
      </c>
      <c r="O134" s="5">
        <v>44701</v>
      </c>
      <c r="P134">
        <f t="shared" si="7"/>
        <v>1.0018623398452911</v>
      </c>
      <c r="Q134" s="6">
        <f t="shared" si="10"/>
        <v>1.001081167661074</v>
      </c>
      <c r="R134">
        <f t="shared" si="11"/>
        <v>7.8002422025127082E-4</v>
      </c>
      <c r="T134" s="5">
        <v>44701</v>
      </c>
      <c r="U134" s="1">
        <v>7.8002422025127082E-4</v>
      </c>
    </row>
    <row r="135" spans="3:21" x14ac:dyDescent="0.2">
      <c r="C135" s="5">
        <v>44702</v>
      </c>
      <c r="D135" s="6">
        <v>0.99861</v>
      </c>
      <c r="E135" s="6">
        <v>29420.5</v>
      </c>
      <c r="F135" s="6">
        <v>29430.15</v>
      </c>
      <c r="G135" s="6">
        <v>29390</v>
      </c>
      <c r="H135" s="6">
        <v>29446.83</v>
      </c>
      <c r="I135" s="5">
        <v>44702</v>
      </c>
      <c r="J135" s="7">
        <f t="shared" si="8"/>
        <v>-8.9415397175185733E-4</v>
      </c>
      <c r="K135" s="5">
        <v>44702</v>
      </c>
      <c r="L135" s="8">
        <f t="shared" si="9"/>
        <v>1.3661109220823905E-3</v>
      </c>
      <c r="M135" s="5">
        <v>44702</v>
      </c>
      <c r="N135" s="9">
        <f t="shared" si="6"/>
        <v>4.7195695033053317E-4</v>
      </c>
      <c r="O135" s="5">
        <v>44702</v>
      </c>
      <c r="P135">
        <f t="shared" si="7"/>
        <v>1.0019336509016672</v>
      </c>
      <c r="Q135" s="6">
        <f t="shared" si="10"/>
        <v>1.0013919347893572</v>
      </c>
      <c r="R135">
        <f t="shared" si="11"/>
        <v>5.4081685910959299E-4</v>
      </c>
      <c r="T135" s="5">
        <v>44702</v>
      </c>
      <c r="U135" s="1">
        <v>5.4081685910959299E-4</v>
      </c>
    </row>
    <row r="136" spans="3:21" x14ac:dyDescent="0.2">
      <c r="C136" s="5">
        <v>44703</v>
      </c>
      <c r="D136" s="6">
        <v>0.99914000000000003</v>
      </c>
      <c r="E136" s="6">
        <v>30269.5</v>
      </c>
      <c r="F136" s="6">
        <v>30279.599999999999</v>
      </c>
      <c r="G136" s="6">
        <v>30253</v>
      </c>
      <c r="H136" s="6">
        <v>30288.62</v>
      </c>
      <c r="I136" s="5">
        <v>44703</v>
      </c>
      <c r="J136" s="7">
        <f t="shared" si="8"/>
        <v>-6.3126018947046723E-4</v>
      </c>
      <c r="K136" s="5">
        <v>44703</v>
      </c>
      <c r="L136" s="8">
        <f t="shared" si="9"/>
        <v>8.7925164446496366E-4</v>
      </c>
      <c r="M136" s="5">
        <v>44703</v>
      </c>
      <c r="N136" s="9">
        <f t="shared" ref="N136:N199" si="12">J136+L136</f>
        <v>2.4799145499449643E-4</v>
      </c>
      <c r="O136" s="5">
        <v>44703</v>
      </c>
      <c r="P136">
        <f t="shared" ref="P136:P199" si="13">(1/G136)*H136</f>
        <v>1.0011774038938288</v>
      </c>
      <c r="Q136" s="6">
        <f t="shared" si="10"/>
        <v>1.0008607402366034</v>
      </c>
      <c r="R136">
        <f t="shared" si="11"/>
        <v>3.1634128529914172E-4</v>
      </c>
      <c r="T136" s="5">
        <v>44703</v>
      </c>
      <c r="U136" s="1">
        <v>3.1634128529914172E-4</v>
      </c>
    </row>
    <row r="137" spans="3:21" x14ac:dyDescent="0.2">
      <c r="C137" s="5">
        <v>44704</v>
      </c>
      <c r="D137" s="6">
        <v>0.99885000000000002</v>
      </c>
      <c r="E137" s="6">
        <v>29091.5</v>
      </c>
      <c r="F137" s="6">
        <v>29103.56</v>
      </c>
      <c r="G137" s="6">
        <v>29050</v>
      </c>
      <c r="H137" s="6">
        <v>29112.15</v>
      </c>
      <c r="I137" s="5">
        <v>44704</v>
      </c>
      <c r="J137" s="7">
        <f t="shared" ref="J137:J200" si="14">(E137-H137)/H137</f>
        <v>-7.0932583131103175E-4</v>
      </c>
      <c r="K137" s="5">
        <v>44704</v>
      </c>
      <c r="L137" s="8">
        <f t="shared" ref="L137:L200" si="15">(F137-G137)/G137</f>
        <v>1.8437177280551226E-3</v>
      </c>
      <c r="M137" s="5">
        <v>44704</v>
      </c>
      <c r="N137" s="9">
        <f t="shared" si="12"/>
        <v>1.1343918967440909E-3</v>
      </c>
      <c r="O137" s="5">
        <v>44704</v>
      </c>
      <c r="P137">
        <f t="shared" si="13"/>
        <v>1.0021394148020655</v>
      </c>
      <c r="Q137" s="6">
        <f t="shared" ref="Q137:Q200" si="16">1/D137</f>
        <v>1.001151324022626</v>
      </c>
      <c r="R137">
        <f t="shared" ref="R137:R200" si="17">LN(P137/Q137)</f>
        <v>9.8646775569548556E-4</v>
      </c>
      <c r="T137" s="5">
        <v>44704</v>
      </c>
      <c r="U137" s="1">
        <v>9.8646775569548556E-4</v>
      </c>
    </row>
    <row r="138" spans="3:21" x14ac:dyDescent="0.2">
      <c r="C138" s="5">
        <v>44705</v>
      </c>
      <c r="D138" s="6">
        <v>0.99875000000000003</v>
      </c>
      <c r="E138" s="6">
        <v>29642.5</v>
      </c>
      <c r="F138" s="6">
        <v>29655.93</v>
      </c>
      <c r="G138" s="6">
        <v>29622</v>
      </c>
      <c r="H138" s="6">
        <v>29658.720000000001</v>
      </c>
      <c r="I138" s="5">
        <v>44705</v>
      </c>
      <c r="J138" s="7">
        <f t="shared" si="14"/>
        <v>-5.4688806529753012E-4</v>
      </c>
      <c r="K138" s="5">
        <v>44705</v>
      </c>
      <c r="L138" s="8">
        <f t="shared" si="15"/>
        <v>1.1454324488555901E-3</v>
      </c>
      <c r="M138" s="5">
        <v>44705</v>
      </c>
      <c r="N138" s="9">
        <f t="shared" si="12"/>
        <v>5.9854438355806E-4</v>
      </c>
      <c r="O138" s="5">
        <v>44705</v>
      </c>
      <c r="P138">
        <f t="shared" si="13"/>
        <v>1.0012396192019444</v>
      </c>
      <c r="Q138" s="6">
        <f t="shared" si="16"/>
        <v>1.0012515644555695</v>
      </c>
      <c r="R138">
        <f t="shared" si="17"/>
        <v>-1.1930393225009491E-5</v>
      </c>
      <c r="T138" s="5">
        <v>44705</v>
      </c>
      <c r="U138" s="1">
        <v>-1.1930393225009491E-5</v>
      </c>
    </row>
    <row r="139" spans="3:21" x14ac:dyDescent="0.2">
      <c r="C139" s="5">
        <v>44706</v>
      </c>
      <c r="D139" s="6">
        <v>0.99888999999999994</v>
      </c>
      <c r="E139" s="6">
        <v>29542</v>
      </c>
      <c r="F139" s="6">
        <v>29542.61</v>
      </c>
      <c r="G139" s="6">
        <v>29500</v>
      </c>
      <c r="H139" s="6">
        <v>29545.39</v>
      </c>
      <c r="I139" s="5">
        <v>44706</v>
      </c>
      <c r="J139" s="7">
        <f t="shared" si="14"/>
        <v>-1.1473871219839772E-4</v>
      </c>
      <c r="K139" s="5">
        <v>44706</v>
      </c>
      <c r="L139" s="8">
        <f t="shared" si="15"/>
        <v>1.4444067796610368E-3</v>
      </c>
      <c r="M139" s="5">
        <v>44706</v>
      </c>
      <c r="N139" s="9">
        <f t="shared" si="12"/>
        <v>1.329668067462639E-3</v>
      </c>
      <c r="O139" s="5">
        <v>44706</v>
      </c>
      <c r="P139">
        <f t="shared" si="13"/>
        <v>1.0015386440677965</v>
      </c>
      <c r="Q139" s="6">
        <f t="shared" si="16"/>
        <v>1.0011112334691508</v>
      </c>
      <c r="R139">
        <f t="shared" si="17"/>
        <v>4.2684506156495189E-4</v>
      </c>
      <c r="T139" s="5">
        <v>44706</v>
      </c>
      <c r="U139" s="1">
        <v>4.2684506156495189E-4</v>
      </c>
    </row>
    <row r="140" spans="3:21" x14ac:dyDescent="0.2">
      <c r="C140" s="5">
        <v>44707</v>
      </c>
      <c r="D140" s="6">
        <v>0.99900999999999995</v>
      </c>
      <c r="E140" s="6">
        <v>29201</v>
      </c>
      <c r="F140" s="6">
        <v>29204.75</v>
      </c>
      <c r="G140" s="6">
        <v>29156.5</v>
      </c>
      <c r="H140" s="6">
        <v>29194.55</v>
      </c>
      <c r="I140" s="5">
        <v>44707</v>
      </c>
      <c r="J140" s="7">
        <f t="shared" si="14"/>
        <v>2.2093164648883876E-4</v>
      </c>
      <c r="K140" s="5">
        <v>44707</v>
      </c>
      <c r="L140" s="8">
        <f t="shared" si="15"/>
        <v>1.6548625520895854E-3</v>
      </c>
      <c r="M140" s="5">
        <v>44707</v>
      </c>
      <c r="N140" s="9">
        <f t="shared" si="12"/>
        <v>1.8757941985784242E-3</v>
      </c>
      <c r="O140" s="5">
        <v>44707</v>
      </c>
      <c r="P140">
        <f t="shared" si="13"/>
        <v>1.0013050263234613</v>
      </c>
      <c r="Q140" s="6">
        <f t="shared" si="16"/>
        <v>1.0009909810712605</v>
      </c>
      <c r="R140">
        <f t="shared" si="17"/>
        <v>3.1368514307187132E-4</v>
      </c>
      <c r="T140" s="5">
        <v>44707</v>
      </c>
      <c r="U140" s="1">
        <v>3.1368514307187132E-4</v>
      </c>
    </row>
    <row r="141" spans="3:21" x14ac:dyDescent="0.2">
      <c r="C141" s="5">
        <v>44708</v>
      </c>
      <c r="D141" s="6">
        <v>0.99872000000000005</v>
      </c>
      <c r="E141" s="6">
        <v>28619</v>
      </c>
      <c r="F141" s="6">
        <v>28602.92</v>
      </c>
      <c r="G141" s="6">
        <v>28580</v>
      </c>
      <c r="H141" s="6">
        <v>28625.97</v>
      </c>
      <c r="I141" s="5">
        <v>44708</v>
      </c>
      <c r="J141" s="7">
        <f t="shared" si="14"/>
        <v>-2.4348519892954419E-4</v>
      </c>
      <c r="K141" s="5">
        <v>44708</v>
      </c>
      <c r="L141" s="8">
        <f t="shared" si="15"/>
        <v>8.0195941217628603E-4</v>
      </c>
      <c r="M141" s="5">
        <v>44708</v>
      </c>
      <c r="N141" s="9">
        <f t="shared" si="12"/>
        <v>5.5847421324674187E-4</v>
      </c>
      <c r="O141" s="5">
        <v>44708</v>
      </c>
      <c r="P141">
        <f t="shared" si="13"/>
        <v>1.0016084674597621</v>
      </c>
      <c r="Q141" s="6">
        <f t="shared" si="16"/>
        <v>1.0012816404998397</v>
      </c>
      <c r="R141">
        <f t="shared" si="17"/>
        <v>3.2635536170887912E-4</v>
      </c>
      <c r="T141" s="5">
        <v>44708</v>
      </c>
      <c r="U141" s="1">
        <v>3.2635536170887912E-4</v>
      </c>
    </row>
    <row r="142" spans="3:21" x14ac:dyDescent="0.2">
      <c r="C142" s="5">
        <v>44709</v>
      </c>
      <c r="D142" s="6">
        <v>0.99912999999999996</v>
      </c>
      <c r="E142" s="6">
        <v>29018</v>
      </c>
      <c r="F142" s="6">
        <v>29047.439999999999</v>
      </c>
      <c r="G142" s="6">
        <v>28991</v>
      </c>
      <c r="H142" s="6">
        <v>29028.45</v>
      </c>
      <c r="I142" s="5">
        <v>44709</v>
      </c>
      <c r="J142" s="7">
        <f t="shared" si="14"/>
        <v>-3.5999166335097901E-4</v>
      </c>
      <c r="K142" s="5">
        <v>44709</v>
      </c>
      <c r="L142" s="8">
        <f t="shared" si="15"/>
        <v>1.9468110793004275E-3</v>
      </c>
      <c r="M142" s="5">
        <v>44709</v>
      </c>
      <c r="N142" s="9">
        <f t="shared" si="12"/>
        <v>1.5868194159494484E-3</v>
      </c>
      <c r="O142" s="5">
        <v>44709</v>
      </c>
      <c r="P142">
        <f t="shared" si="13"/>
        <v>1.0012917802076506</v>
      </c>
      <c r="Q142" s="6">
        <f t="shared" si="16"/>
        <v>1.0008707575590765</v>
      </c>
      <c r="R142">
        <f t="shared" si="17"/>
        <v>4.2056790778779508E-4</v>
      </c>
      <c r="T142" s="5">
        <v>44709</v>
      </c>
      <c r="U142" s="1">
        <v>4.2056790778779508E-4</v>
      </c>
    </row>
    <row r="143" spans="3:21" x14ac:dyDescent="0.2">
      <c r="C143" s="5">
        <v>44710</v>
      </c>
      <c r="D143" s="6">
        <v>0.99892000000000003</v>
      </c>
      <c r="E143" s="6">
        <v>29452</v>
      </c>
      <c r="F143" s="6">
        <v>29464.71</v>
      </c>
      <c r="G143" s="6">
        <v>29424</v>
      </c>
      <c r="H143" s="6">
        <v>29467.99</v>
      </c>
      <c r="I143" s="5">
        <v>44710</v>
      </c>
      <c r="J143" s="7">
        <f t="shared" si="14"/>
        <v>-5.426226899086636E-4</v>
      </c>
      <c r="K143" s="5">
        <v>44710</v>
      </c>
      <c r="L143" s="8">
        <f t="shared" si="15"/>
        <v>1.3835644371940977E-3</v>
      </c>
      <c r="M143" s="5">
        <v>44710</v>
      </c>
      <c r="N143" s="9">
        <f t="shared" si="12"/>
        <v>8.4094174728543405E-4</v>
      </c>
      <c r="O143" s="5">
        <v>44710</v>
      </c>
      <c r="P143">
        <f t="shared" si="13"/>
        <v>1.0014950380641652</v>
      </c>
      <c r="Q143" s="6">
        <f t="shared" si="16"/>
        <v>1.001081167661074</v>
      </c>
      <c r="R143">
        <f t="shared" si="17"/>
        <v>4.1333798713902157E-4</v>
      </c>
      <c r="T143" s="5">
        <v>44710</v>
      </c>
      <c r="U143" s="1">
        <v>4.1333798713902157E-4</v>
      </c>
    </row>
    <row r="144" spans="3:21" x14ac:dyDescent="0.2">
      <c r="C144" s="5">
        <v>44711</v>
      </c>
      <c r="D144" s="6">
        <v>0.99946999999999997</v>
      </c>
      <c r="E144" s="6">
        <v>31731.5</v>
      </c>
      <c r="F144" s="6">
        <v>31743.73</v>
      </c>
      <c r="G144" s="6">
        <v>31705.5</v>
      </c>
      <c r="H144" s="6">
        <v>31730.87</v>
      </c>
      <c r="I144" s="5">
        <v>44711</v>
      </c>
      <c r="J144" s="7">
        <f t="shared" si="14"/>
        <v>1.9854482401554659E-5</v>
      </c>
      <c r="K144" s="5">
        <v>44711</v>
      </c>
      <c r="L144" s="8">
        <f t="shared" si="15"/>
        <v>1.2057844853416461E-3</v>
      </c>
      <c r="M144" s="5">
        <v>44711</v>
      </c>
      <c r="N144" s="9">
        <f t="shared" si="12"/>
        <v>1.2256389677432007E-3</v>
      </c>
      <c r="O144" s="5">
        <v>44711</v>
      </c>
      <c r="P144">
        <f t="shared" si="13"/>
        <v>1.0008001766255066</v>
      </c>
      <c r="Q144" s="6">
        <f t="shared" si="16"/>
        <v>1.000530281048956</v>
      </c>
      <c r="R144">
        <f t="shared" si="17"/>
        <v>2.6971615522229425E-4</v>
      </c>
      <c r="T144" s="5">
        <v>44711</v>
      </c>
      <c r="U144" s="1">
        <v>2.6971615522229425E-4</v>
      </c>
    </row>
    <row r="145" spans="3:21" x14ac:dyDescent="0.2">
      <c r="C145" s="5">
        <v>44712</v>
      </c>
      <c r="D145" s="6">
        <v>0.99939</v>
      </c>
      <c r="E145" s="6">
        <v>31781</v>
      </c>
      <c r="F145" s="6">
        <v>31789.66</v>
      </c>
      <c r="G145" s="6">
        <v>31756.5</v>
      </c>
      <c r="H145" s="6">
        <v>31801.46</v>
      </c>
      <c r="I145" s="5">
        <v>44712</v>
      </c>
      <c r="J145" s="7">
        <f t="shared" si="14"/>
        <v>-6.4336668819604912E-4</v>
      </c>
      <c r="K145" s="5">
        <v>44712</v>
      </c>
      <c r="L145" s="8">
        <f t="shared" si="15"/>
        <v>1.0441956764756775E-3</v>
      </c>
      <c r="M145" s="5">
        <v>44712</v>
      </c>
      <c r="N145" s="9">
        <f t="shared" si="12"/>
        <v>4.0082898827962837E-4</v>
      </c>
      <c r="O145" s="5">
        <v>44712</v>
      </c>
      <c r="P145">
        <f t="shared" si="13"/>
        <v>1.001415773148804</v>
      </c>
      <c r="Q145" s="6">
        <f t="shared" si="16"/>
        <v>1.0006103723271196</v>
      </c>
      <c r="R145">
        <f t="shared" si="17"/>
        <v>8.0458576123289261E-4</v>
      </c>
      <c r="T145" s="5">
        <v>44712</v>
      </c>
      <c r="U145" s="1">
        <v>8.0458576123289261E-4</v>
      </c>
    </row>
    <row r="146" spans="3:21" x14ac:dyDescent="0.2">
      <c r="C146" s="5">
        <v>44713</v>
      </c>
      <c r="D146" s="6">
        <v>0.999</v>
      </c>
      <c r="E146" s="6">
        <v>29789</v>
      </c>
      <c r="F146" s="6">
        <v>29795.29</v>
      </c>
      <c r="G146" s="6">
        <v>29758</v>
      </c>
      <c r="H146" s="6">
        <v>29809.48</v>
      </c>
      <c r="I146" s="5">
        <v>44713</v>
      </c>
      <c r="J146" s="7">
        <f t="shared" si="14"/>
        <v>-6.8702976368590003E-4</v>
      </c>
      <c r="K146" s="5">
        <v>44713</v>
      </c>
      <c r="L146" s="8">
        <f t="shared" si="15"/>
        <v>1.2531084078231357E-3</v>
      </c>
      <c r="M146" s="5">
        <v>44713</v>
      </c>
      <c r="N146" s="9">
        <f t="shared" si="12"/>
        <v>5.6607864413723565E-4</v>
      </c>
      <c r="O146" s="5">
        <v>44713</v>
      </c>
      <c r="P146">
        <f t="shared" si="13"/>
        <v>1.001729954970092</v>
      </c>
      <c r="Q146" s="6">
        <f t="shared" si="16"/>
        <v>1.0010010010010011</v>
      </c>
      <c r="R146">
        <f t="shared" si="17"/>
        <v>7.2795998794385924E-4</v>
      </c>
      <c r="T146" s="5">
        <v>44713</v>
      </c>
      <c r="U146" s="1">
        <v>7.2795998794385924E-4</v>
      </c>
    </row>
    <row r="147" spans="3:21" x14ac:dyDescent="0.2">
      <c r="C147" s="5">
        <v>44714</v>
      </c>
      <c r="D147" s="6">
        <v>0.99934999999999996</v>
      </c>
      <c r="E147" s="6">
        <v>30450</v>
      </c>
      <c r="F147" s="6">
        <v>30458.81</v>
      </c>
      <c r="G147" s="6">
        <v>30415</v>
      </c>
      <c r="H147" s="6">
        <v>30458.67</v>
      </c>
      <c r="I147" s="5">
        <v>44714</v>
      </c>
      <c r="J147" s="7">
        <f t="shared" si="14"/>
        <v>-2.8464801647603964E-4</v>
      </c>
      <c r="K147" s="5">
        <v>44714</v>
      </c>
      <c r="L147" s="8">
        <f t="shared" si="15"/>
        <v>1.4404076935722937E-3</v>
      </c>
      <c r="M147" s="5">
        <v>44714</v>
      </c>
      <c r="N147" s="9">
        <f t="shared" si="12"/>
        <v>1.155759677096254E-3</v>
      </c>
      <c r="O147" s="5">
        <v>44714</v>
      </c>
      <c r="P147">
        <f t="shared" si="13"/>
        <v>1.0014358047016274</v>
      </c>
      <c r="Q147" s="6">
        <f t="shared" si="16"/>
        <v>1.0006504227748036</v>
      </c>
      <c r="R147">
        <f t="shared" si="17"/>
        <v>7.845635780632411E-4</v>
      </c>
      <c r="T147" s="5">
        <v>44714</v>
      </c>
      <c r="U147" s="1">
        <v>7.845635780632411E-4</v>
      </c>
    </row>
    <row r="148" spans="3:21" x14ac:dyDescent="0.2">
      <c r="C148" s="5">
        <v>44715</v>
      </c>
      <c r="D148" s="6">
        <v>0.99917</v>
      </c>
      <c r="E148" s="6">
        <v>29688</v>
      </c>
      <c r="F148" s="6">
        <v>29707.61</v>
      </c>
      <c r="G148" s="6">
        <v>29670</v>
      </c>
      <c r="H148" s="6">
        <v>29704.54</v>
      </c>
      <c r="I148" s="5">
        <v>44715</v>
      </c>
      <c r="J148" s="7">
        <f t="shared" si="14"/>
        <v>-5.5681724073158086E-4</v>
      </c>
      <c r="K148" s="5">
        <v>44715</v>
      </c>
      <c r="L148" s="8">
        <f t="shared" si="15"/>
        <v>1.2676103808561031E-3</v>
      </c>
      <c r="M148" s="5">
        <v>44715</v>
      </c>
      <c r="N148" s="9">
        <f t="shared" si="12"/>
        <v>7.1079314012452227E-4</v>
      </c>
      <c r="O148" s="5">
        <v>44715</v>
      </c>
      <c r="P148">
        <f t="shared" si="13"/>
        <v>1.0011641388608024</v>
      </c>
      <c r="Q148" s="6">
        <f t="shared" si="16"/>
        <v>1.0008306894722621</v>
      </c>
      <c r="R148">
        <f t="shared" si="17"/>
        <v>3.3311713587331728E-4</v>
      </c>
      <c r="T148" s="5">
        <v>44715</v>
      </c>
      <c r="U148" s="1">
        <v>3.3311713587331728E-4</v>
      </c>
    </row>
    <row r="149" spans="3:21" x14ac:dyDescent="0.2">
      <c r="C149" s="5">
        <v>44716</v>
      </c>
      <c r="D149" s="6">
        <v>0.99933000000000005</v>
      </c>
      <c r="E149" s="6">
        <v>29857</v>
      </c>
      <c r="F149" s="6">
        <v>29896.48</v>
      </c>
      <c r="G149" s="6">
        <v>29835</v>
      </c>
      <c r="H149" s="6">
        <v>29870.86</v>
      </c>
      <c r="I149" s="5">
        <v>44716</v>
      </c>
      <c r="J149" s="7">
        <f t="shared" si="14"/>
        <v>-4.6399735394295921E-4</v>
      </c>
      <c r="K149" s="5">
        <v>44716</v>
      </c>
      <c r="L149" s="8">
        <f t="shared" si="15"/>
        <v>2.0606670018434576E-3</v>
      </c>
      <c r="M149" s="5">
        <v>44716</v>
      </c>
      <c r="N149" s="9">
        <f t="shared" si="12"/>
        <v>1.5966696479004984E-3</v>
      </c>
      <c r="O149" s="5">
        <v>44716</v>
      </c>
      <c r="P149">
        <f t="shared" si="13"/>
        <v>1.0012019440254736</v>
      </c>
      <c r="Q149" s="6">
        <f t="shared" si="16"/>
        <v>1.0006704492009646</v>
      </c>
      <c r="R149">
        <f t="shared" si="17"/>
        <v>5.3099771873130989E-4</v>
      </c>
      <c r="T149" s="5">
        <v>44716</v>
      </c>
      <c r="U149" s="1">
        <v>5.3099771873130989E-4</v>
      </c>
    </row>
    <row r="150" spans="3:21" x14ac:dyDescent="0.2">
      <c r="C150" s="5">
        <v>44717</v>
      </c>
      <c r="D150" s="6">
        <v>0.99892999999999998</v>
      </c>
      <c r="E150" s="6">
        <v>29901.5</v>
      </c>
      <c r="F150" s="6">
        <v>29929.67</v>
      </c>
      <c r="G150" s="6">
        <v>29873</v>
      </c>
      <c r="H150" s="6">
        <v>29920.799999999999</v>
      </c>
      <c r="I150" s="5">
        <v>44717</v>
      </c>
      <c r="J150" s="7">
        <f t="shared" si="14"/>
        <v>-6.4503622897781054E-4</v>
      </c>
      <c r="K150" s="5">
        <v>44717</v>
      </c>
      <c r="L150" s="8">
        <f t="shared" si="15"/>
        <v>1.8970307635657034E-3</v>
      </c>
      <c r="M150" s="5">
        <v>44717</v>
      </c>
      <c r="N150" s="9">
        <f t="shared" si="12"/>
        <v>1.2519945345878928E-3</v>
      </c>
      <c r="O150" s="5">
        <v>44717</v>
      </c>
      <c r="P150">
        <f t="shared" si="13"/>
        <v>1.0016001071201419</v>
      </c>
      <c r="Q150" s="6">
        <f t="shared" si="16"/>
        <v>1.0010711461263553</v>
      </c>
      <c r="R150">
        <f t="shared" si="17"/>
        <v>5.2825545403903992E-4</v>
      </c>
      <c r="T150" s="5">
        <v>44717</v>
      </c>
      <c r="U150" s="1">
        <v>5.2825545403903992E-4</v>
      </c>
    </row>
    <row r="151" spans="3:21" x14ac:dyDescent="0.2">
      <c r="C151" s="5">
        <v>44718</v>
      </c>
      <c r="D151" s="6">
        <v>0.99914999999999998</v>
      </c>
      <c r="E151" s="6">
        <v>31370.5</v>
      </c>
      <c r="F151" s="6">
        <v>31370.93</v>
      </c>
      <c r="G151" s="6">
        <v>31342</v>
      </c>
      <c r="H151" s="6">
        <v>31371.82</v>
      </c>
      <c r="I151" s="5">
        <v>44718</v>
      </c>
      <c r="J151" s="7">
        <f t="shared" si="14"/>
        <v>-4.2075977740523466E-5</v>
      </c>
      <c r="K151" s="5">
        <v>44718</v>
      </c>
      <c r="L151" s="8">
        <f t="shared" si="15"/>
        <v>9.2304256269543398E-4</v>
      </c>
      <c r="M151" s="5">
        <v>44718</v>
      </c>
      <c r="N151" s="9">
        <f t="shared" si="12"/>
        <v>8.8096658495491053E-4</v>
      </c>
      <c r="O151" s="5">
        <v>44718</v>
      </c>
      <c r="P151">
        <f t="shared" si="13"/>
        <v>1.0009514389636911</v>
      </c>
      <c r="Q151" s="6">
        <f t="shared" si="16"/>
        <v>1.0008507231146475</v>
      </c>
      <c r="R151">
        <f t="shared" si="17"/>
        <v>1.0062517768893283E-4</v>
      </c>
      <c r="T151" s="5">
        <v>44718</v>
      </c>
      <c r="U151" s="1">
        <v>1.0062517768893283E-4</v>
      </c>
    </row>
    <row r="152" spans="3:21" x14ac:dyDescent="0.2">
      <c r="C152" s="5">
        <v>44719</v>
      </c>
      <c r="D152" s="6">
        <v>0.99933000000000005</v>
      </c>
      <c r="E152" s="6">
        <v>31111</v>
      </c>
      <c r="F152" s="6">
        <v>31101.73</v>
      </c>
      <c r="G152" s="6">
        <v>31096</v>
      </c>
      <c r="H152" s="6">
        <v>31123.41</v>
      </c>
      <c r="I152" s="5">
        <v>44719</v>
      </c>
      <c r="J152" s="7">
        <f t="shared" si="14"/>
        <v>-3.9873522856267529E-4</v>
      </c>
      <c r="K152" s="5">
        <v>44719</v>
      </c>
      <c r="L152" s="8">
        <f t="shared" si="15"/>
        <v>1.8426807306404564E-4</v>
      </c>
      <c r="M152" s="5">
        <v>44719</v>
      </c>
      <c r="N152" s="9">
        <f t="shared" si="12"/>
        <v>-2.1446715549862966E-4</v>
      </c>
      <c r="O152" s="5">
        <v>44719</v>
      </c>
      <c r="P152">
        <f t="shared" si="13"/>
        <v>1.0008814638538719</v>
      </c>
      <c r="Q152" s="6">
        <f t="shared" si="16"/>
        <v>1.0006704492009646</v>
      </c>
      <c r="R152">
        <f t="shared" si="17"/>
        <v>2.1085104244640998E-4</v>
      </c>
      <c r="T152" s="5">
        <v>44719</v>
      </c>
      <c r="U152" s="1">
        <v>2.1085104244640998E-4</v>
      </c>
    </row>
    <row r="153" spans="3:21" x14ac:dyDescent="0.2">
      <c r="C153" s="5">
        <v>44720</v>
      </c>
      <c r="D153" s="6">
        <v>0.99919999999999998</v>
      </c>
      <c r="E153" s="6">
        <v>30192</v>
      </c>
      <c r="F153" s="6">
        <v>30203.58</v>
      </c>
      <c r="G153" s="6">
        <v>30162.5</v>
      </c>
      <c r="H153" s="6">
        <v>30202.58</v>
      </c>
      <c r="I153" s="5">
        <v>44720</v>
      </c>
      <c r="J153" s="7">
        <f t="shared" si="14"/>
        <v>-3.5030119943401343E-4</v>
      </c>
      <c r="K153" s="5">
        <v>44720</v>
      </c>
      <c r="L153" s="8">
        <f t="shared" si="15"/>
        <v>1.3619560712806215E-3</v>
      </c>
      <c r="M153" s="5">
        <v>44720</v>
      </c>
      <c r="N153" s="9">
        <f t="shared" si="12"/>
        <v>1.011654871846608E-3</v>
      </c>
      <c r="O153" s="5">
        <v>44720</v>
      </c>
      <c r="P153">
        <f t="shared" si="13"/>
        <v>1.0013288023207625</v>
      </c>
      <c r="Q153" s="6">
        <f t="shared" si="16"/>
        <v>1.0008006405124099</v>
      </c>
      <c r="R153">
        <f t="shared" si="17"/>
        <v>5.2760007350651579E-4</v>
      </c>
      <c r="T153" s="5">
        <v>44720</v>
      </c>
      <c r="U153" s="1">
        <v>5.2760007350651579E-4</v>
      </c>
    </row>
    <row r="154" spans="3:21" x14ac:dyDescent="0.2">
      <c r="C154" s="5">
        <v>44721</v>
      </c>
      <c r="D154" s="6">
        <v>0.99929999999999997</v>
      </c>
      <c r="E154" s="6">
        <v>30100</v>
      </c>
      <c r="F154" s="6">
        <v>30091.53</v>
      </c>
      <c r="G154" s="6">
        <v>30069.5</v>
      </c>
      <c r="H154" s="6">
        <v>30102.09</v>
      </c>
      <c r="I154" s="5">
        <v>44721</v>
      </c>
      <c r="J154" s="7">
        <f t="shared" si="14"/>
        <v>-6.9430395032376335E-5</v>
      </c>
      <c r="K154" s="5">
        <v>44721</v>
      </c>
      <c r="L154" s="8">
        <f t="shared" si="15"/>
        <v>7.3263605979476999E-4</v>
      </c>
      <c r="M154" s="5">
        <v>44721</v>
      </c>
      <c r="N154" s="9">
        <f t="shared" si="12"/>
        <v>6.6320566476239361E-4</v>
      </c>
      <c r="O154" s="5">
        <v>44721</v>
      </c>
      <c r="P154">
        <f t="shared" si="13"/>
        <v>1.0010838224779262</v>
      </c>
      <c r="Q154" s="6">
        <f t="shared" si="16"/>
        <v>1.0007004903432404</v>
      </c>
      <c r="R154">
        <f t="shared" si="17"/>
        <v>3.8299045198455248E-4</v>
      </c>
      <c r="T154" s="5">
        <v>44721</v>
      </c>
      <c r="U154" s="1">
        <v>3.8299045198455248E-4</v>
      </c>
    </row>
    <row r="155" spans="3:21" x14ac:dyDescent="0.2">
      <c r="C155" s="5">
        <v>44722</v>
      </c>
      <c r="D155" s="6">
        <v>0.99887000000000004</v>
      </c>
      <c r="E155" s="6">
        <v>29080.5</v>
      </c>
      <c r="F155" s="6">
        <v>29091.86</v>
      </c>
      <c r="G155" s="6">
        <v>29038.5</v>
      </c>
      <c r="H155" s="6">
        <v>29088.69</v>
      </c>
      <c r="I155" s="5">
        <v>44722</v>
      </c>
      <c r="J155" s="7">
        <f t="shared" si="14"/>
        <v>-2.8155272719392624E-4</v>
      </c>
      <c r="K155" s="5">
        <v>44722</v>
      </c>
      <c r="L155" s="8">
        <f t="shared" si="15"/>
        <v>1.8375604800523644E-3</v>
      </c>
      <c r="M155" s="5">
        <v>44722</v>
      </c>
      <c r="N155" s="9">
        <f t="shared" si="12"/>
        <v>1.5560077528584382E-3</v>
      </c>
      <c r="O155" s="5">
        <v>44722</v>
      </c>
      <c r="P155">
        <f t="shared" si="13"/>
        <v>1.0017283950617284</v>
      </c>
      <c r="Q155" s="6">
        <f t="shared" si="16"/>
        <v>1.0011312783445292</v>
      </c>
      <c r="R155">
        <f t="shared" si="17"/>
        <v>5.962641744889503E-4</v>
      </c>
      <c r="T155" s="5">
        <v>44722</v>
      </c>
      <c r="U155" s="1">
        <v>5.962641744889503E-4</v>
      </c>
    </row>
    <row r="156" spans="3:21" x14ac:dyDescent="0.2">
      <c r="C156" s="5">
        <v>44723</v>
      </c>
      <c r="D156" s="6">
        <v>0.99885999999999997</v>
      </c>
      <c r="E156" s="6">
        <v>28420</v>
      </c>
      <c r="F156" s="6">
        <v>28442.400000000001</v>
      </c>
      <c r="G156" s="6">
        <v>28379</v>
      </c>
      <c r="H156" s="6">
        <v>28422.39</v>
      </c>
      <c r="I156" s="5">
        <v>44723</v>
      </c>
      <c r="J156" s="7">
        <f t="shared" si="14"/>
        <v>-8.4088635755100744E-5</v>
      </c>
      <c r="K156" s="5">
        <v>44723</v>
      </c>
      <c r="L156" s="8">
        <f t="shared" si="15"/>
        <v>2.2340463018429633E-3</v>
      </c>
      <c r="M156" s="5">
        <v>44723</v>
      </c>
      <c r="N156" s="9">
        <f t="shared" si="12"/>
        <v>2.1499576660878625E-3</v>
      </c>
      <c r="O156" s="5">
        <v>44723</v>
      </c>
      <c r="P156">
        <f t="shared" si="13"/>
        <v>1.0015289474611508</v>
      </c>
      <c r="Q156" s="6">
        <f t="shared" si="16"/>
        <v>1.0011413010832348</v>
      </c>
      <c r="R156">
        <f t="shared" si="17"/>
        <v>3.8712951674301551E-4</v>
      </c>
      <c r="T156" s="5">
        <v>44723</v>
      </c>
      <c r="U156" s="1">
        <v>3.8712951674301551E-4</v>
      </c>
    </row>
    <row r="157" spans="3:21" x14ac:dyDescent="0.2">
      <c r="C157" s="5">
        <v>44724</v>
      </c>
      <c r="D157" s="6">
        <v>0.99865999999999999</v>
      </c>
      <c r="E157" s="6">
        <v>26567.5</v>
      </c>
      <c r="F157" s="6">
        <v>26576.45</v>
      </c>
      <c r="G157" s="6">
        <v>26525</v>
      </c>
      <c r="H157" s="6">
        <v>26578.02</v>
      </c>
      <c r="I157" s="5">
        <v>44724</v>
      </c>
      <c r="J157" s="7">
        <f t="shared" si="14"/>
        <v>-3.9581579064205822E-4</v>
      </c>
      <c r="K157" s="5">
        <v>44724</v>
      </c>
      <c r="L157" s="8">
        <f t="shared" si="15"/>
        <v>1.9396795475966344E-3</v>
      </c>
      <c r="M157" s="5">
        <v>44724</v>
      </c>
      <c r="N157" s="9">
        <f t="shared" si="12"/>
        <v>1.5438637569545762E-3</v>
      </c>
      <c r="O157" s="5">
        <v>44724</v>
      </c>
      <c r="P157">
        <f t="shared" si="13"/>
        <v>1.0019988689915176</v>
      </c>
      <c r="Q157" s="6">
        <f t="shared" si="16"/>
        <v>1.0013417980093324</v>
      </c>
      <c r="R157">
        <f t="shared" si="17"/>
        <v>6.559753082140329E-4</v>
      </c>
      <c r="T157" s="5">
        <v>44724</v>
      </c>
      <c r="U157" s="1">
        <v>6.559753082140329E-4</v>
      </c>
    </row>
    <row r="158" spans="3:21" x14ac:dyDescent="0.2">
      <c r="C158" s="5">
        <v>44725</v>
      </c>
      <c r="D158" s="6">
        <v>0.99858000000000002</v>
      </c>
      <c r="E158" s="6">
        <v>22476.5</v>
      </c>
      <c r="F158" s="6">
        <v>22525.62</v>
      </c>
      <c r="G158" s="6">
        <v>22432.5</v>
      </c>
      <c r="H158" s="6">
        <v>22485.59</v>
      </c>
      <c r="I158" s="5">
        <v>44725</v>
      </c>
      <c r="J158" s="7">
        <f t="shared" si="14"/>
        <v>-4.0425890537006793E-4</v>
      </c>
      <c r="K158" s="5">
        <v>44725</v>
      </c>
      <c r="L158" s="8">
        <f t="shared" si="15"/>
        <v>4.151120026746862E-3</v>
      </c>
      <c r="M158" s="5">
        <v>44725</v>
      </c>
      <c r="N158" s="9">
        <f t="shared" si="12"/>
        <v>3.7468611213767942E-3</v>
      </c>
      <c r="O158" s="5">
        <v>44725</v>
      </c>
      <c r="P158">
        <f t="shared" si="13"/>
        <v>1.0023666555221218</v>
      </c>
      <c r="Q158" s="6">
        <f t="shared" si="16"/>
        <v>1.0014220192673595</v>
      </c>
      <c r="R158">
        <f t="shared" si="17"/>
        <v>9.4285024825843742E-4</v>
      </c>
      <c r="T158" s="5">
        <v>44725</v>
      </c>
      <c r="U158" s="1">
        <v>9.4285024825843742E-4</v>
      </c>
    </row>
    <row r="159" spans="3:21" x14ac:dyDescent="0.2">
      <c r="C159" s="5">
        <v>44726</v>
      </c>
      <c r="D159" s="6">
        <v>0.99868000000000001</v>
      </c>
      <c r="E159" s="6">
        <v>22127.5</v>
      </c>
      <c r="F159" s="6">
        <v>22119.64</v>
      </c>
      <c r="G159" s="6">
        <v>22092.5</v>
      </c>
      <c r="H159" s="6">
        <v>22150.09</v>
      </c>
      <c r="I159" s="5">
        <v>44726</v>
      </c>
      <c r="J159" s="7">
        <f t="shared" si="14"/>
        <v>-1.0198604159170526E-3</v>
      </c>
      <c r="K159" s="5">
        <v>44726</v>
      </c>
      <c r="L159" s="8">
        <f t="shared" si="15"/>
        <v>1.2284712006336729E-3</v>
      </c>
      <c r="M159" s="5">
        <v>44726</v>
      </c>
      <c r="N159" s="9">
        <f t="shared" si="12"/>
        <v>2.0861078471662037E-4</v>
      </c>
      <c r="O159" s="5">
        <v>44726</v>
      </c>
      <c r="P159">
        <f t="shared" si="13"/>
        <v>1.0026067670023764</v>
      </c>
      <c r="Q159" s="6">
        <f t="shared" si="16"/>
        <v>1.0013217447030081</v>
      </c>
      <c r="R159">
        <f t="shared" si="17"/>
        <v>1.2825033108691908E-3</v>
      </c>
      <c r="T159" s="5">
        <v>44726</v>
      </c>
      <c r="U159" s="1">
        <v>1.2825033108691908E-3</v>
      </c>
    </row>
    <row r="160" spans="3:21" x14ac:dyDescent="0.2">
      <c r="C160" s="5">
        <v>44727</v>
      </c>
      <c r="D160" s="6">
        <v>0.99870000000000003</v>
      </c>
      <c r="E160" s="6">
        <v>22574</v>
      </c>
      <c r="F160" s="6">
        <v>22591.15</v>
      </c>
      <c r="G160" s="6">
        <v>22552</v>
      </c>
      <c r="H160" s="6">
        <v>22582.720000000001</v>
      </c>
      <c r="I160" s="5">
        <v>44727</v>
      </c>
      <c r="J160" s="7">
        <f t="shared" si="14"/>
        <v>-3.861359481940689E-4</v>
      </c>
      <c r="K160" s="5">
        <v>44727</v>
      </c>
      <c r="L160" s="8">
        <f t="shared" si="15"/>
        <v>1.7359879389855204E-3</v>
      </c>
      <c r="M160" s="5">
        <v>44727</v>
      </c>
      <c r="N160" s="9">
        <f t="shared" si="12"/>
        <v>1.3498519907914515E-3</v>
      </c>
      <c r="O160" s="5">
        <v>44727</v>
      </c>
      <c r="P160">
        <f t="shared" si="13"/>
        <v>1.0013621851720469</v>
      </c>
      <c r="Q160" s="6">
        <f t="shared" si="16"/>
        <v>1.0013016921998599</v>
      </c>
      <c r="R160">
        <f t="shared" si="17"/>
        <v>6.0412506450983707E-5</v>
      </c>
      <c r="T160" s="5">
        <v>44727</v>
      </c>
      <c r="U160" s="1">
        <v>6.0412506450983707E-5</v>
      </c>
    </row>
    <row r="161" spans="3:21" x14ac:dyDescent="0.2">
      <c r="C161" s="5">
        <v>44728</v>
      </c>
      <c r="D161" s="6">
        <v>0.99846000000000001</v>
      </c>
      <c r="E161" s="6">
        <v>20385</v>
      </c>
      <c r="F161" s="6">
        <v>20434.03</v>
      </c>
      <c r="G161" s="6">
        <v>20354.5</v>
      </c>
      <c r="H161" s="6">
        <v>20401.2</v>
      </c>
      <c r="I161" s="5">
        <v>44728</v>
      </c>
      <c r="J161" s="7">
        <f t="shared" si="14"/>
        <v>-7.9407093700374133E-4</v>
      </c>
      <c r="K161" s="5">
        <v>44728</v>
      </c>
      <c r="L161" s="8">
        <f t="shared" si="15"/>
        <v>3.9072440983565718E-3</v>
      </c>
      <c r="M161" s="5">
        <v>44728</v>
      </c>
      <c r="N161" s="9">
        <f t="shared" si="12"/>
        <v>3.1131731613528307E-3</v>
      </c>
      <c r="O161" s="5">
        <v>44728</v>
      </c>
      <c r="P161">
        <f t="shared" si="13"/>
        <v>1.0022943329484881</v>
      </c>
      <c r="Q161" s="6">
        <f t="shared" si="16"/>
        <v>1.0015423752578971</v>
      </c>
      <c r="R161">
        <f t="shared" si="17"/>
        <v>7.5051796666678104E-4</v>
      </c>
      <c r="T161" s="5">
        <v>44728</v>
      </c>
      <c r="U161" s="1">
        <v>7.5051796666678104E-4</v>
      </c>
    </row>
    <row r="162" spans="3:21" x14ac:dyDescent="0.2">
      <c r="C162" s="5">
        <v>44729</v>
      </c>
      <c r="D162" s="6">
        <v>0.99900999999999995</v>
      </c>
      <c r="E162" s="6">
        <v>20454.5</v>
      </c>
      <c r="F162" s="6">
        <v>20495.59</v>
      </c>
      <c r="G162" s="6">
        <v>20430</v>
      </c>
      <c r="H162" s="6">
        <v>20464.849999999999</v>
      </c>
      <c r="I162" s="5">
        <v>44729</v>
      </c>
      <c r="J162" s="7">
        <f t="shared" si="14"/>
        <v>-5.0574521679848839E-4</v>
      </c>
      <c r="K162" s="5">
        <v>44729</v>
      </c>
      <c r="L162" s="8">
        <f t="shared" si="15"/>
        <v>3.2104747919725965E-3</v>
      </c>
      <c r="M162" s="5">
        <v>44729</v>
      </c>
      <c r="N162" s="9">
        <f t="shared" si="12"/>
        <v>2.7047295751741083E-3</v>
      </c>
      <c r="O162" s="5">
        <v>44729</v>
      </c>
      <c r="P162">
        <f t="shared" si="13"/>
        <v>1.0017058247674986</v>
      </c>
      <c r="Q162" s="6">
        <f t="shared" si="16"/>
        <v>1.0009909810712605</v>
      </c>
      <c r="R162">
        <f t="shared" si="17"/>
        <v>7.138811272006661E-4</v>
      </c>
      <c r="T162" s="5">
        <v>44729</v>
      </c>
      <c r="U162" s="1">
        <v>7.138811272006661E-4</v>
      </c>
    </row>
    <row r="163" spans="3:21" x14ac:dyDescent="0.2">
      <c r="C163" s="5">
        <v>44730</v>
      </c>
      <c r="D163" s="6">
        <v>0.99858999999999998</v>
      </c>
      <c r="E163" s="6">
        <v>18964.5</v>
      </c>
      <c r="F163" s="6">
        <v>19058.259999999998</v>
      </c>
      <c r="G163" s="6">
        <v>18942</v>
      </c>
      <c r="H163" s="6">
        <v>18980.400000000001</v>
      </c>
      <c r="I163" s="5">
        <v>44730</v>
      </c>
      <c r="J163" s="7">
        <f t="shared" si="14"/>
        <v>-8.3770626541071068E-4</v>
      </c>
      <c r="K163" s="5">
        <v>44730</v>
      </c>
      <c r="L163" s="8">
        <f t="shared" si="15"/>
        <v>6.1376834547565411E-3</v>
      </c>
      <c r="M163" s="5">
        <v>44730</v>
      </c>
      <c r="N163" s="9">
        <f t="shared" si="12"/>
        <v>5.2999771893458307E-3</v>
      </c>
      <c r="O163" s="5">
        <v>44730</v>
      </c>
      <c r="P163">
        <f t="shared" si="13"/>
        <v>1.0020272410516313</v>
      </c>
      <c r="Q163" s="6">
        <f t="shared" si="16"/>
        <v>1.0014119909071793</v>
      </c>
      <c r="R163">
        <f t="shared" si="17"/>
        <v>6.1419398600041659E-4</v>
      </c>
      <c r="T163" s="5">
        <v>44730</v>
      </c>
      <c r="U163" s="1">
        <v>6.1419398600041659E-4</v>
      </c>
    </row>
    <row r="164" spans="3:21" x14ac:dyDescent="0.2">
      <c r="C164" s="5">
        <v>44731</v>
      </c>
      <c r="D164" s="6">
        <v>0.99875999999999998</v>
      </c>
      <c r="E164" s="6">
        <v>20567.5</v>
      </c>
      <c r="F164" s="6">
        <v>20608.939999999999</v>
      </c>
      <c r="G164" s="6">
        <v>20534.5</v>
      </c>
      <c r="H164" s="6">
        <v>20574.080000000002</v>
      </c>
      <c r="I164" s="5">
        <v>44731</v>
      </c>
      <c r="J164" s="7">
        <f t="shared" si="14"/>
        <v>-3.1981988988094464E-4</v>
      </c>
      <c r="K164" s="5">
        <v>44731</v>
      </c>
      <c r="L164" s="8">
        <f t="shared" si="15"/>
        <v>3.6251187026710508E-3</v>
      </c>
      <c r="M164" s="5">
        <v>44731</v>
      </c>
      <c r="N164" s="9">
        <f t="shared" si="12"/>
        <v>3.305298812790106E-3</v>
      </c>
      <c r="O164" s="5">
        <v>44731</v>
      </c>
      <c r="P164">
        <f t="shared" si="13"/>
        <v>1.0019274878862403</v>
      </c>
      <c r="Q164" s="6">
        <f t="shared" si="16"/>
        <v>1.0012415395089911</v>
      </c>
      <c r="R164">
        <f t="shared" si="17"/>
        <v>6.8486322889327322E-4</v>
      </c>
      <c r="T164" s="5">
        <v>44731</v>
      </c>
      <c r="U164" s="1">
        <v>6.8486322889327322E-4</v>
      </c>
    </row>
    <row r="165" spans="3:21" x14ac:dyDescent="0.2">
      <c r="C165" s="5">
        <v>44732</v>
      </c>
      <c r="D165" s="6">
        <v>0.99890999999999996</v>
      </c>
      <c r="E165" s="6">
        <v>20568</v>
      </c>
      <c r="F165" s="6">
        <v>20551.96</v>
      </c>
      <c r="G165" s="6">
        <v>20540</v>
      </c>
      <c r="H165" s="6">
        <v>20576.55</v>
      </c>
      <c r="I165" s="5">
        <v>44732</v>
      </c>
      <c r="J165" s="7">
        <f t="shared" si="14"/>
        <v>-4.1552155244680339E-4</v>
      </c>
      <c r="K165" s="5">
        <v>44732</v>
      </c>
      <c r="L165" s="8">
        <f t="shared" si="15"/>
        <v>5.8227848101261568E-4</v>
      </c>
      <c r="M165" s="5">
        <v>44732</v>
      </c>
      <c r="N165" s="9">
        <f t="shared" si="12"/>
        <v>1.667569285658123E-4</v>
      </c>
      <c r="O165" s="5">
        <v>44732</v>
      </c>
      <c r="P165">
        <f t="shared" si="13"/>
        <v>1.0017794547224927</v>
      </c>
      <c r="Q165" s="6">
        <f t="shared" si="16"/>
        <v>1.0010911893964423</v>
      </c>
      <c r="R165">
        <f t="shared" si="17"/>
        <v>6.8727888659549314E-4</v>
      </c>
      <c r="T165" s="5">
        <v>44732</v>
      </c>
      <c r="U165" s="1">
        <v>6.8727888659549314E-4</v>
      </c>
    </row>
    <row r="166" spans="3:21" x14ac:dyDescent="0.2">
      <c r="C166" s="5">
        <v>44733</v>
      </c>
      <c r="D166" s="6">
        <v>0.99885999999999997</v>
      </c>
      <c r="E166" s="6">
        <v>20715.5</v>
      </c>
      <c r="F166" s="6">
        <v>20719.439999999999</v>
      </c>
      <c r="G166" s="6">
        <v>20694.5</v>
      </c>
      <c r="H166" s="6">
        <v>20725.400000000001</v>
      </c>
      <c r="I166" s="5">
        <v>44733</v>
      </c>
      <c r="J166" s="7">
        <f t="shared" si="14"/>
        <v>-4.7767473727896469E-4</v>
      </c>
      <c r="K166" s="5">
        <v>44733</v>
      </c>
      <c r="L166" s="8">
        <f t="shared" si="15"/>
        <v>1.2051511271110049E-3</v>
      </c>
      <c r="M166" s="5">
        <v>44733</v>
      </c>
      <c r="N166" s="9">
        <f t="shared" si="12"/>
        <v>7.2747638983204025E-4</v>
      </c>
      <c r="O166" s="5">
        <v>44733</v>
      </c>
      <c r="P166">
        <f t="shared" si="13"/>
        <v>1.0014931503539588</v>
      </c>
      <c r="Q166" s="6">
        <f t="shared" si="16"/>
        <v>1.0011413010832348</v>
      </c>
      <c r="R166">
        <f t="shared" si="17"/>
        <v>3.5138641911578589E-4</v>
      </c>
      <c r="T166" s="5">
        <v>44733</v>
      </c>
      <c r="U166" s="1">
        <v>3.5138641911578589E-4</v>
      </c>
    </row>
    <row r="167" spans="3:21" x14ac:dyDescent="0.2">
      <c r="C167" s="5">
        <v>44734</v>
      </c>
      <c r="D167" s="6">
        <v>0.99904000000000004</v>
      </c>
      <c r="E167" s="6">
        <v>19980</v>
      </c>
      <c r="F167" s="6">
        <v>19977.8</v>
      </c>
      <c r="G167" s="6">
        <v>19962</v>
      </c>
      <c r="H167" s="6">
        <v>19991.52</v>
      </c>
      <c r="I167" s="5">
        <v>44734</v>
      </c>
      <c r="J167" s="7">
        <f t="shared" si="14"/>
        <v>-5.7624432759492206E-4</v>
      </c>
      <c r="K167" s="5">
        <v>44734</v>
      </c>
      <c r="L167" s="8">
        <f t="shared" si="15"/>
        <v>7.9150385732888848E-4</v>
      </c>
      <c r="M167" s="5">
        <v>44734</v>
      </c>
      <c r="N167" s="9">
        <f t="shared" si="12"/>
        <v>2.1525952973396642E-4</v>
      </c>
      <c r="O167" s="5">
        <v>44734</v>
      </c>
      <c r="P167">
        <f t="shared" si="13"/>
        <v>1.0014788097385032</v>
      </c>
      <c r="Q167" s="6">
        <f t="shared" si="16"/>
        <v>1.0009609224855862</v>
      </c>
      <c r="R167">
        <f t="shared" si="17"/>
        <v>5.1725628105534708E-4</v>
      </c>
      <c r="T167" s="5">
        <v>44734</v>
      </c>
      <c r="U167" s="1">
        <v>5.1725628105534708E-4</v>
      </c>
    </row>
    <row r="168" spans="3:21" x14ac:dyDescent="0.2">
      <c r="C168" s="5">
        <v>44735</v>
      </c>
      <c r="D168" s="6">
        <v>0.99931999999999999</v>
      </c>
      <c r="E168" s="6">
        <v>21095</v>
      </c>
      <c r="F168" s="6">
        <v>21095.95</v>
      </c>
      <c r="G168" s="6">
        <v>21082</v>
      </c>
      <c r="H168" s="6">
        <v>21110.97</v>
      </c>
      <c r="I168" s="5">
        <v>44735</v>
      </c>
      <c r="J168" s="7">
        <f t="shared" si="14"/>
        <v>-7.5647874067374281E-4</v>
      </c>
      <c r="K168" s="5">
        <v>44735</v>
      </c>
      <c r="L168" s="8">
        <f t="shared" si="15"/>
        <v>6.6170192581352469E-4</v>
      </c>
      <c r="M168" s="5">
        <v>44735</v>
      </c>
      <c r="N168" s="9">
        <f t="shared" si="12"/>
        <v>-9.4776814860218122E-5</v>
      </c>
      <c r="O168" s="5">
        <v>44735</v>
      </c>
      <c r="P168">
        <f t="shared" si="13"/>
        <v>1.001374158049521</v>
      </c>
      <c r="Q168" s="6">
        <f t="shared" si="16"/>
        <v>1.0006804627146459</v>
      </c>
      <c r="R168">
        <f t="shared" si="17"/>
        <v>6.9298345353954207E-4</v>
      </c>
      <c r="T168" s="5">
        <v>44735</v>
      </c>
      <c r="U168" s="1">
        <v>6.9298345353954207E-4</v>
      </c>
    </row>
    <row r="169" spans="3:21" x14ac:dyDescent="0.2">
      <c r="C169" s="5">
        <v>44736</v>
      </c>
      <c r="D169" s="6">
        <v>0.99941000000000002</v>
      </c>
      <c r="E169" s="6">
        <v>21232</v>
      </c>
      <c r="F169" s="6">
        <v>21229.7</v>
      </c>
      <c r="G169" s="6">
        <v>21208.5</v>
      </c>
      <c r="H169" s="6">
        <v>21238.42</v>
      </c>
      <c r="I169" s="5">
        <v>44736</v>
      </c>
      <c r="J169" s="7">
        <f t="shared" si="14"/>
        <v>-3.0228237317080341E-4</v>
      </c>
      <c r="K169" s="5">
        <v>44736</v>
      </c>
      <c r="L169" s="8">
        <f t="shared" si="15"/>
        <v>9.995992172949868E-4</v>
      </c>
      <c r="M169" s="5">
        <v>44736</v>
      </c>
      <c r="N169" s="9">
        <f t="shared" si="12"/>
        <v>6.9731684412418344E-4</v>
      </c>
      <c r="O169" s="5">
        <v>44736</v>
      </c>
      <c r="P169">
        <f t="shared" si="13"/>
        <v>1.0014107551217672</v>
      </c>
      <c r="Q169" s="6">
        <f t="shared" si="16"/>
        <v>1.0005903483055003</v>
      </c>
      <c r="R169">
        <f t="shared" si="17"/>
        <v>8.1958682319031493E-4</v>
      </c>
      <c r="T169" s="5">
        <v>44736</v>
      </c>
      <c r="U169" s="1">
        <v>8.1958682319031493E-4</v>
      </c>
    </row>
    <row r="170" spans="3:21" x14ac:dyDescent="0.2">
      <c r="C170" s="5">
        <v>44737</v>
      </c>
      <c r="D170" s="6">
        <v>0.99951000000000001</v>
      </c>
      <c r="E170" s="6">
        <v>21476</v>
      </c>
      <c r="F170" s="6">
        <v>21512.77</v>
      </c>
      <c r="G170" s="6">
        <v>21471</v>
      </c>
      <c r="H170" s="6">
        <v>21491.37</v>
      </c>
      <c r="I170" s="5">
        <v>44737</v>
      </c>
      <c r="J170" s="7">
        <f t="shared" si="14"/>
        <v>-7.1517078715777462E-4</v>
      </c>
      <c r="K170" s="5">
        <v>44737</v>
      </c>
      <c r="L170" s="8">
        <f t="shared" si="15"/>
        <v>1.9454147454706552E-3</v>
      </c>
      <c r="M170" s="5">
        <v>44737</v>
      </c>
      <c r="N170" s="9">
        <f t="shared" si="12"/>
        <v>1.2302439583128807E-3</v>
      </c>
      <c r="O170" s="5">
        <v>44737</v>
      </c>
      <c r="P170">
        <f t="shared" si="13"/>
        <v>1.0009487215313677</v>
      </c>
      <c r="Q170" s="6">
        <f t="shared" si="16"/>
        <v>1.0004902402177067</v>
      </c>
      <c r="R170">
        <f t="shared" si="17"/>
        <v>4.5815169030189145E-4</v>
      </c>
      <c r="T170" s="5">
        <v>44737</v>
      </c>
      <c r="U170" s="1">
        <v>4.5815169030189145E-4</v>
      </c>
    </row>
    <row r="171" spans="3:21" x14ac:dyDescent="0.2">
      <c r="C171" s="5">
        <v>44738</v>
      </c>
      <c r="D171" s="6">
        <v>0.99922</v>
      </c>
      <c r="E171" s="6">
        <v>21032</v>
      </c>
      <c r="F171" s="6">
        <v>21045.19</v>
      </c>
      <c r="G171" s="6">
        <v>21022.5</v>
      </c>
      <c r="H171" s="6">
        <v>21038.91</v>
      </c>
      <c r="I171" s="5">
        <v>44738</v>
      </c>
      <c r="J171" s="7">
        <f t="shared" si="14"/>
        <v>-3.2843906837378242E-4</v>
      </c>
      <c r="K171" s="5">
        <v>44738</v>
      </c>
      <c r="L171" s="8">
        <f t="shared" si="15"/>
        <v>1.0793197764299531E-3</v>
      </c>
      <c r="M171" s="5">
        <v>44738</v>
      </c>
      <c r="N171" s="9">
        <f t="shared" si="12"/>
        <v>7.5088070805617076E-4</v>
      </c>
      <c r="O171" s="5">
        <v>44738</v>
      </c>
      <c r="P171">
        <f t="shared" si="13"/>
        <v>1.0007805922226185</v>
      </c>
      <c r="Q171" s="6">
        <f t="shared" si="16"/>
        <v>1.0007806088749225</v>
      </c>
      <c r="R171">
        <f t="shared" si="17"/>
        <v>-1.663931528638166E-8</v>
      </c>
      <c r="T171" s="5">
        <v>44738</v>
      </c>
      <c r="U171" s="1">
        <v>-1.663931528638166E-8</v>
      </c>
    </row>
    <row r="172" spans="3:21" x14ac:dyDescent="0.2">
      <c r="C172" s="5">
        <v>44739</v>
      </c>
      <c r="D172" s="6">
        <v>0.99894000000000005</v>
      </c>
      <c r="E172" s="6">
        <v>20730.5</v>
      </c>
      <c r="F172" s="6">
        <v>20709.18</v>
      </c>
      <c r="G172" s="6">
        <v>20709</v>
      </c>
      <c r="H172" s="6">
        <v>20739.509999999998</v>
      </c>
      <c r="I172" s="5">
        <v>44739</v>
      </c>
      <c r="J172" s="7">
        <f t="shared" si="14"/>
        <v>-4.3443649343684592E-4</v>
      </c>
      <c r="K172" s="5">
        <v>44739</v>
      </c>
      <c r="L172" s="8">
        <f t="shared" si="15"/>
        <v>8.6918730986668142E-6</v>
      </c>
      <c r="M172" s="5">
        <v>44739</v>
      </c>
      <c r="N172" s="9">
        <f t="shared" si="12"/>
        <v>-4.2574462033817908E-4</v>
      </c>
      <c r="O172" s="5">
        <v>44739</v>
      </c>
      <c r="P172">
        <f t="shared" si="13"/>
        <v>1.0014732724902216</v>
      </c>
      <c r="Q172" s="6">
        <f t="shared" si="16"/>
        <v>1.0010611247922798</v>
      </c>
      <c r="R172">
        <f t="shared" si="17"/>
        <v>4.1162609173697176E-4</v>
      </c>
      <c r="T172" s="5">
        <v>44739</v>
      </c>
      <c r="U172" s="1">
        <v>4.1162609173697176E-4</v>
      </c>
    </row>
    <row r="173" spans="3:21" x14ac:dyDescent="0.2">
      <c r="C173" s="5">
        <v>44740</v>
      </c>
      <c r="D173" s="6">
        <v>0.99885999999999997</v>
      </c>
      <c r="E173" s="6">
        <v>20273.5</v>
      </c>
      <c r="F173" s="6">
        <v>20262.439999999999</v>
      </c>
      <c r="G173" s="6">
        <v>20250</v>
      </c>
      <c r="H173" s="6">
        <v>20280.400000000001</v>
      </c>
      <c r="I173" s="5">
        <v>44740</v>
      </c>
      <c r="J173" s="7">
        <f t="shared" si="14"/>
        <v>-3.4022997574019518E-4</v>
      </c>
      <c r="K173" s="5">
        <v>44740</v>
      </c>
      <c r="L173" s="8">
        <f t="shared" si="15"/>
        <v>6.1432098765425635E-4</v>
      </c>
      <c r="M173" s="5">
        <v>44740</v>
      </c>
      <c r="N173" s="9">
        <f t="shared" si="12"/>
        <v>2.7409101191406117E-4</v>
      </c>
      <c r="O173" s="5">
        <v>44740</v>
      </c>
      <c r="P173">
        <f t="shared" si="13"/>
        <v>1.0015012345679013</v>
      </c>
      <c r="Q173" s="6">
        <f t="shared" si="16"/>
        <v>1.0011413010832348</v>
      </c>
      <c r="R173">
        <f t="shared" si="17"/>
        <v>3.5945854752867718E-4</v>
      </c>
      <c r="T173" s="5">
        <v>44740</v>
      </c>
      <c r="U173" s="1">
        <v>3.5945854752867718E-4</v>
      </c>
    </row>
    <row r="174" spans="3:21" x14ac:dyDescent="0.2">
      <c r="C174" s="5">
        <v>44741</v>
      </c>
      <c r="D174" s="6">
        <v>0.99858000000000002</v>
      </c>
      <c r="E174" s="6">
        <v>20104.5</v>
      </c>
      <c r="F174" s="6">
        <v>20085.64</v>
      </c>
      <c r="G174" s="6">
        <v>20082.5</v>
      </c>
      <c r="H174" s="6">
        <v>20126</v>
      </c>
      <c r="I174" s="5">
        <v>44741</v>
      </c>
      <c r="J174" s="7">
        <f t="shared" si="14"/>
        <v>-1.0682698996323165E-3</v>
      </c>
      <c r="K174" s="5">
        <v>44741</v>
      </c>
      <c r="L174" s="8">
        <f t="shared" si="15"/>
        <v>1.5635503547862159E-4</v>
      </c>
      <c r="M174" s="5">
        <v>44741</v>
      </c>
      <c r="N174" s="9">
        <f t="shared" si="12"/>
        <v>-9.1191486415369489E-4</v>
      </c>
      <c r="O174" s="5">
        <v>44741</v>
      </c>
      <c r="P174">
        <f t="shared" si="13"/>
        <v>1.0021660649819495</v>
      </c>
      <c r="Q174" s="6">
        <f t="shared" si="16"/>
        <v>1.0014220192673595</v>
      </c>
      <c r="R174">
        <f t="shared" si="17"/>
        <v>7.4271328986419069E-4</v>
      </c>
      <c r="T174" s="5">
        <v>44741</v>
      </c>
      <c r="U174" s="1">
        <v>7.4271328986419069E-4</v>
      </c>
    </row>
    <row r="175" spans="3:21" x14ac:dyDescent="0.2">
      <c r="C175" s="5">
        <v>44742</v>
      </c>
      <c r="D175" s="6">
        <v>0.99897000000000002</v>
      </c>
      <c r="E175" s="6">
        <v>19925.5</v>
      </c>
      <c r="F175" s="6">
        <v>19966.57</v>
      </c>
      <c r="G175" s="6">
        <v>19916.5</v>
      </c>
      <c r="H175" s="6">
        <v>19947.96</v>
      </c>
      <c r="I175" s="5">
        <v>44742</v>
      </c>
      <c r="J175" s="7">
        <f t="shared" si="14"/>
        <v>-1.125929668998691E-3</v>
      </c>
      <c r="K175" s="5">
        <v>44742</v>
      </c>
      <c r="L175" s="8">
        <f t="shared" si="15"/>
        <v>2.5139959330203452E-3</v>
      </c>
      <c r="M175" s="5">
        <v>44742</v>
      </c>
      <c r="N175" s="9">
        <f t="shared" si="12"/>
        <v>1.3880662640216542E-3</v>
      </c>
      <c r="O175" s="5">
        <v>44742</v>
      </c>
      <c r="P175">
        <f t="shared" si="13"/>
        <v>1.0015795948083248</v>
      </c>
      <c r="Q175" s="6">
        <f t="shared" si="16"/>
        <v>1.0010310619938536</v>
      </c>
      <c r="R175">
        <f t="shared" si="17"/>
        <v>5.4781774612669898E-4</v>
      </c>
      <c r="T175" s="5">
        <v>44742</v>
      </c>
      <c r="U175" s="1">
        <v>5.4781774612669898E-4</v>
      </c>
    </row>
    <row r="176" spans="3:21" x14ac:dyDescent="0.2">
      <c r="C176" s="5">
        <v>44743</v>
      </c>
      <c r="D176" s="6">
        <v>0.99848999999999999</v>
      </c>
      <c r="E176" s="6">
        <v>19271</v>
      </c>
      <c r="F176" s="6">
        <v>19268.009999999998</v>
      </c>
      <c r="G176" s="6">
        <v>19245.5</v>
      </c>
      <c r="H176" s="6">
        <v>19281.8</v>
      </c>
      <c r="I176" s="5">
        <v>44743</v>
      </c>
      <c r="J176" s="7">
        <f t="shared" si="14"/>
        <v>-5.6011368233252457E-4</v>
      </c>
      <c r="K176" s="5">
        <v>44743</v>
      </c>
      <c r="L176" s="8">
        <f t="shared" si="15"/>
        <v>1.1696240679638565E-3</v>
      </c>
      <c r="M176" s="5">
        <v>44743</v>
      </c>
      <c r="N176" s="9">
        <f t="shared" si="12"/>
        <v>6.0951038563133195E-4</v>
      </c>
      <c r="O176" s="5">
        <v>44743</v>
      </c>
      <c r="P176">
        <f t="shared" si="13"/>
        <v>1.0018861552051128</v>
      </c>
      <c r="Q176" s="6">
        <f t="shared" si="16"/>
        <v>1.0015122835481578</v>
      </c>
      <c r="R176">
        <f t="shared" si="17"/>
        <v>3.7323744898981972E-4</v>
      </c>
      <c r="T176" s="5">
        <v>44743</v>
      </c>
      <c r="U176" s="1">
        <v>3.7323744898981972E-4</v>
      </c>
    </row>
    <row r="177" spans="3:21" x14ac:dyDescent="0.2">
      <c r="C177" s="5">
        <v>44744</v>
      </c>
      <c r="D177" s="6">
        <v>0.99870999999999999</v>
      </c>
      <c r="E177" s="6">
        <v>19246</v>
      </c>
      <c r="F177" s="6">
        <v>19253.97</v>
      </c>
      <c r="G177" s="6">
        <v>19212</v>
      </c>
      <c r="H177" s="6">
        <v>19251.740000000002</v>
      </c>
      <c r="I177" s="5">
        <v>44744</v>
      </c>
      <c r="J177" s="7">
        <f t="shared" si="14"/>
        <v>-2.9815486807953986E-4</v>
      </c>
      <c r="K177" s="5">
        <v>44744</v>
      </c>
      <c r="L177" s="8">
        <f t="shared" si="15"/>
        <v>2.1845721424110535E-3</v>
      </c>
      <c r="M177" s="5">
        <v>44744</v>
      </c>
      <c r="N177" s="9">
        <f t="shared" si="12"/>
        <v>1.8864172743315137E-3</v>
      </c>
      <c r="O177" s="5">
        <v>44744</v>
      </c>
      <c r="P177">
        <f t="shared" si="13"/>
        <v>1.0020684988548825</v>
      </c>
      <c r="Q177" s="6">
        <f t="shared" si="16"/>
        <v>1.0012916662494618</v>
      </c>
      <c r="R177">
        <f t="shared" si="17"/>
        <v>7.7552969045427921E-4</v>
      </c>
      <c r="T177" s="5">
        <v>44744</v>
      </c>
      <c r="U177" s="1">
        <v>7.7552969045427921E-4</v>
      </c>
    </row>
    <row r="178" spans="3:21" x14ac:dyDescent="0.2">
      <c r="C178" s="5">
        <v>44745</v>
      </c>
      <c r="D178" s="6">
        <v>0.99877000000000005</v>
      </c>
      <c r="E178" s="6">
        <v>19306</v>
      </c>
      <c r="F178" s="6">
        <v>19309.79</v>
      </c>
      <c r="G178" s="6">
        <v>19279.5</v>
      </c>
      <c r="H178" s="6">
        <v>19315.27</v>
      </c>
      <c r="I178" s="5">
        <v>44745</v>
      </c>
      <c r="J178" s="7">
        <f t="shared" si="14"/>
        <v>-4.7993116327136177E-4</v>
      </c>
      <c r="K178" s="5">
        <v>44745</v>
      </c>
      <c r="L178" s="8">
        <f t="shared" si="15"/>
        <v>1.5710988355507598E-3</v>
      </c>
      <c r="M178" s="5">
        <v>44745</v>
      </c>
      <c r="N178" s="9">
        <f t="shared" si="12"/>
        <v>1.091167672279398E-3</v>
      </c>
      <c r="O178" s="5">
        <v>44745</v>
      </c>
      <c r="P178">
        <f t="shared" si="13"/>
        <v>1.0018553385720586</v>
      </c>
      <c r="Q178" s="6">
        <f t="shared" si="16"/>
        <v>1.0012315147631587</v>
      </c>
      <c r="R178">
        <f t="shared" si="17"/>
        <v>6.2286248649603265E-4</v>
      </c>
      <c r="T178" s="5">
        <v>44745</v>
      </c>
      <c r="U178" s="1">
        <v>6.2286248649603265E-4</v>
      </c>
    </row>
    <row r="179" spans="3:21" x14ac:dyDescent="0.2">
      <c r="C179" s="5">
        <v>44746</v>
      </c>
      <c r="D179" s="6">
        <v>0.99866999999999995</v>
      </c>
      <c r="E179" s="6">
        <v>20220.5</v>
      </c>
      <c r="F179" s="6">
        <v>20220.849999999999</v>
      </c>
      <c r="G179" s="6">
        <v>20198.5</v>
      </c>
      <c r="H179" s="6">
        <v>20237.990000000002</v>
      </c>
      <c r="I179" s="5">
        <v>44746</v>
      </c>
      <c r="J179" s="7">
        <f t="shared" si="14"/>
        <v>-8.6421625863050623E-4</v>
      </c>
      <c r="K179" s="5">
        <v>44746</v>
      </c>
      <c r="L179" s="8">
        <f t="shared" si="15"/>
        <v>1.1065178107284475E-3</v>
      </c>
      <c r="M179" s="5">
        <v>44746</v>
      </c>
      <c r="N179" s="9">
        <f t="shared" si="12"/>
        <v>2.4230155209794125E-4</v>
      </c>
      <c r="O179" s="5">
        <v>44746</v>
      </c>
      <c r="P179">
        <f t="shared" si="13"/>
        <v>1.0019550956754215</v>
      </c>
      <c r="Q179" s="6">
        <f t="shared" si="16"/>
        <v>1.0013317712557703</v>
      </c>
      <c r="R179">
        <f t="shared" si="17"/>
        <v>6.2230172828092061E-4</v>
      </c>
      <c r="T179" s="5">
        <v>44746</v>
      </c>
      <c r="U179" s="1">
        <v>6.2230172828092061E-4</v>
      </c>
    </row>
    <row r="180" spans="3:21" x14ac:dyDescent="0.2">
      <c r="C180" s="5">
        <v>44747</v>
      </c>
      <c r="D180" s="6">
        <v>0.99875999999999998</v>
      </c>
      <c r="E180" s="6">
        <v>20170</v>
      </c>
      <c r="F180" s="6">
        <v>20147.63</v>
      </c>
      <c r="G180" s="6">
        <v>20142.5</v>
      </c>
      <c r="H180" s="6">
        <v>20174.349999999999</v>
      </c>
      <c r="I180" s="5">
        <v>44747</v>
      </c>
      <c r="J180" s="7">
        <f t="shared" si="14"/>
        <v>-2.1562032977511271E-4</v>
      </c>
      <c r="K180" s="5">
        <v>44747</v>
      </c>
      <c r="L180" s="8">
        <f t="shared" si="15"/>
        <v>2.546853667618726E-4</v>
      </c>
      <c r="M180" s="5">
        <v>44747</v>
      </c>
      <c r="N180" s="9">
        <f t="shared" si="12"/>
        <v>3.9065036986759893E-5</v>
      </c>
      <c r="O180" s="5">
        <v>44747</v>
      </c>
      <c r="P180">
        <f t="shared" si="13"/>
        <v>1.0015812337098176</v>
      </c>
      <c r="Q180" s="6">
        <f t="shared" si="16"/>
        <v>1.0012415395089911</v>
      </c>
      <c r="R180">
        <f t="shared" si="17"/>
        <v>3.3921543995401964E-4</v>
      </c>
      <c r="T180" s="5">
        <v>44747</v>
      </c>
      <c r="U180" s="1">
        <v>3.3921543995401964E-4</v>
      </c>
    </row>
    <row r="181" spans="3:21" x14ac:dyDescent="0.2">
      <c r="C181" s="5">
        <v>44748</v>
      </c>
      <c r="D181" s="6">
        <v>0.99882000000000004</v>
      </c>
      <c r="E181" s="6">
        <v>20556.5</v>
      </c>
      <c r="F181" s="6">
        <v>20541.18</v>
      </c>
      <c r="G181" s="6">
        <v>20532.5</v>
      </c>
      <c r="H181" s="6">
        <v>20564.05</v>
      </c>
      <c r="I181" s="5">
        <v>44748</v>
      </c>
      <c r="J181" s="7">
        <f t="shared" si="14"/>
        <v>-3.6714557686833444E-4</v>
      </c>
      <c r="K181" s="5">
        <v>44748</v>
      </c>
      <c r="L181" s="8">
        <f t="shared" si="15"/>
        <v>4.227444295629023E-4</v>
      </c>
      <c r="M181" s="5">
        <v>44748</v>
      </c>
      <c r="N181" s="9">
        <f t="shared" si="12"/>
        <v>5.559885269456786E-5</v>
      </c>
      <c r="O181" s="5">
        <v>44748</v>
      </c>
      <c r="P181">
        <f t="shared" si="13"/>
        <v>1.0015365883355656</v>
      </c>
      <c r="Q181" s="6">
        <f t="shared" si="16"/>
        <v>1.001181394044973</v>
      </c>
      <c r="R181">
        <f t="shared" si="17"/>
        <v>3.5471224350289003E-4</v>
      </c>
      <c r="T181" s="5">
        <v>44748</v>
      </c>
      <c r="U181" s="1">
        <v>3.5471224350289003E-4</v>
      </c>
    </row>
    <row r="182" spans="3:21" x14ac:dyDescent="0.2">
      <c r="C182" s="5">
        <v>44749</v>
      </c>
      <c r="D182" s="6">
        <v>0.99941000000000002</v>
      </c>
      <c r="E182" s="6">
        <v>21596</v>
      </c>
      <c r="F182" s="6">
        <v>21604.92</v>
      </c>
      <c r="G182" s="6">
        <v>21601</v>
      </c>
      <c r="H182" s="6">
        <v>21618.7</v>
      </c>
      <c r="I182" s="5">
        <v>44749</v>
      </c>
      <c r="J182" s="7">
        <f t="shared" si="14"/>
        <v>-1.0500168835314207E-3</v>
      </c>
      <c r="K182" s="5">
        <v>44749</v>
      </c>
      <c r="L182" s="8">
        <f t="shared" si="15"/>
        <v>1.8147307994992147E-4</v>
      </c>
      <c r="M182" s="5">
        <v>44749</v>
      </c>
      <c r="N182" s="9">
        <f t="shared" si="12"/>
        <v>-8.6854380358149924E-4</v>
      </c>
      <c r="O182" s="5">
        <v>44749</v>
      </c>
      <c r="P182">
        <f t="shared" si="13"/>
        <v>1.000819406508958</v>
      </c>
      <c r="Q182" s="6">
        <f t="shared" si="16"/>
        <v>1.0005903483055003</v>
      </c>
      <c r="R182">
        <f t="shared" si="17"/>
        <v>2.2889686023248119E-4</v>
      </c>
      <c r="T182" s="5">
        <v>44749</v>
      </c>
      <c r="U182" s="1">
        <v>2.2889686023248119E-4</v>
      </c>
    </row>
    <row r="183" spans="3:21" x14ac:dyDescent="0.2">
      <c r="C183" s="5">
        <v>44750</v>
      </c>
      <c r="D183" s="6">
        <v>0.99924000000000002</v>
      </c>
      <c r="E183" s="6">
        <v>21590</v>
      </c>
      <c r="F183" s="6">
        <v>21589.040000000001</v>
      </c>
      <c r="G183" s="6">
        <v>21571</v>
      </c>
      <c r="H183" s="6">
        <v>21593.13</v>
      </c>
      <c r="I183" s="5">
        <v>44750</v>
      </c>
      <c r="J183" s="7">
        <f t="shared" si="14"/>
        <v>-1.449535106768226E-4</v>
      </c>
      <c r="K183" s="5">
        <v>44750</v>
      </c>
      <c r="L183" s="8">
        <f t="shared" si="15"/>
        <v>8.363080061193674E-4</v>
      </c>
      <c r="M183" s="5">
        <v>44750</v>
      </c>
      <c r="N183" s="9">
        <f t="shared" si="12"/>
        <v>6.9135449544254477E-4</v>
      </c>
      <c r="O183" s="5">
        <v>44750</v>
      </c>
      <c r="P183">
        <f t="shared" si="13"/>
        <v>1.0010259144221407</v>
      </c>
      <c r="Q183" s="6">
        <f t="shared" si="16"/>
        <v>1.0007605780393098</v>
      </c>
      <c r="R183">
        <f t="shared" si="17"/>
        <v>2.6509958517969943E-4</v>
      </c>
      <c r="T183" s="5">
        <v>44750</v>
      </c>
      <c r="U183" s="1">
        <v>2.6509958517969943E-4</v>
      </c>
    </row>
    <row r="184" spans="3:21" x14ac:dyDescent="0.2">
      <c r="C184" s="5">
        <v>44751</v>
      </c>
      <c r="D184" s="6">
        <v>0.99965000000000004</v>
      </c>
      <c r="E184" s="6">
        <v>21588</v>
      </c>
      <c r="F184" s="6">
        <v>21602.29</v>
      </c>
      <c r="G184" s="6">
        <v>21572</v>
      </c>
      <c r="H184" s="6">
        <v>21590.240000000002</v>
      </c>
      <c r="I184" s="5">
        <v>44751</v>
      </c>
      <c r="J184" s="7">
        <f t="shared" si="14"/>
        <v>-1.0375058359710687E-4</v>
      </c>
      <c r="K184" s="5">
        <v>44751</v>
      </c>
      <c r="L184" s="8">
        <f t="shared" si="15"/>
        <v>1.4041349898016352E-3</v>
      </c>
      <c r="M184" s="5">
        <v>44751</v>
      </c>
      <c r="N184" s="9">
        <f t="shared" si="12"/>
        <v>1.3003844062045283E-3</v>
      </c>
      <c r="O184" s="5">
        <v>44751</v>
      </c>
      <c r="P184">
        <f t="shared" si="13"/>
        <v>1.0008455405154832</v>
      </c>
      <c r="Q184" s="6">
        <f t="shared" si="16"/>
        <v>1.0003501225428899</v>
      </c>
      <c r="R184">
        <f t="shared" si="17"/>
        <v>4.9512198318177022E-4</v>
      </c>
      <c r="T184" s="5">
        <v>44751</v>
      </c>
      <c r="U184" s="1">
        <v>4.9512198318177022E-4</v>
      </c>
    </row>
    <row r="185" spans="3:21" x14ac:dyDescent="0.2">
      <c r="C185" s="5">
        <v>44752</v>
      </c>
      <c r="D185" s="6">
        <v>0.99960000000000004</v>
      </c>
      <c r="E185" s="6">
        <v>20849</v>
      </c>
      <c r="F185" s="6">
        <v>20855.23</v>
      </c>
      <c r="G185" s="6">
        <v>20836.5</v>
      </c>
      <c r="H185" s="6">
        <v>20861.22</v>
      </c>
      <c r="I185" s="5">
        <v>44752</v>
      </c>
      <c r="J185" s="7">
        <f t="shared" si="14"/>
        <v>-5.8577590380625691E-4</v>
      </c>
      <c r="K185" s="5">
        <v>44752</v>
      </c>
      <c r="L185" s="8">
        <f t="shared" si="15"/>
        <v>8.9890336668824243E-4</v>
      </c>
      <c r="M185" s="5">
        <v>44752</v>
      </c>
      <c r="N185" s="9">
        <f t="shared" si="12"/>
        <v>3.1312746288198552E-4</v>
      </c>
      <c r="O185" s="5">
        <v>44752</v>
      </c>
      <c r="P185">
        <f t="shared" si="13"/>
        <v>1.0011863796702902</v>
      </c>
      <c r="Q185" s="6">
        <f t="shared" si="16"/>
        <v>1.0004001600640255</v>
      </c>
      <c r="R185">
        <f t="shared" si="17"/>
        <v>7.8559645670329612E-4</v>
      </c>
      <c r="T185" s="5">
        <v>44752</v>
      </c>
      <c r="U185" s="1">
        <v>7.8559645670329612E-4</v>
      </c>
    </row>
    <row r="186" spans="3:21" x14ac:dyDescent="0.2">
      <c r="C186" s="5">
        <v>44753</v>
      </c>
      <c r="D186" s="6">
        <v>0.99885999999999997</v>
      </c>
      <c r="E186" s="6">
        <v>19959.5</v>
      </c>
      <c r="F186" s="6">
        <v>19953.919999999998</v>
      </c>
      <c r="G186" s="6">
        <v>19933</v>
      </c>
      <c r="H186" s="6">
        <v>19962.689999999999</v>
      </c>
      <c r="I186" s="5">
        <v>44753</v>
      </c>
      <c r="J186" s="7">
        <f t="shared" si="14"/>
        <v>-1.5979810336175587E-4</v>
      </c>
      <c r="K186" s="5">
        <v>44753</v>
      </c>
      <c r="L186" s="8">
        <f t="shared" si="15"/>
        <v>1.0495158781918554E-3</v>
      </c>
      <c r="M186" s="5">
        <v>44753</v>
      </c>
      <c r="N186" s="9">
        <f t="shared" si="12"/>
        <v>8.8971777483009954E-4</v>
      </c>
      <c r="O186" s="5">
        <v>44753</v>
      </c>
      <c r="P186">
        <f t="shared" si="13"/>
        <v>1.0014894897907991</v>
      </c>
      <c r="Q186" s="6">
        <f t="shared" si="16"/>
        <v>1.0011413010832348</v>
      </c>
      <c r="R186">
        <f t="shared" si="17"/>
        <v>3.4773130689842854E-4</v>
      </c>
      <c r="T186" s="5">
        <v>44753</v>
      </c>
      <c r="U186" s="1">
        <v>3.4773130689842854E-4</v>
      </c>
    </row>
    <row r="187" spans="3:21" x14ac:dyDescent="0.2">
      <c r="C187" s="5">
        <v>44754</v>
      </c>
      <c r="D187" s="6">
        <v>0.99895</v>
      </c>
      <c r="E187" s="6">
        <v>19323.5</v>
      </c>
      <c r="F187" s="6">
        <v>19322.14</v>
      </c>
      <c r="G187" s="6">
        <v>19301</v>
      </c>
      <c r="H187" s="6">
        <v>19332.71</v>
      </c>
      <c r="I187" s="5">
        <v>44754</v>
      </c>
      <c r="J187" s="7">
        <f t="shared" si="14"/>
        <v>-4.7639466996603826E-4</v>
      </c>
      <c r="K187" s="5">
        <v>44754</v>
      </c>
      <c r="L187" s="8">
        <f t="shared" si="15"/>
        <v>1.0952800373037364E-3</v>
      </c>
      <c r="M187" s="5">
        <v>44754</v>
      </c>
      <c r="N187" s="9">
        <f t="shared" si="12"/>
        <v>6.1888536733769814E-4</v>
      </c>
      <c r="O187" s="5">
        <v>44754</v>
      </c>
      <c r="P187">
        <f t="shared" si="13"/>
        <v>1.0016429200559556</v>
      </c>
      <c r="Q187" s="6">
        <f t="shared" si="16"/>
        <v>1.0010511036588419</v>
      </c>
      <c r="R187">
        <f t="shared" si="17"/>
        <v>5.9102030298460284E-4</v>
      </c>
      <c r="T187" s="5">
        <v>44754</v>
      </c>
      <c r="U187" s="1">
        <v>5.9102030298460284E-4</v>
      </c>
    </row>
    <row r="188" spans="3:21" x14ac:dyDescent="0.2">
      <c r="C188" s="5">
        <v>44755</v>
      </c>
      <c r="D188" s="6">
        <v>0.99936000000000003</v>
      </c>
      <c r="E188" s="6">
        <v>20215.5</v>
      </c>
      <c r="F188" s="6">
        <v>20238.68</v>
      </c>
      <c r="G188" s="6">
        <v>20207.5</v>
      </c>
      <c r="H188" s="6">
        <v>20239.13</v>
      </c>
      <c r="I188" s="5">
        <v>44755</v>
      </c>
      <c r="J188" s="7">
        <f t="shared" si="14"/>
        <v>-1.1675403043510772E-3</v>
      </c>
      <c r="K188" s="5">
        <v>44755</v>
      </c>
      <c r="L188" s="8">
        <f t="shared" si="15"/>
        <v>1.5429914635655222E-3</v>
      </c>
      <c r="M188" s="5">
        <v>44755</v>
      </c>
      <c r="N188" s="9">
        <f t="shared" si="12"/>
        <v>3.7545115921444497E-4</v>
      </c>
      <c r="O188" s="5">
        <v>44755</v>
      </c>
      <c r="P188">
        <f t="shared" si="13"/>
        <v>1.0015652604231102</v>
      </c>
      <c r="Q188" s="6">
        <f t="shared" si="16"/>
        <v>1.0006404098623118</v>
      </c>
      <c r="R188">
        <f t="shared" si="17"/>
        <v>9.2383179240912504E-4</v>
      </c>
      <c r="T188" s="5">
        <v>44755</v>
      </c>
      <c r="U188" s="1">
        <v>9.2383179240912504E-4</v>
      </c>
    </row>
    <row r="189" spans="3:21" x14ac:dyDescent="0.2">
      <c r="C189" s="5">
        <v>44756</v>
      </c>
      <c r="D189" s="6">
        <v>0.99907999999999997</v>
      </c>
      <c r="E189" s="6">
        <v>20583</v>
      </c>
      <c r="F189" s="6">
        <v>20566.75</v>
      </c>
      <c r="G189" s="6">
        <v>20564.5</v>
      </c>
      <c r="H189" s="6">
        <v>20591.150000000001</v>
      </c>
      <c r="I189" s="5">
        <v>44756</v>
      </c>
      <c r="J189" s="7">
        <f t="shared" si="14"/>
        <v>-3.9580110872882064E-4</v>
      </c>
      <c r="K189" s="5">
        <v>44756</v>
      </c>
      <c r="L189" s="8">
        <f t="shared" si="15"/>
        <v>1.0941185051909844E-4</v>
      </c>
      <c r="M189" s="5">
        <v>44756</v>
      </c>
      <c r="N189" s="9">
        <f t="shared" si="12"/>
        <v>-2.8638925820972222E-4</v>
      </c>
      <c r="O189" s="5">
        <v>44756</v>
      </c>
      <c r="P189">
        <f t="shared" si="13"/>
        <v>1.0012959225850373</v>
      </c>
      <c r="Q189" s="6">
        <f t="shared" si="16"/>
        <v>1.0009208471794051</v>
      </c>
      <c r="R189">
        <f t="shared" si="17"/>
        <v>3.7466014238196762E-4</v>
      </c>
      <c r="T189" s="5">
        <v>44756</v>
      </c>
      <c r="U189" s="1">
        <v>3.7466014238196762E-4</v>
      </c>
    </row>
    <row r="190" spans="3:21" x14ac:dyDescent="0.2">
      <c r="C190" s="5">
        <v>44757</v>
      </c>
      <c r="D190" s="6">
        <v>0.99963000000000002</v>
      </c>
      <c r="E190" s="6">
        <v>20822.5</v>
      </c>
      <c r="F190" s="6">
        <v>20830.900000000001</v>
      </c>
      <c r="G190" s="6">
        <v>20822.5</v>
      </c>
      <c r="H190" s="6">
        <v>20832.45</v>
      </c>
      <c r="I190" s="5">
        <v>44757</v>
      </c>
      <c r="J190" s="7">
        <f t="shared" si="14"/>
        <v>-4.776202510986815E-4</v>
      </c>
      <c r="K190" s="5">
        <v>44757</v>
      </c>
      <c r="L190" s="8">
        <f t="shared" si="15"/>
        <v>4.0340977308207251E-4</v>
      </c>
      <c r="M190" s="5">
        <v>44757</v>
      </c>
      <c r="N190" s="9">
        <f t="shared" si="12"/>
        <v>-7.4210478016608998E-5</v>
      </c>
      <c r="O190" s="5">
        <v>44757</v>
      </c>
      <c r="P190">
        <f t="shared" si="13"/>
        <v>1.0004778484812102</v>
      </c>
      <c r="Q190" s="6">
        <f t="shared" si="16"/>
        <v>1.0003701369506717</v>
      </c>
      <c r="R190">
        <f t="shared" si="17"/>
        <v>1.0766588109333434E-4</v>
      </c>
      <c r="T190" s="5">
        <v>44757</v>
      </c>
      <c r="U190" s="1">
        <v>1.0766588109333434E-4</v>
      </c>
    </row>
    <row r="191" spans="3:21" x14ac:dyDescent="0.2">
      <c r="C191" s="5">
        <v>44758</v>
      </c>
      <c r="D191" s="6">
        <v>0.99987999999999999</v>
      </c>
      <c r="E191" s="6">
        <v>21190.5</v>
      </c>
      <c r="F191" s="6">
        <v>21177.599999999999</v>
      </c>
      <c r="G191" s="6">
        <v>21187</v>
      </c>
      <c r="H191" s="6">
        <v>21196.23</v>
      </c>
      <c r="I191" s="5">
        <v>44758</v>
      </c>
      <c r="J191" s="7">
        <f t="shared" si="14"/>
        <v>-2.7033109189698184E-4</v>
      </c>
      <c r="K191" s="5">
        <v>44758</v>
      </c>
      <c r="L191" s="8">
        <f t="shared" si="15"/>
        <v>-4.4366828715728773E-4</v>
      </c>
      <c r="M191" s="5">
        <v>44758</v>
      </c>
      <c r="N191" s="9">
        <f t="shared" si="12"/>
        <v>-7.1399937905426963E-4</v>
      </c>
      <c r="O191" s="5">
        <v>44758</v>
      </c>
      <c r="P191">
        <f t="shared" si="13"/>
        <v>1.0004356444989853</v>
      </c>
      <c r="Q191" s="6">
        <f t="shared" si="16"/>
        <v>1.0001200144017282</v>
      </c>
      <c r="R191">
        <f t="shared" si="17"/>
        <v>3.155424328951823E-4</v>
      </c>
      <c r="T191" s="5">
        <v>44758</v>
      </c>
      <c r="U191" s="1">
        <v>3.155424328951823E-4</v>
      </c>
    </row>
    <row r="192" spans="3:21" x14ac:dyDescent="0.2">
      <c r="C192" s="5">
        <v>44759</v>
      </c>
      <c r="D192" s="6">
        <v>0.99970999999999999</v>
      </c>
      <c r="E192" s="6">
        <v>20799</v>
      </c>
      <c r="F192" s="6">
        <v>20784.759999999998</v>
      </c>
      <c r="G192" s="6">
        <v>20779.5</v>
      </c>
      <c r="H192" s="6">
        <v>20801.77</v>
      </c>
      <c r="I192" s="5">
        <v>44759</v>
      </c>
      <c r="J192" s="7">
        <f t="shared" si="14"/>
        <v>-1.3316174537072743E-4</v>
      </c>
      <c r="K192" s="5">
        <v>44759</v>
      </c>
      <c r="L192" s="8">
        <f t="shared" si="15"/>
        <v>2.5313409851047421E-4</v>
      </c>
      <c r="M192" s="5">
        <v>44759</v>
      </c>
      <c r="N192" s="9">
        <f t="shared" si="12"/>
        <v>1.1997235313974678E-4</v>
      </c>
      <c r="O192" s="5">
        <v>44759</v>
      </c>
      <c r="P192">
        <f t="shared" si="13"/>
        <v>1.0010717293486369</v>
      </c>
      <c r="Q192" s="6">
        <f t="shared" si="16"/>
        <v>1.000290084124396</v>
      </c>
      <c r="R192">
        <f t="shared" si="17"/>
        <v>7.811133986083314E-4</v>
      </c>
      <c r="T192" s="5">
        <v>44759</v>
      </c>
      <c r="U192" s="1">
        <v>7.811133986083314E-4</v>
      </c>
    </row>
    <row r="193" spans="3:21" x14ac:dyDescent="0.2">
      <c r="C193" s="5">
        <v>44760</v>
      </c>
      <c r="D193" s="6">
        <v>1.0000100000000001</v>
      </c>
      <c r="E193" s="6">
        <v>22423</v>
      </c>
      <c r="F193" s="6">
        <v>22432.74</v>
      </c>
      <c r="G193" s="6">
        <v>22425.5</v>
      </c>
      <c r="H193" s="6">
        <v>22440</v>
      </c>
      <c r="I193" s="5">
        <v>44760</v>
      </c>
      <c r="J193" s="7">
        <f t="shared" si="14"/>
        <v>-7.5757575757575758E-4</v>
      </c>
      <c r="K193" s="5">
        <v>44760</v>
      </c>
      <c r="L193" s="8">
        <f t="shared" si="15"/>
        <v>3.2284675926965291E-4</v>
      </c>
      <c r="M193" s="5">
        <v>44760</v>
      </c>
      <c r="N193" s="9">
        <f t="shared" si="12"/>
        <v>-4.3472899830610467E-4</v>
      </c>
      <c r="O193" s="5">
        <v>44760</v>
      </c>
      <c r="P193">
        <f t="shared" si="13"/>
        <v>1.0006465853604156</v>
      </c>
      <c r="Q193" s="6">
        <f t="shared" si="16"/>
        <v>0.99999000009999894</v>
      </c>
      <c r="R193">
        <f t="shared" si="17"/>
        <v>6.5637636416476558E-4</v>
      </c>
      <c r="T193" s="5">
        <v>44760</v>
      </c>
      <c r="U193" s="1">
        <v>6.5637636416476558E-4</v>
      </c>
    </row>
    <row r="194" spans="3:21" x14ac:dyDescent="0.2">
      <c r="C194" s="5">
        <v>44761</v>
      </c>
      <c r="D194" s="6">
        <v>0.99990000000000001</v>
      </c>
      <c r="E194" s="6">
        <v>23385.5</v>
      </c>
      <c r="F194" s="6">
        <v>23400.65</v>
      </c>
      <c r="G194" s="6">
        <v>23391</v>
      </c>
      <c r="H194" s="6">
        <v>23398.06</v>
      </c>
      <c r="I194" s="5">
        <v>44761</v>
      </c>
      <c r="J194" s="7">
        <f t="shared" si="14"/>
        <v>-5.3679664040528607E-4</v>
      </c>
      <c r="K194" s="5">
        <v>44761</v>
      </c>
      <c r="L194" s="8">
        <f t="shared" si="15"/>
        <v>4.1255183617636934E-4</v>
      </c>
      <c r="M194" s="5">
        <v>44761</v>
      </c>
      <c r="N194" s="9">
        <f t="shared" si="12"/>
        <v>-1.2424480422891672E-4</v>
      </c>
      <c r="O194" s="5">
        <v>44761</v>
      </c>
      <c r="P194">
        <f t="shared" si="13"/>
        <v>1.0003018254884357</v>
      </c>
      <c r="Q194" s="6">
        <f t="shared" si="16"/>
        <v>1.000100010001</v>
      </c>
      <c r="R194">
        <f t="shared" si="17"/>
        <v>2.0177494795301448E-4</v>
      </c>
      <c r="T194" s="5">
        <v>44761</v>
      </c>
      <c r="U194" s="1">
        <v>2.0177494795301448E-4</v>
      </c>
    </row>
    <row r="195" spans="3:21" x14ac:dyDescent="0.2">
      <c r="C195" s="5">
        <v>44762</v>
      </c>
      <c r="D195" s="6">
        <v>1.00004</v>
      </c>
      <c r="E195" s="6">
        <v>23220</v>
      </c>
      <c r="F195" s="6">
        <v>23226.05</v>
      </c>
      <c r="G195" s="6">
        <v>23218</v>
      </c>
      <c r="H195" s="6">
        <v>23219.63</v>
      </c>
      <c r="I195" s="5">
        <v>44762</v>
      </c>
      <c r="J195" s="7">
        <f t="shared" si="14"/>
        <v>1.5934793103894479E-5</v>
      </c>
      <c r="K195" s="5">
        <v>44762</v>
      </c>
      <c r="L195" s="8">
        <f t="shared" si="15"/>
        <v>3.4671375656814853E-4</v>
      </c>
      <c r="M195" s="5">
        <v>44762</v>
      </c>
      <c r="N195" s="9">
        <f t="shared" si="12"/>
        <v>3.6264854967204299E-4</v>
      </c>
      <c r="O195" s="5">
        <v>44762</v>
      </c>
      <c r="P195">
        <f t="shared" si="13"/>
        <v>1.0000702041519511</v>
      </c>
      <c r="Q195" s="6">
        <f t="shared" si="16"/>
        <v>0.99996000159993592</v>
      </c>
      <c r="R195">
        <f t="shared" si="17"/>
        <v>1.1020088777643014E-4</v>
      </c>
      <c r="T195" s="5">
        <v>44762</v>
      </c>
      <c r="U195" s="1">
        <v>1.1020088777643014E-4</v>
      </c>
    </row>
    <row r="196" spans="3:21" x14ac:dyDescent="0.2">
      <c r="C196" s="5">
        <v>44763</v>
      </c>
      <c r="D196" s="6">
        <v>1.0003200000000001</v>
      </c>
      <c r="E196" s="6">
        <v>23143.5</v>
      </c>
      <c r="F196" s="6">
        <v>23157.37</v>
      </c>
      <c r="G196" s="6">
        <v>23139</v>
      </c>
      <c r="H196" s="6">
        <v>23147.78</v>
      </c>
      <c r="I196" s="5">
        <v>44763</v>
      </c>
      <c r="J196" s="7">
        <f t="shared" si="14"/>
        <v>-1.8489894063270155E-4</v>
      </c>
      <c r="K196" s="5">
        <v>44763</v>
      </c>
      <c r="L196" s="8">
        <f t="shared" si="15"/>
        <v>7.9389774839011974E-4</v>
      </c>
      <c r="M196" s="5">
        <v>44763</v>
      </c>
      <c r="N196" s="9">
        <f t="shared" si="12"/>
        <v>6.0899880775741816E-4</v>
      </c>
      <c r="O196" s="5">
        <v>44763</v>
      </c>
      <c r="P196">
        <f t="shared" si="13"/>
        <v>1.0003794459570423</v>
      </c>
      <c r="Q196" s="6">
        <f t="shared" si="16"/>
        <v>0.99968010236724236</v>
      </c>
      <c r="R196">
        <f t="shared" si="17"/>
        <v>6.9932279655097736E-4</v>
      </c>
      <c r="T196" s="5">
        <v>44763</v>
      </c>
      <c r="U196" s="1">
        <v>6.9932279655097736E-4</v>
      </c>
    </row>
    <row r="197" spans="3:21" x14ac:dyDescent="0.2">
      <c r="C197" s="5">
        <v>44764</v>
      </c>
      <c r="D197" s="6">
        <v>1.00013</v>
      </c>
      <c r="E197" s="6">
        <v>22676.5</v>
      </c>
      <c r="F197" s="6">
        <v>22720.58</v>
      </c>
      <c r="G197" s="6">
        <v>22675</v>
      </c>
      <c r="H197" s="6">
        <v>22687.01</v>
      </c>
      <c r="I197" s="5">
        <v>44764</v>
      </c>
      <c r="J197" s="7">
        <f t="shared" si="14"/>
        <v>-4.6326069411519632E-4</v>
      </c>
      <c r="K197" s="5">
        <v>44764</v>
      </c>
      <c r="L197" s="8">
        <f t="shared" si="15"/>
        <v>2.0101433296582909E-3</v>
      </c>
      <c r="M197" s="5">
        <v>44764</v>
      </c>
      <c r="N197" s="9">
        <f t="shared" si="12"/>
        <v>1.5468826355430946E-3</v>
      </c>
      <c r="O197" s="5">
        <v>44764</v>
      </c>
      <c r="P197">
        <f t="shared" si="13"/>
        <v>1.0005296582138918</v>
      </c>
      <c r="Q197" s="6">
        <f t="shared" si="16"/>
        <v>0.9998700168978033</v>
      </c>
      <c r="R197">
        <f t="shared" si="17"/>
        <v>6.5950954522245287E-4</v>
      </c>
      <c r="T197" s="5">
        <v>44764</v>
      </c>
      <c r="U197" s="1">
        <v>6.5950954522245287E-4</v>
      </c>
    </row>
    <row r="198" spans="3:21" x14ac:dyDescent="0.2">
      <c r="C198" s="5">
        <v>44765</v>
      </c>
      <c r="D198" s="6">
        <v>0.99987999999999999</v>
      </c>
      <c r="E198" s="6">
        <v>22434.5</v>
      </c>
      <c r="F198" s="6">
        <v>22474.41</v>
      </c>
      <c r="G198" s="6">
        <v>22432.5</v>
      </c>
      <c r="H198" s="6">
        <v>22452.400000000001</v>
      </c>
      <c r="I198" s="5">
        <v>44765</v>
      </c>
      <c r="J198" s="7">
        <f t="shared" si="14"/>
        <v>-7.9724216564828056E-4</v>
      </c>
      <c r="K198" s="5">
        <v>44765</v>
      </c>
      <c r="L198" s="8">
        <f t="shared" si="15"/>
        <v>1.8682714811099901E-3</v>
      </c>
      <c r="M198" s="5">
        <v>44765</v>
      </c>
      <c r="N198" s="9">
        <f t="shared" si="12"/>
        <v>1.0710293154617095E-3</v>
      </c>
      <c r="O198" s="5">
        <v>44765</v>
      </c>
      <c r="P198">
        <f t="shared" si="13"/>
        <v>1.0008871057617297</v>
      </c>
      <c r="Q198" s="6">
        <f t="shared" si="16"/>
        <v>1.0001200144017282</v>
      </c>
      <c r="R198">
        <f t="shared" si="17"/>
        <v>7.6670531538721093E-4</v>
      </c>
      <c r="T198" s="5">
        <v>44765</v>
      </c>
      <c r="U198" s="1">
        <v>7.6670531538721093E-4</v>
      </c>
    </row>
    <row r="199" spans="3:21" x14ac:dyDescent="0.2">
      <c r="C199" s="5">
        <v>44766</v>
      </c>
      <c r="D199" s="6">
        <v>1.00003</v>
      </c>
      <c r="E199" s="6">
        <v>22573.5</v>
      </c>
      <c r="F199" s="6">
        <v>22589.52</v>
      </c>
      <c r="G199" s="6">
        <v>22566.5</v>
      </c>
      <c r="H199" s="6">
        <v>22581.53</v>
      </c>
      <c r="I199" s="5">
        <v>44766</v>
      </c>
      <c r="J199" s="7">
        <f t="shared" si="14"/>
        <v>-3.5560035126046979E-4</v>
      </c>
      <c r="K199" s="5">
        <v>44766</v>
      </c>
      <c r="L199" s="8">
        <f t="shared" si="15"/>
        <v>1.0200961602375397E-3</v>
      </c>
      <c r="M199" s="5">
        <v>44766</v>
      </c>
      <c r="N199" s="9">
        <f t="shared" si="12"/>
        <v>6.6449580897706988E-4</v>
      </c>
      <c r="O199" s="5">
        <v>44766</v>
      </c>
      <c r="P199">
        <f t="shared" si="13"/>
        <v>1.0006660315068796</v>
      </c>
      <c r="Q199" s="6">
        <f t="shared" si="16"/>
        <v>0.99997000089997301</v>
      </c>
      <c r="R199">
        <f t="shared" si="17"/>
        <v>6.958093563386549E-4</v>
      </c>
      <c r="T199" s="5">
        <v>44766</v>
      </c>
      <c r="U199" s="1">
        <v>6.958093563386549E-4</v>
      </c>
    </row>
    <row r="200" spans="3:21" x14ac:dyDescent="0.2">
      <c r="C200" s="5">
        <v>44767</v>
      </c>
      <c r="D200" s="6">
        <v>1.0001899999999999</v>
      </c>
      <c r="E200" s="6">
        <v>21301</v>
      </c>
      <c r="F200" s="6">
        <v>21323.81</v>
      </c>
      <c r="G200" s="6">
        <v>21301</v>
      </c>
      <c r="H200" s="6">
        <v>21312.66</v>
      </c>
      <c r="I200" s="5">
        <v>44767</v>
      </c>
      <c r="J200" s="7">
        <f t="shared" si="14"/>
        <v>-5.470926669875958E-4</v>
      </c>
      <c r="K200" s="5">
        <v>44767</v>
      </c>
      <c r="L200" s="8">
        <f t="shared" si="15"/>
        <v>1.0708417445190982E-3</v>
      </c>
      <c r="M200" s="5">
        <v>44767</v>
      </c>
      <c r="N200" s="9">
        <f t="shared" ref="N200:N263" si="18">J200+L200</f>
        <v>5.2374907753150238E-4</v>
      </c>
      <c r="O200" s="5">
        <v>44767</v>
      </c>
      <c r="P200">
        <f t="shared" ref="P200:P263" si="19">(1/G200)*H200</f>
        <v>1.000547392141214</v>
      </c>
      <c r="Q200" s="6">
        <f t="shared" si="16"/>
        <v>0.99981003609314234</v>
      </c>
      <c r="R200">
        <f t="shared" si="17"/>
        <v>7.3722432907251769E-4</v>
      </c>
      <c r="T200" s="5">
        <v>44767</v>
      </c>
      <c r="U200" s="1">
        <v>7.3722432907251769E-4</v>
      </c>
    </row>
    <row r="201" spans="3:21" x14ac:dyDescent="0.2">
      <c r="C201" s="5">
        <v>44768</v>
      </c>
      <c r="D201" s="6">
        <v>1.00017</v>
      </c>
      <c r="E201" s="6">
        <v>21232</v>
      </c>
      <c r="F201" s="6">
        <v>21262.14</v>
      </c>
      <c r="G201" s="6">
        <v>21237</v>
      </c>
      <c r="H201" s="6">
        <v>21248.22</v>
      </c>
      <c r="I201" s="5">
        <v>44768</v>
      </c>
      <c r="J201" s="7">
        <f t="shared" ref="J201:J264" si="20">(E201-H201)/H201</f>
        <v>-7.6335806011050165E-4</v>
      </c>
      <c r="K201" s="5">
        <v>44768</v>
      </c>
      <c r="L201" s="8">
        <f t="shared" ref="L201:L264" si="21">(F201-G201)/G201</f>
        <v>1.1837830202005659E-3</v>
      </c>
      <c r="M201" s="5">
        <v>44768</v>
      </c>
      <c r="N201" s="9">
        <f t="shared" si="18"/>
        <v>4.2042496009006428E-4</v>
      </c>
      <c r="O201" s="5">
        <v>44768</v>
      </c>
      <c r="P201">
        <f t="shared" si="19"/>
        <v>1.000528323209493</v>
      </c>
      <c r="Q201" s="6">
        <f t="shared" ref="Q201:Q264" si="22">1/D201</f>
        <v>0.99983002889508787</v>
      </c>
      <c r="R201">
        <f t="shared" ref="R201:R264" si="23">LN(P201/Q201)</f>
        <v>6.9816924756019056E-4</v>
      </c>
      <c r="T201" s="5">
        <v>44768</v>
      </c>
      <c r="U201" s="1">
        <v>6.9816924756019056E-4</v>
      </c>
    </row>
    <row r="202" spans="3:21" x14ac:dyDescent="0.2">
      <c r="C202" s="5">
        <v>44769</v>
      </c>
      <c r="D202" s="6">
        <v>1.0002800000000001</v>
      </c>
      <c r="E202" s="6">
        <v>22938</v>
      </c>
      <c r="F202" s="6">
        <v>22948.19</v>
      </c>
      <c r="G202" s="6">
        <v>22949.5</v>
      </c>
      <c r="H202" s="6">
        <v>22950.43</v>
      </c>
      <c r="I202" s="5">
        <v>44769</v>
      </c>
      <c r="J202" s="7">
        <f t="shared" si="20"/>
        <v>-5.4160205277200863E-4</v>
      </c>
      <c r="K202" s="5">
        <v>44769</v>
      </c>
      <c r="L202" s="8">
        <f t="shared" si="21"/>
        <v>-5.7081853635212516E-5</v>
      </c>
      <c r="M202" s="5">
        <v>44769</v>
      </c>
      <c r="N202" s="9">
        <f t="shared" si="18"/>
        <v>-5.9868390640722112E-4</v>
      </c>
      <c r="O202" s="5">
        <v>44769</v>
      </c>
      <c r="P202">
        <f t="shared" si="19"/>
        <v>1.0000405237586876</v>
      </c>
      <c r="Q202" s="6">
        <f t="shared" si="22"/>
        <v>0.9997200783780541</v>
      </c>
      <c r="R202">
        <f t="shared" si="23"/>
        <v>3.2048374493817325E-4</v>
      </c>
      <c r="T202" s="5">
        <v>44769</v>
      </c>
      <c r="U202" s="1">
        <v>3.2048374493817325E-4</v>
      </c>
    </row>
    <row r="203" spans="3:21" x14ac:dyDescent="0.2">
      <c r="C203" s="5">
        <v>44770</v>
      </c>
      <c r="D203" s="6">
        <v>1.00023</v>
      </c>
      <c r="E203" s="6">
        <v>23839</v>
      </c>
      <c r="F203" s="6">
        <v>23844.9</v>
      </c>
      <c r="G203" s="6">
        <v>23837</v>
      </c>
      <c r="H203" s="6">
        <v>23845.75</v>
      </c>
      <c r="I203" s="5">
        <v>44770</v>
      </c>
      <c r="J203" s="7">
        <f t="shared" si="20"/>
        <v>-2.8306931004476687E-4</v>
      </c>
      <c r="K203" s="5">
        <v>44770</v>
      </c>
      <c r="L203" s="8">
        <f t="shared" si="21"/>
        <v>3.3141754415410727E-4</v>
      </c>
      <c r="M203" s="5">
        <v>44770</v>
      </c>
      <c r="N203" s="9">
        <f t="shared" si="18"/>
        <v>4.8348234109340399E-5</v>
      </c>
      <c r="O203" s="5">
        <v>44770</v>
      </c>
      <c r="P203">
        <f t="shared" si="19"/>
        <v>1.0003670763938415</v>
      </c>
      <c r="Q203" s="6">
        <f t="shared" si="22"/>
        <v>0.99977005288783583</v>
      </c>
      <c r="R203">
        <f t="shared" si="23"/>
        <v>5.969825918397799E-4</v>
      </c>
      <c r="T203" s="5">
        <v>44770</v>
      </c>
      <c r="U203" s="1">
        <v>5.969825918397799E-4</v>
      </c>
    </row>
    <row r="204" spans="3:21" x14ac:dyDescent="0.2">
      <c r="C204" s="5">
        <v>44771</v>
      </c>
      <c r="D204" s="6">
        <v>1.0001500000000001</v>
      </c>
      <c r="E204" s="6">
        <v>23764.5</v>
      </c>
      <c r="F204" s="6">
        <v>23782.880000000001</v>
      </c>
      <c r="G204" s="6">
        <v>23769.5</v>
      </c>
      <c r="H204" s="6">
        <v>23775.759999999998</v>
      </c>
      <c r="I204" s="5">
        <v>44771</v>
      </c>
      <c r="J204" s="7">
        <f t="shared" si="20"/>
        <v>-4.7359159076296192E-4</v>
      </c>
      <c r="K204" s="5">
        <v>44771</v>
      </c>
      <c r="L204" s="8">
        <f t="shared" si="21"/>
        <v>5.6290624539855776E-4</v>
      </c>
      <c r="M204" s="5">
        <v>44771</v>
      </c>
      <c r="N204" s="9">
        <f t="shared" si="18"/>
        <v>8.9314654635595846E-5</v>
      </c>
      <c r="O204" s="5">
        <v>44771</v>
      </c>
      <c r="P204">
        <f t="shared" si="19"/>
        <v>1.0002633627127202</v>
      </c>
      <c r="Q204" s="6">
        <f t="shared" si="22"/>
        <v>0.99985002249662536</v>
      </c>
      <c r="R204">
        <f t="shared" si="23"/>
        <v>4.1331678997363279E-4</v>
      </c>
      <c r="T204" s="5">
        <v>44771</v>
      </c>
      <c r="U204" s="1">
        <v>4.1331678997363279E-4</v>
      </c>
    </row>
    <row r="205" spans="3:21" x14ac:dyDescent="0.2">
      <c r="C205" s="5">
        <v>44772</v>
      </c>
      <c r="D205" s="6">
        <v>1.00047</v>
      </c>
      <c r="E205" s="6">
        <v>23629.5</v>
      </c>
      <c r="F205" s="6">
        <v>23691.49</v>
      </c>
      <c r="G205" s="6">
        <v>23645</v>
      </c>
      <c r="H205" s="6">
        <v>23638.03</v>
      </c>
      <c r="I205" s="5">
        <v>44772</v>
      </c>
      <c r="J205" s="7">
        <f t="shared" si="20"/>
        <v>-3.6085917481274186E-4</v>
      </c>
      <c r="K205" s="5">
        <v>44772</v>
      </c>
      <c r="L205" s="8">
        <f t="shared" si="21"/>
        <v>1.9661662085008079E-3</v>
      </c>
      <c r="M205" s="5">
        <v>44772</v>
      </c>
      <c r="N205" s="9">
        <f t="shared" si="18"/>
        <v>1.6053070336880661E-3</v>
      </c>
      <c r="O205" s="5">
        <v>44772</v>
      </c>
      <c r="P205">
        <f t="shared" si="19"/>
        <v>0.99970522309156262</v>
      </c>
      <c r="Q205" s="6">
        <f t="shared" si="22"/>
        <v>0.99953022079622578</v>
      </c>
      <c r="R205">
        <f t="shared" si="23"/>
        <v>1.7506922090529964E-4</v>
      </c>
      <c r="T205" s="5">
        <v>44772</v>
      </c>
      <c r="U205" s="1">
        <v>1.7506922090529964E-4</v>
      </c>
    </row>
    <row r="206" spans="3:21" x14ac:dyDescent="0.2">
      <c r="C206" s="5">
        <v>44773</v>
      </c>
      <c r="D206" s="6">
        <v>1.0002500000000001</v>
      </c>
      <c r="E206" s="6">
        <v>23290.5</v>
      </c>
      <c r="F206" s="6">
        <v>23334.94</v>
      </c>
      <c r="G206" s="6">
        <v>23301</v>
      </c>
      <c r="H206" s="6">
        <v>23305.119999999999</v>
      </c>
      <c r="I206" s="5">
        <v>44773</v>
      </c>
      <c r="J206" s="7">
        <f t="shared" si="20"/>
        <v>-6.2732996011172573E-4</v>
      </c>
      <c r="K206" s="5">
        <v>44773</v>
      </c>
      <c r="L206" s="8">
        <f t="shared" si="21"/>
        <v>1.4565898459293031E-3</v>
      </c>
      <c r="M206" s="5">
        <v>44773</v>
      </c>
      <c r="N206" s="9">
        <f t="shared" si="18"/>
        <v>8.2925988581757733E-4</v>
      </c>
      <c r="O206" s="5">
        <v>44773</v>
      </c>
      <c r="P206">
        <f t="shared" si="19"/>
        <v>1.0001768164456462</v>
      </c>
      <c r="Q206" s="6">
        <f t="shared" si="22"/>
        <v>0.99975006248437881</v>
      </c>
      <c r="R206">
        <f t="shared" si="23"/>
        <v>4.2676957066836295E-4</v>
      </c>
      <c r="T206" s="5">
        <v>44773</v>
      </c>
      <c r="U206" s="1">
        <v>4.2676957066836295E-4</v>
      </c>
    </row>
    <row r="207" spans="3:21" x14ac:dyDescent="0.2">
      <c r="C207" s="5">
        <v>44774</v>
      </c>
      <c r="D207" s="6">
        <v>1.0001599999999999</v>
      </c>
      <c r="E207" s="6">
        <v>23250</v>
      </c>
      <c r="F207" s="6">
        <v>23291.16</v>
      </c>
      <c r="G207" s="6">
        <v>23259</v>
      </c>
      <c r="H207" s="6">
        <v>23265.439999999999</v>
      </c>
      <c r="I207" s="5">
        <v>44774</v>
      </c>
      <c r="J207" s="7">
        <f t="shared" si="20"/>
        <v>-6.6364530393573859E-4</v>
      </c>
      <c r="K207" s="5">
        <v>44774</v>
      </c>
      <c r="L207" s="8">
        <f t="shared" si="21"/>
        <v>1.382690571391713E-3</v>
      </c>
      <c r="M207" s="5">
        <v>44774</v>
      </c>
      <c r="N207" s="9">
        <f t="shared" si="18"/>
        <v>7.1904526745597444E-4</v>
      </c>
      <c r="O207" s="5">
        <v>44774</v>
      </c>
      <c r="P207">
        <f t="shared" si="19"/>
        <v>1.0002768820671566</v>
      </c>
      <c r="Q207" s="6">
        <f t="shared" si="22"/>
        <v>0.99984002559590468</v>
      </c>
      <c r="R207">
        <f t="shared" si="23"/>
        <v>4.3683094375629206E-4</v>
      </c>
      <c r="T207" s="5">
        <v>44774</v>
      </c>
      <c r="U207" s="1">
        <v>4.3683094375629206E-4</v>
      </c>
    </row>
    <row r="208" spans="3:21" x14ac:dyDescent="0.2">
      <c r="C208" s="5">
        <v>44775</v>
      </c>
      <c r="D208" s="6">
        <v>1</v>
      </c>
      <c r="E208" s="6">
        <v>22972</v>
      </c>
      <c r="F208" s="6">
        <v>22988.01</v>
      </c>
      <c r="G208" s="6">
        <v>22972.5</v>
      </c>
      <c r="H208" s="6">
        <v>22978.1</v>
      </c>
      <c r="I208" s="5">
        <v>44775</v>
      </c>
      <c r="J208" s="7">
        <f t="shared" si="20"/>
        <v>-2.654701650701557E-4</v>
      </c>
      <c r="K208" s="5">
        <v>44775</v>
      </c>
      <c r="L208" s="8">
        <f t="shared" si="21"/>
        <v>6.7515507672209817E-4</v>
      </c>
      <c r="M208" s="5">
        <v>44775</v>
      </c>
      <c r="N208" s="9">
        <f t="shared" si="18"/>
        <v>4.0968491165194247E-4</v>
      </c>
      <c r="O208" s="5">
        <v>44775</v>
      </c>
      <c r="P208">
        <f t="shared" si="19"/>
        <v>1.0002437697246707</v>
      </c>
      <c r="Q208" s="6">
        <f t="shared" si="22"/>
        <v>1</v>
      </c>
      <c r="R208">
        <f t="shared" si="23"/>
        <v>2.4374001765901056E-4</v>
      </c>
      <c r="T208" s="5">
        <v>44775</v>
      </c>
      <c r="U208" s="1">
        <v>2.4374001765901056E-4</v>
      </c>
    </row>
    <row r="209" spans="3:21" x14ac:dyDescent="0.2">
      <c r="C209" s="5">
        <v>44776</v>
      </c>
      <c r="D209" s="6">
        <v>1.0002899999999999</v>
      </c>
      <c r="E209" s="6">
        <v>22813</v>
      </c>
      <c r="F209" s="6">
        <v>22847.93</v>
      </c>
      <c r="G209" s="6">
        <v>22814.5</v>
      </c>
      <c r="H209" s="6">
        <v>22819.37</v>
      </c>
      <c r="I209" s="5">
        <v>44776</v>
      </c>
      <c r="J209" s="7">
        <f t="shared" si="20"/>
        <v>-2.7914881085669684E-4</v>
      </c>
      <c r="K209" s="5">
        <v>44776</v>
      </c>
      <c r="L209" s="8">
        <f t="shared" si="21"/>
        <v>1.4652961932104711E-3</v>
      </c>
      <c r="M209" s="5">
        <v>44776</v>
      </c>
      <c r="N209" s="9">
        <f t="shared" si="18"/>
        <v>1.1861473823537743E-3</v>
      </c>
      <c r="O209" s="5">
        <v>44776</v>
      </c>
      <c r="P209">
        <f t="shared" si="19"/>
        <v>1.0002134607376887</v>
      </c>
      <c r="Q209" s="6">
        <f t="shared" si="22"/>
        <v>0.99971008407561812</v>
      </c>
      <c r="R209">
        <f t="shared" si="23"/>
        <v>5.0339591631493096E-4</v>
      </c>
      <c r="T209" s="5">
        <v>44776</v>
      </c>
      <c r="U209" s="1">
        <v>5.0339591631493096E-4</v>
      </c>
    </row>
    <row r="210" spans="3:21" x14ac:dyDescent="0.2">
      <c r="C210" s="5">
        <v>44777</v>
      </c>
      <c r="D210" s="6">
        <v>1.00013</v>
      </c>
      <c r="E210" s="6">
        <v>22602.5</v>
      </c>
      <c r="F210" s="6">
        <v>22685.67</v>
      </c>
      <c r="G210" s="6">
        <v>22611</v>
      </c>
      <c r="H210" s="6">
        <v>22617.74</v>
      </c>
      <c r="I210" s="5">
        <v>44777</v>
      </c>
      <c r="J210" s="7">
        <f t="shared" si="20"/>
        <v>-6.7380737421164096E-4</v>
      </c>
      <c r="K210" s="5">
        <v>44777</v>
      </c>
      <c r="L210" s="8">
        <f t="shared" si="21"/>
        <v>3.3023749502453783E-3</v>
      </c>
      <c r="M210" s="5">
        <v>44777</v>
      </c>
      <c r="N210" s="9">
        <f t="shared" si="18"/>
        <v>2.6285675760337373E-3</v>
      </c>
      <c r="O210" s="5">
        <v>44777</v>
      </c>
      <c r="P210">
        <f t="shared" si="19"/>
        <v>1.0002980850028746</v>
      </c>
      <c r="Q210" s="6">
        <f t="shared" si="22"/>
        <v>0.9998700168978033</v>
      </c>
      <c r="R210">
        <f t="shared" si="23"/>
        <v>4.280321350991741E-4</v>
      </c>
      <c r="T210" s="5">
        <v>44777</v>
      </c>
      <c r="U210" s="1">
        <v>4.280321350991741E-4</v>
      </c>
    </row>
    <row r="211" spans="3:21" x14ac:dyDescent="0.2">
      <c r="C211" s="5">
        <v>44778</v>
      </c>
      <c r="D211" s="6">
        <v>1</v>
      </c>
      <c r="E211" s="6">
        <v>23298</v>
      </c>
      <c r="F211" s="6">
        <v>23327.040000000001</v>
      </c>
      <c r="G211" s="6">
        <v>23302.5</v>
      </c>
      <c r="H211" s="6">
        <v>23308.31</v>
      </c>
      <c r="I211" s="5">
        <v>44778</v>
      </c>
      <c r="J211" s="7">
        <f t="shared" si="20"/>
        <v>-4.4233151180850559E-4</v>
      </c>
      <c r="K211" s="5">
        <v>44778</v>
      </c>
      <c r="L211" s="8">
        <f t="shared" si="21"/>
        <v>1.0531058899260111E-3</v>
      </c>
      <c r="M211" s="5">
        <v>44778</v>
      </c>
      <c r="N211" s="9">
        <f t="shared" si="18"/>
        <v>6.1077437811750553E-4</v>
      </c>
      <c r="O211" s="5">
        <v>44778</v>
      </c>
      <c r="P211">
        <f t="shared" si="19"/>
        <v>1.0002493294710868</v>
      </c>
      <c r="Q211" s="6">
        <f t="shared" si="22"/>
        <v>1</v>
      </c>
      <c r="R211">
        <f t="shared" si="23"/>
        <v>2.4929839365979645E-4</v>
      </c>
      <c r="T211" s="5">
        <v>44778</v>
      </c>
      <c r="U211" s="1">
        <v>2.4929839365979645E-4</v>
      </c>
    </row>
    <row r="212" spans="3:21" x14ac:dyDescent="0.2">
      <c r="C212" s="5">
        <v>44779</v>
      </c>
      <c r="D212" s="6">
        <v>1.0002</v>
      </c>
      <c r="E212" s="6">
        <v>22950</v>
      </c>
      <c r="F212" s="6">
        <v>22960.37</v>
      </c>
      <c r="G212" s="6">
        <v>22949.5</v>
      </c>
      <c r="H212" s="6">
        <v>22951.200000000001</v>
      </c>
      <c r="I212" s="5">
        <v>44779</v>
      </c>
      <c r="J212" s="7">
        <f t="shared" si="20"/>
        <v>-5.2284847851124455E-5</v>
      </c>
      <c r="K212" s="5">
        <v>44779</v>
      </c>
      <c r="L212" s="8">
        <f t="shared" si="21"/>
        <v>4.7364866336952794E-4</v>
      </c>
      <c r="M212" s="5">
        <v>44779</v>
      </c>
      <c r="N212" s="9">
        <f t="shared" si="18"/>
        <v>4.2136381551840347E-4</v>
      </c>
      <c r="O212" s="5">
        <v>44779</v>
      </c>
      <c r="P212">
        <f t="shared" si="19"/>
        <v>1.0000740756879236</v>
      </c>
      <c r="Q212" s="6">
        <f t="shared" si="22"/>
        <v>0.99980003999200162</v>
      </c>
      <c r="R212">
        <f t="shared" si="23"/>
        <v>2.7405294712154628E-4</v>
      </c>
      <c r="T212" s="5">
        <v>44779</v>
      </c>
      <c r="U212" s="1">
        <v>2.7405294712154628E-4</v>
      </c>
    </row>
    <row r="213" spans="3:21" x14ac:dyDescent="0.2">
      <c r="C213" s="5">
        <v>44780</v>
      </c>
      <c r="D213" s="6">
        <v>1.0000100000000001</v>
      </c>
      <c r="E213" s="6">
        <v>23167</v>
      </c>
      <c r="F213" s="6">
        <v>23186.63</v>
      </c>
      <c r="G213" s="6">
        <v>23166</v>
      </c>
      <c r="H213" s="6">
        <v>23177.58</v>
      </c>
      <c r="I213" s="5">
        <v>44780</v>
      </c>
      <c r="J213" s="7">
        <f t="shared" si="20"/>
        <v>-4.5647561134517692E-4</v>
      </c>
      <c r="K213" s="5">
        <v>44780</v>
      </c>
      <c r="L213" s="8">
        <f t="shared" si="21"/>
        <v>8.9052922386260113E-4</v>
      </c>
      <c r="M213" s="5">
        <v>44780</v>
      </c>
      <c r="N213" s="9">
        <f t="shared" si="18"/>
        <v>4.340536125174242E-4</v>
      </c>
      <c r="O213" s="5">
        <v>44780</v>
      </c>
      <c r="P213">
        <f t="shared" si="19"/>
        <v>1.0004998704998704</v>
      </c>
      <c r="Q213" s="6">
        <f t="shared" si="22"/>
        <v>0.99999000009999894</v>
      </c>
      <c r="R213">
        <f t="shared" si="23"/>
        <v>5.0974555623121889E-4</v>
      </c>
      <c r="T213" s="5">
        <v>44780</v>
      </c>
      <c r="U213" s="1">
        <v>5.0974555623121889E-4</v>
      </c>
    </row>
    <row r="214" spans="3:21" x14ac:dyDescent="0.2">
      <c r="C214" s="5">
        <v>44781</v>
      </c>
      <c r="D214" s="6">
        <v>0.99995999999999996</v>
      </c>
      <c r="E214" s="6">
        <v>23809.5</v>
      </c>
      <c r="F214" s="6">
        <v>23845.33</v>
      </c>
      <c r="G214" s="6">
        <v>23807.5</v>
      </c>
      <c r="H214" s="6">
        <v>23815.45</v>
      </c>
      <c r="I214" s="5">
        <v>44781</v>
      </c>
      <c r="J214" s="7">
        <f t="shared" si="20"/>
        <v>-2.4983781536778548E-4</v>
      </c>
      <c r="K214" s="5">
        <v>44781</v>
      </c>
      <c r="L214" s="8">
        <f t="shared" si="21"/>
        <v>1.5889950645805626E-3</v>
      </c>
      <c r="M214" s="5">
        <v>44781</v>
      </c>
      <c r="N214" s="9">
        <f t="shared" si="18"/>
        <v>1.3391572492127773E-3</v>
      </c>
      <c r="O214" s="5">
        <v>44781</v>
      </c>
      <c r="P214">
        <f t="shared" si="19"/>
        <v>1.0003339283839126</v>
      </c>
      <c r="Q214" s="6">
        <f t="shared" si="22"/>
        <v>1.0000400016000641</v>
      </c>
      <c r="R214">
        <f t="shared" si="23"/>
        <v>2.9387184221715151E-4</v>
      </c>
      <c r="T214" s="5">
        <v>44781</v>
      </c>
      <c r="U214" s="1">
        <v>2.9387184221715151E-4</v>
      </c>
    </row>
    <row r="215" spans="3:21" x14ac:dyDescent="0.2">
      <c r="C215" s="5">
        <v>44782</v>
      </c>
      <c r="D215" s="6">
        <v>1.00013</v>
      </c>
      <c r="E215" s="6">
        <v>23139</v>
      </c>
      <c r="F215" s="6">
        <v>23183.91</v>
      </c>
      <c r="G215" s="6">
        <v>23139.5</v>
      </c>
      <c r="H215" s="6">
        <v>23150.39</v>
      </c>
      <c r="I215" s="5">
        <v>44782</v>
      </c>
      <c r="J215" s="7">
        <f t="shared" si="20"/>
        <v>-4.9200035075000546E-4</v>
      </c>
      <c r="K215" s="5">
        <v>44782</v>
      </c>
      <c r="L215" s="8">
        <f t="shared" si="21"/>
        <v>1.9192290239633464E-3</v>
      </c>
      <c r="M215" s="5">
        <v>44782</v>
      </c>
      <c r="N215" s="9">
        <f t="shared" si="18"/>
        <v>1.427228673213341E-3</v>
      </c>
      <c r="O215" s="5">
        <v>44782</v>
      </c>
      <c r="P215">
        <f t="shared" si="19"/>
        <v>1.0004706238250611</v>
      </c>
      <c r="Q215" s="6">
        <f t="shared" si="22"/>
        <v>0.9998700168978033</v>
      </c>
      <c r="R215">
        <f t="shared" si="23"/>
        <v>6.0050466713443631E-4</v>
      </c>
      <c r="T215" s="5">
        <v>44782</v>
      </c>
      <c r="U215" s="1">
        <v>6.0050466713443631E-4</v>
      </c>
    </row>
    <row r="216" spans="3:21" x14ac:dyDescent="0.2">
      <c r="C216" s="5">
        <v>44783</v>
      </c>
      <c r="D216" s="6">
        <v>1.0003299999999999</v>
      </c>
      <c r="E216" s="6">
        <v>23940</v>
      </c>
      <c r="F216" s="6">
        <v>23982.87</v>
      </c>
      <c r="G216" s="6">
        <v>23951.5</v>
      </c>
      <c r="H216" s="6">
        <v>23952.14</v>
      </c>
      <c r="I216" s="5">
        <v>44783</v>
      </c>
      <c r="J216" s="7">
        <f t="shared" si="20"/>
        <v>-5.0684406487267603E-4</v>
      </c>
      <c r="K216" s="5">
        <v>44783</v>
      </c>
      <c r="L216" s="8">
        <f t="shared" si="21"/>
        <v>1.3097300795356858E-3</v>
      </c>
      <c r="M216" s="5">
        <v>44783</v>
      </c>
      <c r="N216" s="9">
        <f t="shared" si="18"/>
        <v>8.0288601466300979E-4</v>
      </c>
      <c r="O216" s="5">
        <v>44783</v>
      </c>
      <c r="P216">
        <f t="shared" si="19"/>
        <v>1.0000267206646765</v>
      </c>
      <c r="Q216" s="6">
        <f t="shared" si="22"/>
        <v>0.99967010886407492</v>
      </c>
      <c r="R216">
        <f t="shared" si="23"/>
        <v>3.5666586966185738E-4</v>
      </c>
      <c r="T216" s="5">
        <v>44783</v>
      </c>
      <c r="U216" s="1">
        <v>3.5666586966185738E-4</v>
      </c>
    </row>
    <row r="217" spans="3:21" x14ac:dyDescent="0.2">
      <c r="C217" s="5">
        <v>44784</v>
      </c>
      <c r="D217" s="6">
        <v>1.0002</v>
      </c>
      <c r="E217" s="6">
        <v>23927</v>
      </c>
      <c r="F217" s="6">
        <v>23983.79</v>
      </c>
      <c r="G217" s="6">
        <v>23937.5</v>
      </c>
      <c r="H217" s="6">
        <v>23935.040000000001</v>
      </c>
      <c r="I217" s="5">
        <v>44784</v>
      </c>
      <c r="J217" s="7">
        <f t="shared" si="20"/>
        <v>-3.3590919421905594E-4</v>
      </c>
      <c r="K217" s="5">
        <v>44784</v>
      </c>
      <c r="L217" s="8">
        <f t="shared" si="21"/>
        <v>1.9337859007833263E-3</v>
      </c>
      <c r="M217" s="5">
        <v>44784</v>
      </c>
      <c r="N217" s="9">
        <f t="shared" si="18"/>
        <v>1.5978767065642704E-3</v>
      </c>
      <c r="O217" s="5">
        <v>44784</v>
      </c>
      <c r="P217">
        <f t="shared" si="19"/>
        <v>0.99989723237597916</v>
      </c>
      <c r="Q217" s="6">
        <f t="shared" si="22"/>
        <v>0.99980003999200162</v>
      </c>
      <c r="R217">
        <f t="shared" si="23"/>
        <v>9.7207097691244261E-5</v>
      </c>
      <c r="T217" s="5">
        <v>44784</v>
      </c>
      <c r="U217" s="1">
        <v>9.7207097691244261E-5</v>
      </c>
    </row>
    <row r="218" spans="3:21" x14ac:dyDescent="0.2">
      <c r="C218" s="5">
        <v>44785</v>
      </c>
      <c r="D218" s="6">
        <v>1.0003200000000001</v>
      </c>
      <c r="E218" s="6">
        <v>24378.5</v>
      </c>
      <c r="F218" s="6">
        <v>24403.16</v>
      </c>
      <c r="G218" s="6">
        <v>24392</v>
      </c>
      <c r="H218" s="6">
        <v>24395.19</v>
      </c>
      <c r="I218" s="5">
        <v>44785</v>
      </c>
      <c r="J218" s="7">
        <f t="shared" si="20"/>
        <v>-6.8415126096573505E-4</v>
      </c>
      <c r="K218" s="5">
        <v>44785</v>
      </c>
      <c r="L218" s="8">
        <f t="shared" si="21"/>
        <v>4.5752705805181428E-4</v>
      </c>
      <c r="M218" s="5">
        <v>44785</v>
      </c>
      <c r="N218" s="9">
        <f t="shared" si="18"/>
        <v>-2.2662420291392078E-4</v>
      </c>
      <c r="O218" s="5">
        <v>44785</v>
      </c>
      <c r="P218">
        <f t="shared" si="19"/>
        <v>1.0001307805837978</v>
      </c>
      <c r="Q218" s="6">
        <f t="shared" si="22"/>
        <v>0.99968010236724236</v>
      </c>
      <c r="R218">
        <f t="shared" si="23"/>
        <v>4.5072084368284282E-4</v>
      </c>
      <c r="T218" s="5">
        <v>44785</v>
      </c>
      <c r="U218" s="1">
        <v>4.5072084368284282E-4</v>
      </c>
    </row>
    <row r="219" spans="3:21" x14ac:dyDescent="0.2">
      <c r="C219" s="5">
        <v>44786</v>
      </c>
      <c r="D219" s="6">
        <v>1.0003200000000001</v>
      </c>
      <c r="E219" s="6">
        <v>24420</v>
      </c>
      <c r="F219" s="6">
        <v>24463.77</v>
      </c>
      <c r="G219" s="6">
        <v>24421.5</v>
      </c>
      <c r="H219" s="6">
        <v>24437.66</v>
      </c>
      <c r="I219" s="5">
        <v>44786</v>
      </c>
      <c r="J219" s="7">
        <f t="shared" si="20"/>
        <v>-7.2265511509693871E-4</v>
      </c>
      <c r="K219" s="5">
        <v>44786</v>
      </c>
      <c r="L219" s="8">
        <f t="shared" si="21"/>
        <v>1.7308519132731583E-3</v>
      </c>
      <c r="M219" s="5">
        <v>44786</v>
      </c>
      <c r="N219" s="9">
        <f t="shared" si="18"/>
        <v>1.0081967981762196E-3</v>
      </c>
      <c r="O219" s="5">
        <v>44786</v>
      </c>
      <c r="P219">
        <f t="shared" si="19"/>
        <v>1.0006617120160515</v>
      </c>
      <c r="Q219" s="6">
        <f t="shared" si="22"/>
        <v>0.99968010236724236</v>
      </c>
      <c r="R219">
        <f t="shared" si="23"/>
        <v>9.8144199210743093E-4</v>
      </c>
      <c r="T219" s="5">
        <v>44786</v>
      </c>
      <c r="U219" s="1">
        <v>9.8144199210743093E-4</v>
      </c>
    </row>
    <row r="220" spans="3:21" x14ac:dyDescent="0.2">
      <c r="C220" s="5">
        <v>44787</v>
      </c>
      <c r="D220" s="6">
        <v>1.0004500000000001</v>
      </c>
      <c r="E220" s="6">
        <v>24290.5</v>
      </c>
      <c r="F220" s="6">
        <v>24334.46</v>
      </c>
      <c r="G220" s="6">
        <v>24297.5</v>
      </c>
      <c r="H220" s="6">
        <v>24303.56</v>
      </c>
      <c r="I220" s="5">
        <v>44787</v>
      </c>
      <c r="J220" s="7">
        <f t="shared" si="20"/>
        <v>-5.3736983388447243E-4</v>
      </c>
      <c r="K220" s="5">
        <v>44787</v>
      </c>
      <c r="L220" s="8">
        <f t="shared" si="21"/>
        <v>1.5211441506327453E-3</v>
      </c>
      <c r="M220" s="5">
        <v>44787</v>
      </c>
      <c r="N220" s="9">
        <f t="shared" si="18"/>
        <v>9.8377431674827277E-4</v>
      </c>
      <c r="O220" s="5">
        <v>44787</v>
      </c>
      <c r="P220">
        <f t="shared" si="19"/>
        <v>1.0002494083753473</v>
      </c>
      <c r="Q220" s="6">
        <f t="shared" si="22"/>
        <v>0.9995502024089159</v>
      </c>
      <c r="R220">
        <f t="shared" si="23"/>
        <v>6.9927605861374263E-4</v>
      </c>
      <c r="T220" s="5">
        <v>44787</v>
      </c>
      <c r="U220" s="1">
        <v>6.9927605861374263E-4</v>
      </c>
    </row>
    <row r="221" spans="3:21" x14ac:dyDescent="0.2">
      <c r="C221" s="5">
        <v>44788</v>
      </c>
      <c r="D221" s="6">
        <v>0.99999000000000005</v>
      </c>
      <c r="E221" s="6">
        <v>24080.5</v>
      </c>
      <c r="F221" s="6">
        <v>24097.37</v>
      </c>
      <c r="G221" s="6">
        <v>24076.5</v>
      </c>
      <c r="H221" s="6">
        <v>24095.41</v>
      </c>
      <c r="I221" s="5">
        <v>44788</v>
      </c>
      <c r="J221" s="7">
        <f t="shared" si="20"/>
        <v>-6.187900517152377E-4</v>
      </c>
      <c r="K221" s="5">
        <v>44788</v>
      </c>
      <c r="L221" s="8">
        <f t="shared" si="21"/>
        <v>8.6682034348842154E-4</v>
      </c>
      <c r="M221" s="5">
        <v>44788</v>
      </c>
      <c r="N221" s="9">
        <f t="shared" si="18"/>
        <v>2.4803029177318384E-4</v>
      </c>
      <c r="O221" s="5">
        <v>44788</v>
      </c>
      <c r="P221">
        <f t="shared" si="19"/>
        <v>1.000785413162212</v>
      </c>
      <c r="Q221" s="6">
        <f t="shared" si="22"/>
        <v>1.000010000100001</v>
      </c>
      <c r="R221">
        <f t="shared" si="23"/>
        <v>7.7510483669920513E-4</v>
      </c>
      <c r="T221" s="5">
        <v>44788</v>
      </c>
      <c r="U221" s="1">
        <v>7.7510483669920513E-4</v>
      </c>
    </row>
    <row r="222" spans="3:21" x14ac:dyDescent="0.2">
      <c r="C222" s="5">
        <v>44789</v>
      </c>
      <c r="D222" s="6">
        <v>0.99999000000000005</v>
      </c>
      <c r="E222" s="6">
        <v>23839</v>
      </c>
      <c r="F222" s="6">
        <v>23859.5</v>
      </c>
      <c r="G222" s="6">
        <v>23846.5</v>
      </c>
      <c r="H222" s="6">
        <v>23859.05</v>
      </c>
      <c r="I222" s="5">
        <v>44789</v>
      </c>
      <c r="J222" s="7">
        <f t="shared" si="20"/>
        <v>-8.403519838383872E-4</v>
      </c>
      <c r="K222" s="5">
        <v>44789</v>
      </c>
      <c r="L222" s="8">
        <f t="shared" si="21"/>
        <v>5.4515337680582053E-4</v>
      </c>
      <c r="M222" s="5">
        <v>44789</v>
      </c>
      <c r="N222" s="9">
        <f t="shared" si="18"/>
        <v>-2.9519860703256667E-4</v>
      </c>
      <c r="O222" s="5">
        <v>44789</v>
      </c>
      <c r="P222">
        <f t="shared" si="19"/>
        <v>1.0005262826829933</v>
      </c>
      <c r="Q222" s="6">
        <f t="shared" si="22"/>
        <v>1.000010000100001</v>
      </c>
      <c r="R222">
        <f t="shared" si="23"/>
        <v>5.1614419483147328E-4</v>
      </c>
      <c r="T222" s="5">
        <v>44789</v>
      </c>
      <c r="U222" s="1">
        <v>5.1614419483147328E-4</v>
      </c>
    </row>
    <row r="223" spans="3:21" x14ac:dyDescent="0.2">
      <c r="C223" s="5">
        <v>44790</v>
      </c>
      <c r="D223" s="6">
        <v>1.00027</v>
      </c>
      <c r="E223" s="6">
        <v>23327</v>
      </c>
      <c r="F223" s="6">
        <v>23356.880000000001</v>
      </c>
      <c r="G223" s="6">
        <v>23319.5</v>
      </c>
      <c r="H223" s="6">
        <v>23335.919999999998</v>
      </c>
      <c r="I223" s="5">
        <v>44790</v>
      </c>
      <c r="J223" s="7">
        <f t="shared" si="20"/>
        <v>-3.822433398811041E-4</v>
      </c>
      <c r="K223" s="5">
        <v>44790</v>
      </c>
      <c r="L223" s="8">
        <f t="shared" si="21"/>
        <v>1.6029503205472252E-3</v>
      </c>
      <c r="M223" s="5">
        <v>44790</v>
      </c>
      <c r="N223" s="9">
        <f t="shared" si="18"/>
        <v>1.220706980666121E-3</v>
      </c>
      <c r="O223" s="5">
        <v>44790</v>
      </c>
      <c r="P223">
        <f t="shared" si="19"/>
        <v>1.000704131735243</v>
      </c>
      <c r="Q223" s="6">
        <f t="shared" si="22"/>
        <v>0.99973007288032234</v>
      </c>
      <c r="R223">
        <f t="shared" si="23"/>
        <v>9.7384750736067085E-4</v>
      </c>
      <c r="T223" s="5">
        <v>44790</v>
      </c>
      <c r="U223" s="1">
        <v>9.7384750736067085E-4</v>
      </c>
    </row>
    <row r="224" spans="3:21" x14ac:dyDescent="0.2">
      <c r="C224" s="5">
        <v>44791</v>
      </c>
      <c r="D224" s="6">
        <v>1.0000599999999999</v>
      </c>
      <c r="E224" s="6">
        <v>23188</v>
      </c>
      <c r="F224" s="6">
        <v>23198.85</v>
      </c>
      <c r="G224" s="6">
        <v>23183</v>
      </c>
      <c r="H224" s="6">
        <v>23187.3</v>
      </c>
      <c r="I224" s="5">
        <v>44791</v>
      </c>
      <c r="J224" s="7">
        <f t="shared" si="20"/>
        <v>3.0188939635090228E-5</v>
      </c>
      <c r="K224" s="5">
        <v>44791</v>
      </c>
      <c r="L224" s="8">
        <f t="shared" si="21"/>
        <v>6.8369063537931007E-4</v>
      </c>
      <c r="M224" s="5">
        <v>44791</v>
      </c>
      <c r="N224" s="9">
        <f t="shared" si="18"/>
        <v>7.138795750144003E-4</v>
      </c>
      <c r="O224" s="5">
        <v>44791</v>
      </c>
      <c r="P224">
        <f t="shared" si="19"/>
        <v>1.0001854807401975</v>
      </c>
      <c r="Q224" s="6">
        <f t="shared" si="22"/>
        <v>0.99994000359978408</v>
      </c>
      <c r="R224">
        <f t="shared" si="23"/>
        <v>2.4546174084360433E-4</v>
      </c>
      <c r="T224" s="5">
        <v>44791</v>
      </c>
      <c r="U224" s="1">
        <v>2.4546174084360433E-4</v>
      </c>
    </row>
    <row r="225" spans="3:21" x14ac:dyDescent="0.2">
      <c r="C225" s="5">
        <v>44792</v>
      </c>
      <c r="D225" s="6">
        <v>1.0001100000000001</v>
      </c>
      <c r="E225" s="6">
        <v>20819</v>
      </c>
      <c r="F225" s="6">
        <v>20838.25</v>
      </c>
      <c r="G225" s="6">
        <v>20812.5</v>
      </c>
      <c r="H225" s="6">
        <v>20827.96</v>
      </c>
      <c r="I225" s="5">
        <v>44792</v>
      </c>
      <c r="J225" s="7">
        <f t="shared" si="20"/>
        <v>-4.3019095485103331E-4</v>
      </c>
      <c r="K225" s="5">
        <v>44792</v>
      </c>
      <c r="L225" s="8">
        <f t="shared" si="21"/>
        <v>1.2372372372372372E-3</v>
      </c>
      <c r="M225" s="5">
        <v>44792</v>
      </c>
      <c r="N225" s="9">
        <f t="shared" si="18"/>
        <v>8.070462823862039E-4</v>
      </c>
      <c r="O225" s="5">
        <v>44792</v>
      </c>
      <c r="P225">
        <f t="shared" si="19"/>
        <v>1.0007428228228228</v>
      </c>
      <c r="Q225" s="6">
        <f t="shared" si="22"/>
        <v>0.99989001209866912</v>
      </c>
      <c r="R225">
        <f t="shared" si="23"/>
        <v>8.5254101694376373E-4</v>
      </c>
      <c r="T225" s="5">
        <v>44792</v>
      </c>
      <c r="U225" s="1">
        <v>8.5254101694376373E-4</v>
      </c>
    </row>
    <row r="226" spans="3:21" x14ac:dyDescent="0.2">
      <c r="C226" s="5">
        <v>44793</v>
      </c>
      <c r="D226" s="6">
        <v>1.0001599999999999</v>
      </c>
      <c r="E226" s="6">
        <v>21124</v>
      </c>
      <c r="F226" s="6">
        <v>21155.79</v>
      </c>
      <c r="G226" s="6">
        <v>21127</v>
      </c>
      <c r="H226" s="6">
        <v>21137.82</v>
      </c>
      <c r="I226" s="5">
        <v>44793</v>
      </c>
      <c r="J226" s="7">
        <f t="shared" si="20"/>
        <v>-6.538044131324663E-4</v>
      </c>
      <c r="K226" s="5">
        <v>44793</v>
      </c>
      <c r="L226" s="8">
        <f t="shared" si="21"/>
        <v>1.3627112226061852E-3</v>
      </c>
      <c r="M226" s="5">
        <v>44793</v>
      </c>
      <c r="N226" s="9">
        <f t="shared" si="18"/>
        <v>7.0890680947371888E-4</v>
      </c>
      <c r="O226" s="5">
        <v>44793</v>
      </c>
      <c r="P226">
        <f t="shared" si="19"/>
        <v>1.0005121408624036</v>
      </c>
      <c r="Q226" s="6">
        <f t="shared" si="22"/>
        <v>0.99984002559590468</v>
      </c>
      <c r="R226">
        <f t="shared" si="23"/>
        <v>6.719969643963139E-4</v>
      </c>
      <c r="T226" s="5">
        <v>44793</v>
      </c>
      <c r="U226" s="1">
        <v>6.719969643963139E-4</v>
      </c>
    </row>
    <row r="227" spans="3:21" x14ac:dyDescent="0.2">
      <c r="C227" s="5">
        <v>44794</v>
      </c>
      <c r="D227" s="6">
        <v>0.99992999999999999</v>
      </c>
      <c r="E227" s="6">
        <v>21505.5</v>
      </c>
      <c r="F227" s="6">
        <v>21556.65</v>
      </c>
      <c r="G227" s="6">
        <v>21508.5</v>
      </c>
      <c r="H227" s="6">
        <v>21516.52</v>
      </c>
      <c r="I227" s="5">
        <v>44794</v>
      </c>
      <c r="J227" s="7">
        <f t="shared" si="20"/>
        <v>-5.1216460654420122E-4</v>
      </c>
      <c r="K227" s="5">
        <v>44794</v>
      </c>
      <c r="L227" s="8">
        <f t="shared" si="21"/>
        <v>2.2386498361113725E-3</v>
      </c>
      <c r="M227" s="5">
        <v>44794</v>
      </c>
      <c r="N227" s="9">
        <f t="shared" si="18"/>
        <v>1.7264852295671713E-3</v>
      </c>
      <c r="O227" s="5">
        <v>44794</v>
      </c>
      <c r="P227">
        <f t="shared" si="19"/>
        <v>1.0003728758397843</v>
      </c>
      <c r="Q227" s="6">
        <f t="shared" si="22"/>
        <v>1.000070004900343</v>
      </c>
      <c r="R227">
        <f t="shared" si="23"/>
        <v>3.0280388875015651E-4</v>
      </c>
      <c r="T227" s="5">
        <v>44794</v>
      </c>
      <c r="U227" s="1">
        <v>3.0280388875015651E-4</v>
      </c>
    </row>
    <row r="228" spans="3:21" x14ac:dyDescent="0.2">
      <c r="C228" s="5">
        <v>44795</v>
      </c>
      <c r="D228" s="6">
        <v>0.99965999999999999</v>
      </c>
      <c r="E228" s="6">
        <v>21382.5</v>
      </c>
      <c r="F228" s="6">
        <v>21391.06</v>
      </c>
      <c r="G228" s="6">
        <v>21383.5</v>
      </c>
      <c r="H228" s="6">
        <v>21399.3</v>
      </c>
      <c r="I228" s="5">
        <v>44795</v>
      </c>
      <c r="J228" s="7">
        <f t="shared" si="20"/>
        <v>-7.8507240891053786E-4</v>
      </c>
      <c r="K228" s="5">
        <v>44795</v>
      </c>
      <c r="L228" s="8">
        <f t="shared" si="21"/>
        <v>3.5354362008096476E-4</v>
      </c>
      <c r="M228" s="5">
        <v>44795</v>
      </c>
      <c r="N228" s="9">
        <f t="shared" si="18"/>
        <v>-4.3152878882957309E-4</v>
      </c>
      <c r="O228" s="5">
        <v>44795</v>
      </c>
      <c r="P228">
        <f t="shared" si="19"/>
        <v>1.0007388874599574</v>
      </c>
      <c r="Q228" s="6">
        <f t="shared" si="22"/>
        <v>1.0003401156393175</v>
      </c>
      <c r="R228">
        <f t="shared" si="23"/>
        <v>3.9855680390524716E-4</v>
      </c>
      <c r="T228" s="5">
        <v>44795</v>
      </c>
      <c r="U228" s="1">
        <v>3.9855680390524716E-4</v>
      </c>
    </row>
    <row r="229" spans="3:21" x14ac:dyDescent="0.2">
      <c r="C229" s="5">
        <v>44796</v>
      </c>
      <c r="D229" s="6">
        <v>0.99978</v>
      </c>
      <c r="E229" s="6">
        <v>21516.5</v>
      </c>
      <c r="F229" s="6">
        <v>21527.9</v>
      </c>
      <c r="G229" s="6">
        <v>21512.5</v>
      </c>
      <c r="H229" s="6">
        <v>21519.02</v>
      </c>
      <c r="I229" s="5">
        <v>44796</v>
      </c>
      <c r="J229" s="7">
        <f t="shared" si="20"/>
        <v>-1.1710570462783327E-4</v>
      </c>
      <c r="K229" s="5">
        <v>44796</v>
      </c>
      <c r="L229" s="8">
        <f t="shared" si="21"/>
        <v>7.1586287042423968E-4</v>
      </c>
      <c r="M229" s="5">
        <v>44796</v>
      </c>
      <c r="N229" s="9">
        <f t="shared" si="18"/>
        <v>5.9875716579640644E-4</v>
      </c>
      <c r="O229" s="5">
        <v>44796</v>
      </c>
      <c r="P229">
        <f t="shared" si="19"/>
        <v>1.0003030796048809</v>
      </c>
      <c r="Q229" s="6">
        <f t="shared" si="22"/>
        <v>1.0002200484106503</v>
      </c>
      <c r="R229">
        <f t="shared" si="23"/>
        <v>8.3009481985515888E-5</v>
      </c>
      <c r="T229" s="5">
        <v>44796</v>
      </c>
      <c r="U229" s="1">
        <v>8.3009481985515888E-5</v>
      </c>
    </row>
    <row r="230" spans="3:21" x14ac:dyDescent="0.2">
      <c r="C230" s="5">
        <v>44797</v>
      </c>
      <c r="D230" s="6">
        <v>0.99980000000000002</v>
      </c>
      <c r="E230" s="6">
        <v>21353</v>
      </c>
      <c r="F230" s="6">
        <v>21378.05</v>
      </c>
      <c r="G230" s="6">
        <v>21353.5</v>
      </c>
      <c r="H230" s="6">
        <v>21366.01</v>
      </c>
      <c r="I230" s="5">
        <v>44797</v>
      </c>
      <c r="J230" s="7">
        <f t="shared" si="20"/>
        <v>-6.0891106949769282E-4</v>
      </c>
      <c r="K230" s="5">
        <v>44797</v>
      </c>
      <c r="L230" s="8">
        <f t="shared" si="21"/>
        <v>1.1496944294845937E-3</v>
      </c>
      <c r="M230" s="5">
        <v>44797</v>
      </c>
      <c r="N230" s="9">
        <f t="shared" si="18"/>
        <v>5.4078335998690083E-4</v>
      </c>
      <c r="O230" s="5">
        <v>44797</v>
      </c>
      <c r="P230">
        <f t="shared" si="19"/>
        <v>1.0005858524363687</v>
      </c>
      <c r="Q230" s="6">
        <f t="shared" si="22"/>
        <v>1.0002000400080016</v>
      </c>
      <c r="R230">
        <f t="shared" si="23"/>
        <v>3.8566088915956668E-4</v>
      </c>
      <c r="T230" s="5">
        <v>44797</v>
      </c>
      <c r="U230" s="1">
        <v>3.8566088915956668E-4</v>
      </c>
    </row>
    <row r="231" spans="3:21" x14ac:dyDescent="0.2">
      <c r="C231" s="5">
        <v>44798</v>
      </c>
      <c r="D231" s="6">
        <v>0.99997999999999998</v>
      </c>
      <c r="E231" s="6">
        <v>21549.5</v>
      </c>
      <c r="F231" s="6">
        <v>21562.15</v>
      </c>
      <c r="G231" s="6">
        <v>21552.5</v>
      </c>
      <c r="H231" s="6">
        <v>21563.81</v>
      </c>
      <c r="I231" s="5">
        <v>44798</v>
      </c>
      <c r="J231" s="7">
        <f t="shared" si="20"/>
        <v>-6.6361185708839531E-4</v>
      </c>
      <c r="K231" s="5">
        <v>44798</v>
      </c>
      <c r="L231" s="8">
        <f t="shared" si="21"/>
        <v>4.4774388122034356E-4</v>
      </c>
      <c r="M231" s="5">
        <v>44798</v>
      </c>
      <c r="N231" s="9">
        <f t="shared" si="18"/>
        <v>-2.1586797586805174E-4</v>
      </c>
      <c r="O231" s="5">
        <v>44798</v>
      </c>
      <c r="P231">
        <f t="shared" si="19"/>
        <v>1.0005247651084561</v>
      </c>
      <c r="Q231" s="6">
        <f t="shared" si="22"/>
        <v>1.0000200004000079</v>
      </c>
      <c r="R231">
        <f t="shared" si="23"/>
        <v>5.046272673947112E-4</v>
      </c>
      <c r="T231" s="5">
        <v>44798</v>
      </c>
      <c r="U231" s="1">
        <v>5.046272673947112E-4</v>
      </c>
    </row>
    <row r="232" spans="3:21" x14ac:dyDescent="0.2">
      <c r="C232" s="5">
        <v>44799</v>
      </c>
      <c r="D232" s="6">
        <v>0.99987999999999999</v>
      </c>
      <c r="E232" s="6">
        <v>20230.5</v>
      </c>
      <c r="F232" s="6">
        <v>20278.650000000001</v>
      </c>
      <c r="G232" s="6">
        <v>20227.5</v>
      </c>
      <c r="H232" s="6">
        <v>20244.11</v>
      </c>
      <c r="I232" s="5">
        <v>44799</v>
      </c>
      <c r="J232" s="7">
        <f t="shared" si="20"/>
        <v>-6.722943117776273E-4</v>
      </c>
      <c r="K232" s="5">
        <v>44799</v>
      </c>
      <c r="L232" s="8">
        <f t="shared" si="21"/>
        <v>2.5287356321839799E-3</v>
      </c>
      <c r="M232" s="5">
        <v>44799</v>
      </c>
      <c r="N232" s="9">
        <f t="shared" si="18"/>
        <v>1.8564413204063526E-3</v>
      </c>
      <c r="O232" s="5">
        <v>44799</v>
      </c>
      <c r="P232">
        <f t="shared" si="19"/>
        <v>1.0008211593128167</v>
      </c>
      <c r="Q232" s="6">
        <f t="shared" si="22"/>
        <v>1.0001200144017282</v>
      </c>
      <c r="R232">
        <f t="shared" si="23"/>
        <v>7.0081514538858174E-4</v>
      </c>
      <c r="T232" s="5">
        <v>44799</v>
      </c>
      <c r="U232" s="1">
        <v>7.0081514538858174E-4</v>
      </c>
    </row>
    <row r="233" spans="3:21" x14ac:dyDescent="0.2">
      <c r="C233" s="5">
        <v>44800</v>
      </c>
      <c r="D233" s="6">
        <v>1.00014</v>
      </c>
      <c r="E233" s="6">
        <v>20027.5</v>
      </c>
      <c r="F233" s="6">
        <v>20074.650000000001</v>
      </c>
      <c r="G233" s="6">
        <v>20026.5</v>
      </c>
      <c r="H233" s="6">
        <v>20043.3</v>
      </c>
      <c r="I233" s="5">
        <v>44800</v>
      </c>
      <c r="J233" s="7">
        <f t="shared" si="20"/>
        <v>-7.882933449082373E-4</v>
      </c>
      <c r="K233" s="5">
        <v>44800</v>
      </c>
      <c r="L233" s="8">
        <f t="shared" si="21"/>
        <v>2.4043142835743366E-3</v>
      </c>
      <c r="M233" s="5">
        <v>44800</v>
      </c>
      <c r="N233" s="9">
        <f t="shared" si="18"/>
        <v>1.6160209386660994E-3</v>
      </c>
      <c r="O233" s="5">
        <v>44800</v>
      </c>
      <c r="P233">
        <f t="shared" si="19"/>
        <v>1.0008388884727737</v>
      </c>
      <c r="Q233" s="6">
        <f t="shared" si="22"/>
        <v>0.99986001959725634</v>
      </c>
      <c r="R233">
        <f t="shared" si="23"/>
        <v>9.7852700341445869E-4</v>
      </c>
      <c r="T233" s="5">
        <v>44800</v>
      </c>
      <c r="U233" s="1">
        <v>9.7852700341445869E-4</v>
      </c>
    </row>
    <row r="234" spans="3:21" x14ac:dyDescent="0.2">
      <c r="C234" s="5">
        <v>44801</v>
      </c>
      <c r="D234" s="6">
        <v>1.00021</v>
      </c>
      <c r="E234" s="6">
        <v>19548</v>
      </c>
      <c r="F234" s="6">
        <v>19587.96</v>
      </c>
      <c r="G234" s="6">
        <v>19550.5</v>
      </c>
      <c r="H234" s="6">
        <v>19555.66</v>
      </c>
      <c r="I234" s="5">
        <v>44801</v>
      </c>
      <c r="J234" s="7">
        <f t="shared" si="20"/>
        <v>-3.9170245340734369E-4</v>
      </c>
      <c r="K234" s="5">
        <v>44801</v>
      </c>
      <c r="L234" s="8">
        <f t="shared" si="21"/>
        <v>1.9160635277869684E-3</v>
      </c>
      <c r="M234" s="5">
        <v>44801</v>
      </c>
      <c r="N234" s="9">
        <f t="shared" si="18"/>
        <v>1.5243610743796248E-3</v>
      </c>
      <c r="O234" s="5">
        <v>44801</v>
      </c>
      <c r="P234">
        <f t="shared" si="19"/>
        <v>1.0002639318687501</v>
      </c>
      <c r="Q234" s="6">
        <f t="shared" si="22"/>
        <v>0.9997900440907409</v>
      </c>
      <c r="R234">
        <f t="shared" si="23"/>
        <v>4.7387499794828374E-4</v>
      </c>
      <c r="T234" s="5">
        <v>44801</v>
      </c>
      <c r="U234" s="1">
        <v>4.7387499794828374E-4</v>
      </c>
    </row>
    <row r="235" spans="3:21" x14ac:dyDescent="0.2">
      <c r="C235" s="5">
        <v>44802</v>
      </c>
      <c r="D235" s="6">
        <v>0.99983999999999995</v>
      </c>
      <c r="E235" s="6">
        <v>20277.5</v>
      </c>
      <c r="F235" s="6">
        <v>20313.810000000001</v>
      </c>
      <c r="G235" s="6">
        <v>20276.5</v>
      </c>
      <c r="H235" s="6">
        <v>20293.48</v>
      </c>
      <c r="I235" s="5">
        <v>44802</v>
      </c>
      <c r="J235" s="7">
        <f t="shared" si="20"/>
        <v>-7.8744503160618892E-4</v>
      </c>
      <c r="K235" s="5">
        <v>44802</v>
      </c>
      <c r="L235" s="8">
        <f t="shared" si="21"/>
        <v>1.8400611545385697E-3</v>
      </c>
      <c r="M235" s="5">
        <v>44802</v>
      </c>
      <c r="N235" s="9">
        <f t="shared" si="18"/>
        <v>1.0526161229323808E-3</v>
      </c>
      <c r="O235" s="5">
        <v>44802</v>
      </c>
      <c r="P235">
        <f t="shared" si="19"/>
        <v>1.0008374226321111</v>
      </c>
      <c r="Q235" s="6">
        <f t="shared" si="22"/>
        <v>1.0001600256040968</v>
      </c>
      <c r="R235">
        <f t="shared" si="23"/>
        <v>6.7705938804527726E-4</v>
      </c>
      <c r="T235" s="5">
        <v>44802</v>
      </c>
      <c r="U235" s="1">
        <v>6.7705938804527726E-4</v>
      </c>
    </row>
    <row r="236" spans="3:21" x14ac:dyDescent="0.2">
      <c r="C236" s="5">
        <v>44803</v>
      </c>
      <c r="D236" s="6">
        <v>0.99992000000000003</v>
      </c>
      <c r="E236" s="6">
        <v>19803.5</v>
      </c>
      <c r="F236" s="6">
        <v>19826.48</v>
      </c>
      <c r="G236" s="6">
        <v>19802.5</v>
      </c>
      <c r="H236" s="6">
        <v>19811.52</v>
      </c>
      <c r="I236" s="5">
        <v>44803</v>
      </c>
      <c r="J236" s="7">
        <f t="shared" si="20"/>
        <v>-4.0481497633702189E-4</v>
      </c>
      <c r="K236" s="5">
        <v>44803</v>
      </c>
      <c r="L236" s="8">
        <f t="shared" si="21"/>
        <v>1.2109582123469038E-3</v>
      </c>
      <c r="M236" s="5">
        <v>44803</v>
      </c>
      <c r="N236" s="9">
        <f t="shared" si="18"/>
        <v>8.0614323600988183E-4</v>
      </c>
      <c r="O236" s="5">
        <v>44803</v>
      </c>
      <c r="P236">
        <f t="shared" si="19"/>
        <v>1.0004554980431764</v>
      </c>
      <c r="Q236" s="6">
        <f t="shared" si="22"/>
        <v>1.000080006400512</v>
      </c>
      <c r="R236">
        <f t="shared" si="23"/>
        <v>3.7539113526326753E-4</v>
      </c>
      <c r="T236" s="5">
        <v>44803</v>
      </c>
      <c r="U236" s="1">
        <v>3.7539113526326753E-4</v>
      </c>
    </row>
    <row r="237" spans="3:21" x14ac:dyDescent="0.2">
      <c r="C237" s="5">
        <v>44804</v>
      </c>
      <c r="D237" s="6">
        <v>0.99975999999999998</v>
      </c>
      <c r="E237" s="6">
        <v>20050.5</v>
      </c>
      <c r="F237" s="6">
        <v>20064.919999999998</v>
      </c>
      <c r="G237" s="6">
        <v>20041</v>
      </c>
      <c r="H237" s="6">
        <v>20051.21</v>
      </c>
      <c r="I237" s="5">
        <v>44804</v>
      </c>
      <c r="J237" s="7">
        <f t="shared" si="20"/>
        <v>-3.5409334399227126E-5</v>
      </c>
      <c r="K237" s="5">
        <v>44804</v>
      </c>
      <c r="L237" s="8">
        <f t="shared" si="21"/>
        <v>1.1935532159073026E-3</v>
      </c>
      <c r="M237" s="5">
        <v>44804</v>
      </c>
      <c r="N237" s="9">
        <f t="shared" si="18"/>
        <v>1.1581438815080755E-3</v>
      </c>
      <c r="O237" s="5">
        <v>44804</v>
      </c>
      <c r="P237">
        <f t="shared" si="19"/>
        <v>1.0005094556159873</v>
      </c>
      <c r="Q237" s="6">
        <f t="shared" si="22"/>
        <v>1.0002400576138273</v>
      </c>
      <c r="R237">
        <f t="shared" si="23"/>
        <v>2.6929708292487724E-4</v>
      </c>
      <c r="T237" s="5">
        <v>44804</v>
      </c>
      <c r="U237" s="1">
        <v>2.6929708292487724E-4</v>
      </c>
    </row>
    <row r="238" spans="3:21" x14ac:dyDescent="0.2">
      <c r="C238" s="5">
        <v>44805</v>
      </c>
      <c r="D238" s="6">
        <v>0.99990999999999997</v>
      </c>
      <c r="E238" s="6">
        <v>20124.5</v>
      </c>
      <c r="F238" s="6">
        <v>20119.14</v>
      </c>
      <c r="G238" s="6">
        <v>20123</v>
      </c>
      <c r="H238" s="6">
        <v>20133.28</v>
      </c>
      <c r="I238" s="5">
        <v>44805</v>
      </c>
      <c r="J238" s="7">
        <f t="shared" si="20"/>
        <v>-4.3609387044728112E-4</v>
      </c>
      <c r="K238" s="5">
        <v>44805</v>
      </c>
      <c r="L238" s="8">
        <f t="shared" si="21"/>
        <v>-1.9182030512351946E-4</v>
      </c>
      <c r="M238" s="5">
        <v>44805</v>
      </c>
      <c r="N238" s="9">
        <f t="shared" si="18"/>
        <v>-6.2791417557080055E-4</v>
      </c>
      <c r="O238" s="5">
        <v>44805</v>
      </c>
      <c r="P238">
        <f t="shared" si="19"/>
        <v>1.0005108582219351</v>
      </c>
      <c r="Q238" s="6">
        <f t="shared" si="22"/>
        <v>1.0000900081007291</v>
      </c>
      <c r="R238">
        <f t="shared" si="23"/>
        <v>4.2072372805422326E-4</v>
      </c>
      <c r="T238" s="5">
        <v>44805</v>
      </c>
      <c r="U238" s="1">
        <v>4.2072372805422326E-4</v>
      </c>
    </row>
    <row r="239" spans="3:21" x14ac:dyDescent="0.2">
      <c r="C239" s="5">
        <v>44806</v>
      </c>
      <c r="D239" s="6">
        <v>1.0001500000000001</v>
      </c>
      <c r="E239" s="6">
        <v>19940.5</v>
      </c>
      <c r="F239" s="6">
        <v>19972.12</v>
      </c>
      <c r="G239" s="6">
        <v>19941.5</v>
      </c>
      <c r="H239" s="6">
        <v>19955.34</v>
      </c>
      <c r="I239" s="5">
        <v>44806</v>
      </c>
      <c r="J239" s="7">
        <f t="shared" si="20"/>
        <v>-7.4366059410664739E-4</v>
      </c>
      <c r="K239" s="5">
        <v>44806</v>
      </c>
      <c r="L239" s="8">
        <f t="shared" si="21"/>
        <v>1.5354913120878058E-3</v>
      </c>
      <c r="M239" s="5">
        <v>44806</v>
      </c>
      <c r="N239" s="9">
        <f t="shared" si="18"/>
        <v>7.9183071798115845E-4</v>
      </c>
      <c r="O239" s="5">
        <v>44806</v>
      </c>
      <c r="P239">
        <f t="shared" si="19"/>
        <v>1.0006940300378608</v>
      </c>
      <c r="Q239" s="6">
        <f t="shared" si="22"/>
        <v>0.99985002249662536</v>
      </c>
      <c r="R239">
        <f t="shared" si="23"/>
        <v>8.4377806151404071E-4</v>
      </c>
      <c r="T239" s="5">
        <v>44806</v>
      </c>
      <c r="U239" s="1">
        <v>8.4377806151404071E-4</v>
      </c>
    </row>
    <row r="240" spans="3:21" x14ac:dyDescent="0.2">
      <c r="C240" s="5">
        <v>44807</v>
      </c>
      <c r="D240" s="6">
        <v>1.00024</v>
      </c>
      <c r="E240" s="6">
        <v>19821.5</v>
      </c>
      <c r="F240" s="6">
        <v>19839.169999999998</v>
      </c>
      <c r="G240" s="6">
        <v>19821</v>
      </c>
      <c r="H240" s="6">
        <v>19833.16</v>
      </c>
      <c r="I240" s="5">
        <v>44807</v>
      </c>
      <c r="J240" s="7">
        <f t="shared" si="20"/>
        <v>-5.8790429765099737E-4</v>
      </c>
      <c r="K240" s="5">
        <v>44807</v>
      </c>
      <c r="L240" s="8">
        <f t="shared" si="21"/>
        <v>9.1670450532254949E-4</v>
      </c>
      <c r="M240" s="5">
        <v>44807</v>
      </c>
      <c r="N240" s="9">
        <f t="shared" si="18"/>
        <v>3.2880020767155212E-4</v>
      </c>
      <c r="O240" s="5">
        <v>44807</v>
      </c>
      <c r="P240">
        <f t="shared" si="19"/>
        <v>1.0006134907421422</v>
      </c>
      <c r="Q240" s="6">
        <f t="shared" si="22"/>
        <v>0.99976005758617925</v>
      </c>
      <c r="R240">
        <f t="shared" si="23"/>
        <v>8.5327383823543949E-4</v>
      </c>
      <c r="T240" s="5">
        <v>44807</v>
      </c>
      <c r="U240" s="1">
        <v>8.5327383823543949E-4</v>
      </c>
    </row>
    <row r="241" spans="3:21" x14ac:dyDescent="0.2">
      <c r="C241" s="5">
        <v>44808</v>
      </c>
      <c r="D241" s="6">
        <v>1.0001800000000001</v>
      </c>
      <c r="E241" s="6">
        <v>19986.5</v>
      </c>
      <c r="F241" s="6">
        <v>19980.27</v>
      </c>
      <c r="G241" s="6">
        <v>19995.5</v>
      </c>
      <c r="H241" s="6">
        <v>20001.27</v>
      </c>
      <c r="I241" s="5">
        <v>44808</v>
      </c>
      <c r="J241" s="7">
        <f t="shared" si="20"/>
        <v>-7.3845310822764931E-4</v>
      </c>
      <c r="K241" s="5">
        <v>44808</v>
      </c>
      <c r="L241" s="8">
        <f t="shared" si="21"/>
        <v>-7.6167137605959157E-4</v>
      </c>
      <c r="M241" s="5">
        <v>44808</v>
      </c>
      <c r="N241" s="9">
        <f t="shared" si="18"/>
        <v>-1.5001244842872408E-3</v>
      </c>
      <c r="O241" s="5">
        <v>44808</v>
      </c>
      <c r="P241">
        <f t="shared" si="19"/>
        <v>1.0002885649271087</v>
      </c>
      <c r="Q241" s="6">
        <f t="shared" si="22"/>
        <v>0.99982003239416894</v>
      </c>
      <c r="R241">
        <f t="shared" si="23"/>
        <v>4.6850710220185441E-4</v>
      </c>
      <c r="T241" s="5">
        <v>44808</v>
      </c>
      <c r="U241" s="1">
        <v>4.6850710220185441E-4</v>
      </c>
    </row>
    <row r="242" spans="3:21" x14ac:dyDescent="0.2">
      <c r="C242" s="5">
        <v>44809</v>
      </c>
      <c r="D242" s="6">
        <v>0.99995000000000001</v>
      </c>
      <c r="E242" s="6">
        <v>19780</v>
      </c>
      <c r="F242" s="6">
        <v>19811.05</v>
      </c>
      <c r="G242" s="6">
        <v>19784.5</v>
      </c>
      <c r="H242" s="6">
        <v>19794.78</v>
      </c>
      <c r="I242" s="5">
        <v>44809</v>
      </c>
      <c r="J242" s="7">
        <f t="shared" si="20"/>
        <v>-7.466614935856239E-4</v>
      </c>
      <c r="K242" s="5">
        <v>44809</v>
      </c>
      <c r="L242" s="8">
        <f t="shared" si="21"/>
        <v>1.3419596148499721E-3</v>
      </c>
      <c r="M242" s="5">
        <v>44809</v>
      </c>
      <c r="N242" s="9">
        <f t="shared" si="18"/>
        <v>5.9529812126434825E-4</v>
      </c>
      <c r="O242" s="5">
        <v>44809</v>
      </c>
      <c r="P242">
        <f t="shared" si="19"/>
        <v>1.0005195986757309</v>
      </c>
      <c r="Q242" s="6">
        <f t="shared" si="22"/>
        <v>1.0000500025001251</v>
      </c>
      <c r="R242">
        <f t="shared" si="23"/>
        <v>4.6946248103995188E-4</v>
      </c>
      <c r="T242" s="5">
        <v>44809</v>
      </c>
      <c r="U242" s="1">
        <v>4.6946248103995188E-4</v>
      </c>
    </row>
    <row r="243" spans="3:21" x14ac:dyDescent="0.2">
      <c r="C243" s="5">
        <v>44810</v>
      </c>
      <c r="D243" s="6">
        <v>0.99994000000000005</v>
      </c>
      <c r="E243" s="6">
        <v>18782.5</v>
      </c>
      <c r="F243" s="6">
        <v>18810.03</v>
      </c>
      <c r="G243" s="6">
        <v>18775.5</v>
      </c>
      <c r="H243" s="6">
        <v>18789.669999999998</v>
      </c>
      <c r="I243" s="5">
        <v>44810</v>
      </c>
      <c r="J243" s="7">
        <f t="shared" si="20"/>
        <v>-3.8159265170693548E-4</v>
      </c>
      <c r="K243" s="5">
        <v>44810</v>
      </c>
      <c r="L243" s="8">
        <f t="shared" si="21"/>
        <v>1.8390988255971258E-3</v>
      </c>
      <c r="M243" s="5">
        <v>44810</v>
      </c>
      <c r="N243" s="9">
        <f t="shared" si="18"/>
        <v>1.4575061738901903E-3</v>
      </c>
      <c r="O243" s="5">
        <v>44810</v>
      </c>
      <c r="P243">
        <f t="shared" si="19"/>
        <v>1.0007547069319058</v>
      </c>
      <c r="Q243" s="6">
        <f t="shared" si="22"/>
        <v>1.0000600036002159</v>
      </c>
      <c r="R243">
        <f t="shared" si="23"/>
        <v>6.9442048376567905E-4</v>
      </c>
      <c r="T243" s="5">
        <v>44810</v>
      </c>
      <c r="U243" s="1">
        <v>6.9442048376567905E-4</v>
      </c>
    </row>
    <row r="244" spans="3:21" x14ac:dyDescent="0.2">
      <c r="C244" s="5">
        <v>44811</v>
      </c>
      <c r="D244" s="6">
        <v>1.0000199999999999</v>
      </c>
      <c r="E244" s="6">
        <v>19287</v>
      </c>
      <c r="F244" s="6">
        <v>19315.72</v>
      </c>
      <c r="G244" s="6">
        <v>19286</v>
      </c>
      <c r="H244" s="6">
        <v>19291.68</v>
      </c>
      <c r="I244" s="5">
        <v>44811</v>
      </c>
      <c r="J244" s="7">
        <f t="shared" si="20"/>
        <v>-2.4259162499068465E-4</v>
      </c>
      <c r="K244" s="5">
        <v>44811</v>
      </c>
      <c r="L244" s="8">
        <f t="shared" si="21"/>
        <v>1.5410142071969907E-3</v>
      </c>
      <c r="M244" s="5">
        <v>44811</v>
      </c>
      <c r="N244" s="9">
        <f t="shared" si="18"/>
        <v>1.2984225822063062E-3</v>
      </c>
      <c r="O244" s="5">
        <v>44811</v>
      </c>
      <c r="P244">
        <f t="shared" si="19"/>
        <v>1.0002945141553459</v>
      </c>
      <c r="Q244" s="6">
        <f t="shared" si="22"/>
        <v>0.99998000039999213</v>
      </c>
      <c r="R244">
        <f t="shared" si="23"/>
        <v>3.1447059456800688E-4</v>
      </c>
      <c r="T244" s="5">
        <v>44811</v>
      </c>
      <c r="U244" s="1">
        <v>3.1447059456800688E-4</v>
      </c>
    </row>
    <row r="245" spans="3:21" x14ac:dyDescent="0.2">
      <c r="C245" s="5">
        <v>44812</v>
      </c>
      <c r="D245" s="6">
        <v>0.99987000000000004</v>
      </c>
      <c r="E245" s="6">
        <v>19304.5</v>
      </c>
      <c r="F245" s="6">
        <v>19328.349999999999</v>
      </c>
      <c r="G245" s="6">
        <v>19308</v>
      </c>
      <c r="H245" s="6">
        <v>19317.14</v>
      </c>
      <c r="I245" s="5">
        <v>44812</v>
      </c>
      <c r="J245" s="7">
        <f t="shared" si="20"/>
        <v>-6.5434117058733431E-4</v>
      </c>
      <c r="K245" s="5">
        <v>44812</v>
      </c>
      <c r="L245" s="8">
        <f t="shared" si="21"/>
        <v>1.0539672674538298E-3</v>
      </c>
      <c r="M245" s="5">
        <v>44812</v>
      </c>
      <c r="N245" s="9">
        <f t="shared" si="18"/>
        <v>3.9962609686649544E-4</v>
      </c>
      <c r="O245" s="5">
        <v>44812</v>
      </c>
      <c r="P245">
        <f t="shared" si="19"/>
        <v>1.0004733789102962</v>
      </c>
      <c r="Q245" s="6">
        <f t="shared" si="22"/>
        <v>1.0001300169021972</v>
      </c>
      <c r="R245">
        <f t="shared" si="23"/>
        <v>3.4325845111435164E-4</v>
      </c>
      <c r="T245" s="5">
        <v>44812</v>
      </c>
      <c r="U245" s="1">
        <v>3.4325845111435164E-4</v>
      </c>
    </row>
    <row r="246" spans="3:21" x14ac:dyDescent="0.2">
      <c r="C246" s="5">
        <v>44813</v>
      </c>
      <c r="D246" s="6">
        <v>1.0002800000000001</v>
      </c>
      <c r="E246" s="6">
        <v>21350.5</v>
      </c>
      <c r="F246" s="6">
        <v>21314.2</v>
      </c>
      <c r="G246" s="6">
        <v>21361.5</v>
      </c>
      <c r="H246" s="6">
        <v>21364.44</v>
      </c>
      <c r="I246" s="5">
        <v>44813</v>
      </c>
      <c r="J246" s="7">
        <f t="shared" si="20"/>
        <v>-6.5248609371454109E-4</v>
      </c>
      <c r="K246" s="5">
        <v>44813</v>
      </c>
      <c r="L246" s="8">
        <f t="shared" si="21"/>
        <v>-2.2142639795894141E-3</v>
      </c>
      <c r="M246" s="5">
        <v>44813</v>
      </c>
      <c r="N246" s="9">
        <f t="shared" si="18"/>
        <v>-2.8667500733039553E-3</v>
      </c>
      <c r="O246" s="5">
        <v>44813</v>
      </c>
      <c r="P246">
        <f t="shared" si="19"/>
        <v>1.000137630784355</v>
      </c>
      <c r="Q246" s="6">
        <f t="shared" si="22"/>
        <v>0.9997200783780541</v>
      </c>
      <c r="R246">
        <f t="shared" si="23"/>
        <v>4.1758212142345441E-4</v>
      </c>
      <c r="T246" s="5">
        <v>44813</v>
      </c>
      <c r="U246" s="1">
        <v>4.1758212142345441E-4</v>
      </c>
    </row>
    <row r="247" spans="3:21" x14ac:dyDescent="0.2">
      <c r="C247" s="5">
        <v>44814</v>
      </c>
      <c r="D247" s="6">
        <v>1.00024</v>
      </c>
      <c r="E247" s="6">
        <v>21632.5</v>
      </c>
      <c r="F247" s="6">
        <v>21606.27</v>
      </c>
      <c r="G247" s="6">
        <v>21641</v>
      </c>
      <c r="H247" s="6">
        <v>21645.83</v>
      </c>
      <c r="I247" s="5">
        <v>44814</v>
      </c>
      <c r="J247" s="7">
        <f t="shared" si="20"/>
        <v>-6.1582300147426758E-4</v>
      </c>
      <c r="K247" s="5">
        <v>44814</v>
      </c>
      <c r="L247" s="8">
        <f t="shared" si="21"/>
        <v>-1.6048241763319422E-3</v>
      </c>
      <c r="M247" s="5">
        <v>44814</v>
      </c>
      <c r="N247" s="9">
        <f t="shared" si="18"/>
        <v>-2.2206471778062099E-3</v>
      </c>
      <c r="O247" s="5">
        <v>44814</v>
      </c>
      <c r="P247">
        <f t="shared" si="19"/>
        <v>1.0002231874682317</v>
      </c>
      <c r="Q247" s="6">
        <f t="shared" si="22"/>
        <v>0.99976005758617925</v>
      </c>
      <c r="R247">
        <f t="shared" si="23"/>
        <v>4.631337702211886E-4</v>
      </c>
      <c r="T247" s="5">
        <v>44814</v>
      </c>
      <c r="U247" s="1">
        <v>4.631337702211886E-4</v>
      </c>
    </row>
    <row r="248" spans="3:21" x14ac:dyDescent="0.2">
      <c r="C248" s="5">
        <v>44815</v>
      </c>
      <c r="D248" s="6">
        <v>1.0002599999999999</v>
      </c>
      <c r="E248" s="6">
        <v>21810</v>
      </c>
      <c r="F248" s="6">
        <v>21809.32</v>
      </c>
      <c r="G248" s="6">
        <v>21827.5</v>
      </c>
      <c r="H248" s="6">
        <v>21823.17</v>
      </c>
      <c r="I248" s="5">
        <v>44815</v>
      </c>
      <c r="J248" s="7">
        <f t="shared" si="20"/>
        <v>-6.0348702777819423E-4</v>
      </c>
      <c r="K248" s="5">
        <v>44815</v>
      </c>
      <c r="L248" s="8">
        <f t="shared" si="21"/>
        <v>-8.3289428473257545E-4</v>
      </c>
      <c r="M248" s="5">
        <v>44815</v>
      </c>
      <c r="N248" s="9">
        <f t="shared" si="18"/>
        <v>-1.4363813125107697E-3</v>
      </c>
      <c r="O248" s="5">
        <v>44815</v>
      </c>
      <c r="P248">
        <f t="shared" si="19"/>
        <v>0.99980162638872982</v>
      </c>
      <c r="Q248" s="6">
        <f t="shared" si="22"/>
        <v>0.99974006758242862</v>
      </c>
      <c r="R248">
        <f t="shared" si="23"/>
        <v>6.157291593996336E-5</v>
      </c>
      <c r="T248" s="5">
        <v>44815</v>
      </c>
      <c r="U248" s="1">
        <v>6.157291593996336E-5</v>
      </c>
    </row>
    <row r="249" spans="3:21" x14ac:dyDescent="0.2">
      <c r="C249" s="5">
        <v>44816</v>
      </c>
      <c r="D249" s="6">
        <v>1.0001800000000001</v>
      </c>
      <c r="E249" s="6">
        <v>22388.5</v>
      </c>
      <c r="F249" s="6">
        <v>22402.07</v>
      </c>
      <c r="G249" s="6">
        <v>22393.5</v>
      </c>
      <c r="H249" s="6">
        <v>22394.49</v>
      </c>
      <c r="I249" s="5">
        <v>44816</v>
      </c>
      <c r="J249" s="7">
        <f t="shared" si="20"/>
        <v>-2.6747650873056722E-4</v>
      </c>
      <c r="K249" s="5">
        <v>44816</v>
      </c>
      <c r="L249" s="8">
        <f t="shared" si="21"/>
        <v>3.8270033715139256E-4</v>
      </c>
      <c r="M249" s="5">
        <v>44816</v>
      </c>
      <c r="N249" s="9">
        <f t="shared" si="18"/>
        <v>1.1522382842082534E-4</v>
      </c>
      <c r="O249" s="5">
        <v>44816</v>
      </c>
      <c r="P249">
        <f t="shared" si="19"/>
        <v>1.0000442092571507</v>
      </c>
      <c r="Q249" s="6">
        <f t="shared" si="22"/>
        <v>0.99982003239416894</v>
      </c>
      <c r="R249">
        <f t="shared" si="23"/>
        <v>2.2419208189406638E-4</v>
      </c>
      <c r="T249" s="5">
        <v>44816</v>
      </c>
      <c r="U249" s="1">
        <v>2.2419208189406638E-4</v>
      </c>
    </row>
    <row r="250" spans="3:21" x14ac:dyDescent="0.2">
      <c r="C250" s="5">
        <v>44817</v>
      </c>
      <c r="D250" s="6">
        <v>1.00004</v>
      </c>
      <c r="E250" s="6">
        <v>20164</v>
      </c>
      <c r="F250" s="6">
        <v>20195.13</v>
      </c>
      <c r="G250" s="6">
        <v>20157</v>
      </c>
      <c r="H250" s="6">
        <v>20172.78</v>
      </c>
      <c r="I250" s="5">
        <v>44817</v>
      </c>
      <c r="J250" s="7">
        <f t="shared" si="20"/>
        <v>-4.3523996196849599E-4</v>
      </c>
      <c r="K250" s="5">
        <v>44817</v>
      </c>
      <c r="L250" s="8">
        <f t="shared" si="21"/>
        <v>1.8916505432356511E-3</v>
      </c>
      <c r="M250" s="5">
        <v>44817</v>
      </c>
      <c r="N250" s="9">
        <f t="shared" si="18"/>
        <v>1.4564105812671551E-3</v>
      </c>
      <c r="O250" s="5">
        <v>44817</v>
      </c>
      <c r="P250">
        <f t="shared" si="19"/>
        <v>1.000782854591457</v>
      </c>
      <c r="Q250" s="6">
        <f t="shared" si="22"/>
        <v>0.99996000159993592</v>
      </c>
      <c r="R250">
        <f t="shared" si="23"/>
        <v>8.2254752065597241E-4</v>
      </c>
      <c r="T250" s="5">
        <v>44817</v>
      </c>
      <c r="U250" s="1">
        <v>8.2254752065597241E-4</v>
      </c>
    </row>
    <row r="251" spans="3:21" x14ac:dyDescent="0.2">
      <c r="C251" s="5">
        <v>44818</v>
      </c>
      <c r="D251" s="6">
        <v>1.0001</v>
      </c>
      <c r="E251" s="6">
        <v>20220</v>
      </c>
      <c r="F251" s="6">
        <v>20233.5</v>
      </c>
      <c r="G251" s="6">
        <v>20220.5</v>
      </c>
      <c r="H251" s="6">
        <v>20224.55</v>
      </c>
      <c r="I251" s="5">
        <v>44818</v>
      </c>
      <c r="J251" s="7">
        <f t="shared" si="20"/>
        <v>-2.2497410325566069E-4</v>
      </c>
      <c r="K251" s="5">
        <v>44818</v>
      </c>
      <c r="L251" s="8">
        <f t="shared" si="21"/>
        <v>6.4291189634282041E-4</v>
      </c>
      <c r="M251" s="5">
        <v>44818</v>
      </c>
      <c r="N251" s="9">
        <f t="shared" si="18"/>
        <v>4.179377930871597E-4</v>
      </c>
      <c r="O251" s="5">
        <v>44818</v>
      </c>
      <c r="P251">
        <f t="shared" si="19"/>
        <v>1.0002002917830914</v>
      </c>
      <c r="Q251" s="6">
        <f t="shared" si="22"/>
        <v>0.99990000999900008</v>
      </c>
      <c r="R251">
        <f t="shared" si="23"/>
        <v>3.0026672770351397E-4</v>
      </c>
      <c r="T251" s="5">
        <v>44818</v>
      </c>
      <c r="U251" s="1">
        <v>3.0026672770351397E-4</v>
      </c>
    </row>
    <row r="252" spans="3:21" x14ac:dyDescent="0.2">
      <c r="C252" s="5">
        <v>44819</v>
      </c>
      <c r="D252" s="6">
        <v>0.99992999999999999</v>
      </c>
      <c r="E252" s="6">
        <v>19692.5</v>
      </c>
      <c r="F252" s="6">
        <v>19721.66</v>
      </c>
      <c r="G252" s="6">
        <v>19693.5</v>
      </c>
      <c r="H252" s="6">
        <v>19700.98</v>
      </c>
      <c r="I252" s="5">
        <v>44819</v>
      </c>
      <c r="J252" s="7">
        <f t="shared" si="20"/>
        <v>-4.3043544026741634E-4</v>
      </c>
      <c r="K252" s="5">
        <v>44819</v>
      </c>
      <c r="L252" s="8">
        <f t="shared" si="21"/>
        <v>1.4299134232106966E-3</v>
      </c>
      <c r="M252" s="5">
        <v>44819</v>
      </c>
      <c r="N252" s="9">
        <f t="shared" si="18"/>
        <v>9.9947798294328029E-4</v>
      </c>
      <c r="O252" s="5">
        <v>44819</v>
      </c>
      <c r="P252">
        <f t="shared" si="19"/>
        <v>1.0003798207530403</v>
      </c>
      <c r="Q252" s="6">
        <f t="shared" si="22"/>
        <v>1.000070004900343</v>
      </c>
      <c r="R252">
        <f t="shared" si="23"/>
        <v>3.0974618928337669E-4</v>
      </c>
      <c r="T252" s="5">
        <v>44819</v>
      </c>
      <c r="U252" s="1">
        <v>3.0974618928337669E-4</v>
      </c>
    </row>
    <row r="253" spans="3:21" x14ac:dyDescent="0.2">
      <c r="C253" s="5">
        <v>44820</v>
      </c>
      <c r="D253" s="6">
        <v>0.99997000000000003</v>
      </c>
      <c r="E253" s="6">
        <v>19790.5</v>
      </c>
      <c r="F253" s="6">
        <v>19826.95</v>
      </c>
      <c r="G253" s="6">
        <v>19786.5</v>
      </c>
      <c r="H253" s="6">
        <v>19807.09</v>
      </c>
      <c r="I253" s="5">
        <v>44820</v>
      </c>
      <c r="J253" s="7">
        <f t="shared" si="20"/>
        <v>-8.3757886696128234E-4</v>
      </c>
      <c r="K253" s="5">
        <v>44820</v>
      </c>
      <c r="L253" s="8">
        <f t="shared" si="21"/>
        <v>2.0443231496222541E-3</v>
      </c>
      <c r="M253" s="5">
        <v>44820</v>
      </c>
      <c r="N253" s="9">
        <f t="shared" si="18"/>
        <v>1.2067442826609717E-3</v>
      </c>
      <c r="O253" s="5">
        <v>44820</v>
      </c>
      <c r="P253">
        <f t="shared" si="19"/>
        <v>1.0010406084956915</v>
      </c>
      <c r="Q253" s="6">
        <f t="shared" si="22"/>
        <v>1.0000300009000269</v>
      </c>
      <c r="R253">
        <f t="shared" si="23"/>
        <v>1.0100669879822099E-3</v>
      </c>
      <c r="T253" s="5">
        <v>44820</v>
      </c>
      <c r="U253" s="1">
        <v>1.0100669879822099E-3</v>
      </c>
    </row>
    <row r="254" spans="3:21" x14ac:dyDescent="0.2">
      <c r="C254" s="5">
        <v>44821</v>
      </c>
      <c r="D254" s="6">
        <v>1.0000599999999999</v>
      </c>
      <c r="E254" s="6">
        <v>20106</v>
      </c>
      <c r="F254" s="6">
        <v>20135.169999999998</v>
      </c>
      <c r="G254" s="6">
        <v>20110.5</v>
      </c>
      <c r="H254" s="6">
        <v>20112</v>
      </c>
      <c r="I254" s="5">
        <v>44821</v>
      </c>
      <c r="J254" s="7">
        <f t="shared" si="20"/>
        <v>-2.983293556085919E-4</v>
      </c>
      <c r="K254" s="5">
        <v>44821</v>
      </c>
      <c r="L254" s="8">
        <f t="shared" si="21"/>
        <v>1.226722358966622E-3</v>
      </c>
      <c r="M254" s="5">
        <v>44821</v>
      </c>
      <c r="N254" s="9">
        <f t="shared" si="18"/>
        <v>9.2839300335803012E-4</v>
      </c>
      <c r="O254" s="5">
        <v>44821</v>
      </c>
      <c r="P254">
        <f t="shared" si="19"/>
        <v>1.0000745879018422</v>
      </c>
      <c r="Q254" s="6">
        <f t="shared" si="22"/>
        <v>0.99994000359978408</v>
      </c>
      <c r="R254">
        <f t="shared" si="23"/>
        <v>1.3458332037497465E-4</v>
      </c>
      <c r="T254" s="5">
        <v>44821</v>
      </c>
      <c r="U254" s="1">
        <v>1.3458332037497465E-4</v>
      </c>
    </row>
    <row r="255" spans="3:21" x14ac:dyDescent="0.2">
      <c r="C255" s="5">
        <v>44822</v>
      </c>
      <c r="D255" s="6">
        <v>0.99997000000000003</v>
      </c>
      <c r="E255" s="6">
        <v>19408.5</v>
      </c>
      <c r="F255" s="6">
        <v>19431.91</v>
      </c>
      <c r="G255" s="6">
        <v>19406</v>
      </c>
      <c r="H255" s="6">
        <v>19416.95</v>
      </c>
      <c r="I255" s="5">
        <v>44822</v>
      </c>
      <c r="J255" s="7">
        <f t="shared" si="20"/>
        <v>-4.3518678268217857E-4</v>
      </c>
      <c r="K255" s="5">
        <v>44822</v>
      </c>
      <c r="L255" s="8">
        <f t="shared" si="21"/>
        <v>1.3351540760589433E-3</v>
      </c>
      <c r="M255" s="5">
        <v>44822</v>
      </c>
      <c r="N255" s="9">
        <f t="shared" si="18"/>
        <v>8.9996729337676472E-4</v>
      </c>
      <c r="O255" s="5">
        <v>44822</v>
      </c>
      <c r="P255">
        <f t="shared" si="19"/>
        <v>1.0005642584767598</v>
      </c>
      <c r="Q255" s="6">
        <f t="shared" si="22"/>
        <v>1.0000300009000269</v>
      </c>
      <c r="R255">
        <f t="shared" si="23"/>
        <v>5.3409889279547838E-4</v>
      </c>
      <c r="T255" s="5">
        <v>44822</v>
      </c>
      <c r="U255" s="1">
        <v>5.3409889279547838E-4</v>
      </c>
    </row>
    <row r="256" spans="3:21" x14ac:dyDescent="0.2">
      <c r="C256" s="5">
        <v>44823</v>
      </c>
      <c r="D256" s="6">
        <v>1.0001500000000001</v>
      </c>
      <c r="E256" s="6">
        <v>19527.5</v>
      </c>
      <c r="F256" s="6">
        <v>19557.439999999999</v>
      </c>
      <c r="G256" s="6">
        <v>19529.5</v>
      </c>
      <c r="H256" s="6">
        <v>19535.580000000002</v>
      </c>
      <c r="I256" s="5">
        <v>44823</v>
      </c>
      <c r="J256" s="7">
        <f t="shared" si="20"/>
        <v>-4.1360430557995954E-4</v>
      </c>
      <c r="K256" s="5">
        <v>44823</v>
      </c>
      <c r="L256" s="8">
        <f t="shared" si="21"/>
        <v>1.4306561867942697E-3</v>
      </c>
      <c r="M256" s="5">
        <v>44823</v>
      </c>
      <c r="N256" s="9">
        <f t="shared" si="18"/>
        <v>1.0170518812143102E-3</v>
      </c>
      <c r="O256" s="5">
        <v>44823</v>
      </c>
      <c r="P256">
        <f t="shared" si="19"/>
        <v>1.0003113238946211</v>
      </c>
      <c r="Q256" s="6">
        <f t="shared" si="22"/>
        <v>0.99985002249662536</v>
      </c>
      <c r="R256">
        <f t="shared" si="23"/>
        <v>4.6126419451825618E-4</v>
      </c>
      <c r="T256" s="5">
        <v>44823</v>
      </c>
      <c r="U256" s="1">
        <v>4.6126419451825618E-4</v>
      </c>
    </row>
    <row r="257" spans="3:21" x14ac:dyDescent="0.2">
      <c r="C257" s="5">
        <v>44824</v>
      </c>
      <c r="D257" s="6">
        <v>1.00007</v>
      </c>
      <c r="E257" s="6">
        <v>18870</v>
      </c>
      <c r="F257" s="6">
        <v>18889.29</v>
      </c>
      <c r="G257" s="6">
        <v>18869</v>
      </c>
      <c r="H257" s="6">
        <v>18875.72</v>
      </c>
      <c r="I257" s="5">
        <v>44824</v>
      </c>
      <c r="J257" s="7">
        <f t="shared" si="20"/>
        <v>-3.0303479814286098E-4</v>
      </c>
      <c r="K257" s="5">
        <v>44824</v>
      </c>
      <c r="L257" s="8">
        <f t="shared" si="21"/>
        <v>1.0753087074037242E-3</v>
      </c>
      <c r="M257" s="5">
        <v>44824</v>
      </c>
      <c r="N257" s="9">
        <f t="shared" si="18"/>
        <v>7.7227390926086319E-4</v>
      </c>
      <c r="O257" s="5">
        <v>44824</v>
      </c>
      <c r="P257">
        <f t="shared" si="19"/>
        <v>1.0003561397000371</v>
      </c>
      <c r="Q257" s="6">
        <f t="shared" si="22"/>
        <v>0.999930004899657</v>
      </c>
      <c r="R257">
        <f t="shared" si="23"/>
        <v>4.2607384746142277E-4</v>
      </c>
      <c r="T257" s="5">
        <v>44824</v>
      </c>
      <c r="U257" s="1">
        <v>4.2607384746142277E-4</v>
      </c>
    </row>
    <row r="258" spans="3:21" x14ac:dyDescent="0.2">
      <c r="C258" s="5">
        <v>44825</v>
      </c>
      <c r="D258" s="6">
        <v>1</v>
      </c>
      <c r="E258" s="6">
        <v>18446.5</v>
      </c>
      <c r="F258" s="6">
        <v>18476.28</v>
      </c>
      <c r="G258" s="6">
        <v>18448.5</v>
      </c>
      <c r="H258" s="6">
        <v>18459.810000000001</v>
      </c>
      <c r="I258" s="5">
        <v>44825</v>
      </c>
      <c r="J258" s="7">
        <f t="shared" si="20"/>
        <v>-7.2102583937761595E-4</v>
      </c>
      <c r="K258" s="5">
        <v>44825</v>
      </c>
      <c r="L258" s="8">
        <f t="shared" si="21"/>
        <v>1.5058134807707313E-3</v>
      </c>
      <c r="M258" s="5">
        <v>44825</v>
      </c>
      <c r="N258" s="9">
        <f t="shared" si="18"/>
        <v>7.8478764139311538E-4</v>
      </c>
      <c r="O258" s="5">
        <v>44825</v>
      </c>
      <c r="P258">
        <f t="shared" si="19"/>
        <v>1.0006130579721928</v>
      </c>
      <c r="Q258" s="6">
        <f t="shared" si="22"/>
        <v>1</v>
      </c>
      <c r="R258">
        <f t="shared" si="23"/>
        <v>6.1287012892278603E-4</v>
      </c>
      <c r="T258" s="5">
        <v>44825</v>
      </c>
      <c r="U258" s="1">
        <v>6.1287012892278603E-4</v>
      </c>
    </row>
    <row r="259" spans="3:21" x14ac:dyDescent="0.2">
      <c r="C259" s="5">
        <v>44826</v>
      </c>
      <c r="D259" s="6">
        <v>0.99995000000000001</v>
      </c>
      <c r="E259" s="6">
        <v>19394.5</v>
      </c>
      <c r="F259" s="6">
        <v>19389.080000000002</v>
      </c>
      <c r="G259" s="6">
        <v>19395.5</v>
      </c>
      <c r="H259" s="6">
        <v>19397.79</v>
      </c>
      <c r="I259" s="5">
        <v>44826</v>
      </c>
      <c r="J259" s="7">
        <f t="shared" si="20"/>
        <v>-1.696069500701303E-4</v>
      </c>
      <c r="K259" s="5">
        <v>44826</v>
      </c>
      <c r="L259" s="8">
        <f t="shared" si="21"/>
        <v>-3.3100461447233914E-4</v>
      </c>
      <c r="M259" s="5">
        <v>44826</v>
      </c>
      <c r="N259" s="9">
        <f t="shared" si="18"/>
        <v>-5.0061156454246939E-4</v>
      </c>
      <c r="O259" s="5">
        <v>44826</v>
      </c>
      <c r="P259">
        <f t="shared" si="19"/>
        <v>1.0001180686241655</v>
      </c>
      <c r="Q259" s="6">
        <f t="shared" si="22"/>
        <v>1.0000500025001251</v>
      </c>
      <c r="R259">
        <f t="shared" si="23"/>
        <v>6.8060404572237618E-5</v>
      </c>
      <c r="T259" s="5">
        <v>44826</v>
      </c>
      <c r="U259" s="1">
        <v>6.8060404572237618E-5</v>
      </c>
    </row>
    <row r="260" spans="3:21" x14ac:dyDescent="0.2">
      <c r="C260" s="5">
        <v>44827</v>
      </c>
      <c r="D260" s="6">
        <v>0.99997000000000003</v>
      </c>
      <c r="E260" s="6">
        <v>19282</v>
      </c>
      <c r="F260" s="6">
        <v>19266.259999999998</v>
      </c>
      <c r="G260" s="6">
        <v>19281</v>
      </c>
      <c r="H260" s="6">
        <v>19287.95</v>
      </c>
      <c r="I260" s="5">
        <v>44827</v>
      </c>
      <c r="J260" s="7">
        <f t="shared" si="20"/>
        <v>-3.0848275736927602E-4</v>
      </c>
      <c r="K260" s="5">
        <v>44827</v>
      </c>
      <c r="L260" s="8">
        <f t="shared" si="21"/>
        <v>-7.6448316996014735E-4</v>
      </c>
      <c r="M260" s="5">
        <v>44827</v>
      </c>
      <c r="N260" s="9">
        <f t="shared" si="18"/>
        <v>-1.0729659273294233E-3</v>
      </c>
      <c r="O260" s="5">
        <v>44827</v>
      </c>
      <c r="P260">
        <f t="shared" si="19"/>
        <v>1.0003604584824439</v>
      </c>
      <c r="Q260" s="6">
        <f t="shared" si="22"/>
        <v>1.0000300009000269</v>
      </c>
      <c r="R260">
        <f t="shared" si="23"/>
        <v>3.3039308288358114E-4</v>
      </c>
      <c r="T260" s="5">
        <v>44827</v>
      </c>
      <c r="U260" s="1">
        <v>3.3039308288358114E-4</v>
      </c>
    </row>
    <row r="261" spans="3:21" x14ac:dyDescent="0.2">
      <c r="C261" s="5">
        <v>44828</v>
      </c>
      <c r="D261" s="6">
        <v>0.99999000000000005</v>
      </c>
      <c r="E261" s="6">
        <v>18911</v>
      </c>
      <c r="F261" s="6">
        <v>18907.509999999998</v>
      </c>
      <c r="G261" s="6">
        <v>18915.5</v>
      </c>
      <c r="H261" s="6">
        <v>18918.62</v>
      </c>
      <c r="I261" s="5">
        <v>44828</v>
      </c>
      <c r="J261" s="7">
        <f t="shared" si="20"/>
        <v>-4.027777924604956E-4</v>
      </c>
      <c r="K261" s="5">
        <v>44828</v>
      </c>
      <c r="L261" s="8">
        <f t="shared" si="21"/>
        <v>-4.2240490602953138E-4</v>
      </c>
      <c r="M261" s="5">
        <v>44828</v>
      </c>
      <c r="N261" s="9">
        <f t="shared" si="18"/>
        <v>-8.2518269849002693E-4</v>
      </c>
      <c r="O261" s="5">
        <v>44828</v>
      </c>
      <c r="P261">
        <f t="shared" si="19"/>
        <v>1.0001649440934683</v>
      </c>
      <c r="Q261" s="6">
        <f t="shared" si="22"/>
        <v>1.000010000100001</v>
      </c>
      <c r="R261">
        <f t="shared" si="23"/>
        <v>1.5493044168675744E-4</v>
      </c>
      <c r="T261" s="5">
        <v>44828</v>
      </c>
      <c r="U261" s="1">
        <v>1.5493044168675744E-4</v>
      </c>
    </row>
    <row r="262" spans="3:21" x14ac:dyDescent="0.2">
      <c r="C262" s="5">
        <v>44829</v>
      </c>
      <c r="D262" s="6">
        <v>1</v>
      </c>
      <c r="E262" s="6">
        <v>18800</v>
      </c>
      <c r="F262" s="6">
        <v>18806.82</v>
      </c>
      <c r="G262" s="6">
        <v>18805</v>
      </c>
      <c r="H262" s="6">
        <v>18806.849999999999</v>
      </c>
      <c r="I262" s="5">
        <v>44829</v>
      </c>
      <c r="J262" s="7">
        <f t="shared" si="20"/>
        <v>-3.6422899103244537E-4</v>
      </c>
      <c r="K262" s="5">
        <v>44829</v>
      </c>
      <c r="L262" s="8">
        <f t="shared" si="21"/>
        <v>9.6782770539734594E-5</v>
      </c>
      <c r="M262" s="5">
        <v>44829</v>
      </c>
      <c r="N262" s="9">
        <f t="shared" si="18"/>
        <v>-2.6744622049271075E-4</v>
      </c>
      <c r="O262" s="5">
        <v>44829</v>
      </c>
      <c r="P262">
        <f t="shared" si="19"/>
        <v>1.0000983780909332</v>
      </c>
      <c r="Q262" s="6">
        <f t="shared" si="22"/>
        <v>1</v>
      </c>
      <c r="R262">
        <f t="shared" si="23"/>
        <v>9.8373252126124599E-5</v>
      </c>
      <c r="T262" s="5">
        <v>44829</v>
      </c>
      <c r="U262" s="1">
        <v>9.8373252126124599E-5</v>
      </c>
    </row>
    <row r="263" spans="3:21" x14ac:dyDescent="0.2">
      <c r="C263" s="5">
        <v>44830</v>
      </c>
      <c r="D263" s="6">
        <v>0.99999000000000005</v>
      </c>
      <c r="E263" s="6">
        <v>19213.5</v>
      </c>
      <c r="F263" s="6">
        <v>19219.72</v>
      </c>
      <c r="G263" s="6">
        <v>19222</v>
      </c>
      <c r="H263" s="6">
        <v>19225.7</v>
      </c>
      <c r="I263" s="5">
        <v>44830</v>
      </c>
      <c r="J263" s="7">
        <f t="shared" si="20"/>
        <v>-6.3456727193291938E-4</v>
      </c>
      <c r="K263" s="5">
        <v>44830</v>
      </c>
      <c r="L263" s="8">
        <f t="shared" si="21"/>
        <v>-1.1861408802407845E-4</v>
      </c>
      <c r="M263" s="5">
        <v>44830</v>
      </c>
      <c r="N263" s="9">
        <f t="shared" si="18"/>
        <v>-7.5318135995699781E-4</v>
      </c>
      <c r="O263" s="5">
        <v>44830</v>
      </c>
      <c r="P263">
        <f t="shared" si="19"/>
        <v>1.0001924877744253</v>
      </c>
      <c r="Q263" s="6">
        <f t="shared" si="22"/>
        <v>1.000010000100001</v>
      </c>
      <c r="R263">
        <f t="shared" si="23"/>
        <v>1.8246920103034812E-4</v>
      </c>
      <c r="T263" s="5">
        <v>44830</v>
      </c>
      <c r="U263" s="1">
        <v>1.8246920103034812E-4</v>
      </c>
    </row>
    <row r="264" spans="3:21" x14ac:dyDescent="0.2">
      <c r="C264" s="5">
        <v>44831</v>
      </c>
      <c r="D264" s="6">
        <v>0.99983</v>
      </c>
      <c r="E264" s="6">
        <v>19071</v>
      </c>
      <c r="F264" s="6">
        <v>19083.72</v>
      </c>
      <c r="G264" s="6">
        <v>19068</v>
      </c>
      <c r="H264" s="6">
        <v>19076.02</v>
      </c>
      <c r="I264" s="5">
        <v>44831</v>
      </c>
      <c r="J264" s="7">
        <f t="shared" si="20"/>
        <v>-2.6315761883246279E-4</v>
      </c>
      <c r="K264" s="5">
        <v>44831</v>
      </c>
      <c r="L264" s="8">
        <f t="shared" si="21"/>
        <v>8.2441787287608373E-4</v>
      </c>
      <c r="M264" s="5">
        <v>44831</v>
      </c>
      <c r="N264" s="9">
        <f t="shared" ref="N264:N327" si="24">J264+L264</f>
        <v>5.6126025404362094E-4</v>
      </c>
      <c r="O264" s="5">
        <v>44831</v>
      </c>
      <c r="P264">
        <f t="shared" ref="P264:P327" si="25">(1/G264)*H264</f>
        <v>1.0004205999580449</v>
      </c>
      <c r="Q264" s="6">
        <f t="shared" si="22"/>
        <v>1.0001700289049138</v>
      </c>
      <c r="R264">
        <f t="shared" si="23"/>
        <v>2.5049707903891373E-4</v>
      </c>
      <c r="T264" s="5">
        <v>44831</v>
      </c>
      <c r="U264" s="1">
        <v>2.5049707903891373E-4</v>
      </c>
    </row>
    <row r="265" spans="3:21" x14ac:dyDescent="0.2">
      <c r="C265" s="5">
        <v>44832</v>
      </c>
      <c r="D265" s="6">
        <v>0.99992000000000003</v>
      </c>
      <c r="E265" s="6">
        <v>19407</v>
      </c>
      <c r="F265" s="6">
        <v>19407.95</v>
      </c>
      <c r="G265" s="6">
        <v>19408.5</v>
      </c>
      <c r="H265" s="6">
        <v>19413.5</v>
      </c>
      <c r="I265" s="5">
        <v>44832</v>
      </c>
      <c r="J265" s="7">
        <f t="shared" ref="J265:J328" si="26">(E265-H265)/H265</f>
        <v>-3.3481855409895174E-4</v>
      </c>
      <c r="K265" s="5">
        <v>44832</v>
      </c>
      <c r="L265" s="8">
        <f t="shared" ref="L265:L328" si="27">(F265-G265)/G265</f>
        <v>-2.8338099286357648E-5</v>
      </c>
      <c r="M265" s="5">
        <v>44832</v>
      </c>
      <c r="N265" s="9">
        <f t="shared" si="24"/>
        <v>-3.631566533853094E-4</v>
      </c>
      <c r="O265" s="5">
        <v>44832</v>
      </c>
      <c r="P265">
        <f t="shared" si="25"/>
        <v>1.0002576190844217</v>
      </c>
      <c r="Q265" s="6">
        <f t="shared" ref="Q265:Q328" si="28">1/D265</f>
        <v>1.000080006400512</v>
      </c>
      <c r="R265">
        <f t="shared" ref="R265:R328" si="29">LN(P265/Q265)</f>
        <v>1.7758270615290164E-4</v>
      </c>
      <c r="T265" s="5">
        <v>44832</v>
      </c>
      <c r="U265" s="1">
        <v>1.7758270615290164E-4</v>
      </c>
    </row>
    <row r="266" spans="3:21" x14ac:dyDescent="0.2">
      <c r="C266" s="5">
        <v>44833</v>
      </c>
      <c r="D266" s="6">
        <v>1.00004</v>
      </c>
      <c r="E266" s="6">
        <v>19579.5</v>
      </c>
      <c r="F266" s="6">
        <v>19590.82</v>
      </c>
      <c r="G266" s="6">
        <v>19580.5</v>
      </c>
      <c r="H266" s="6">
        <v>19591.57</v>
      </c>
      <c r="I266" s="5">
        <v>44833</v>
      </c>
      <c r="J266" s="7">
        <f t="shared" si="26"/>
        <v>-6.160813043569101E-4</v>
      </c>
      <c r="K266" s="5">
        <v>44833</v>
      </c>
      <c r="L266" s="8">
        <f t="shared" si="27"/>
        <v>5.2705497816703912E-4</v>
      </c>
      <c r="M266" s="5">
        <v>44833</v>
      </c>
      <c r="N266" s="9">
        <f t="shared" si="24"/>
        <v>-8.9026326189870983E-5</v>
      </c>
      <c r="O266" s="5">
        <v>44833</v>
      </c>
      <c r="P266">
        <f t="shared" si="25"/>
        <v>1.000565358392278</v>
      </c>
      <c r="Q266" s="6">
        <f t="shared" si="28"/>
        <v>0.99996000159993592</v>
      </c>
      <c r="R266">
        <f t="shared" si="29"/>
        <v>6.0519783745322236E-4</v>
      </c>
      <c r="T266" s="5">
        <v>44833</v>
      </c>
      <c r="U266" s="1">
        <v>6.0519783745322236E-4</v>
      </c>
    </row>
    <row r="267" spans="3:21" x14ac:dyDescent="0.2">
      <c r="C267" s="5">
        <v>44834</v>
      </c>
      <c r="D267" s="6">
        <v>1.0000199999999999</v>
      </c>
      <c r="E267" s="6">
        <v>19409.5</v>
      </c>
      <c r="F267" s="6">
        <v>19432.599999999999</v>
      </c>
      <c r="G267" s="6">
        <v>19411</v>
      </c>
      <c r="H267" s="6">
        <v>19421.900000000001</v>
      </c>
      <c r="I267" s="5">
        <v>44834</v>
      </c>
      <c r="J267" s="7">
        <f t="shared" si="26"/>
        <v>-6.3845452813583909E-4</v>
      </c>
      <c r="K267" s="5">
        <v>44834</v>
      </c>
      <c r="L267" s="8">
        <f t="shared" si="27"/>
        <v>1.1127711091648315E-3</v>
      </c>
      <c r="M267" s="5">
        <v>44834</v>
      </c>
      <c r="N267" s="9">
        <f t="shared" si="24"/>
        <v>4.7431658102899241E-4</v>
      </c>
      <c r="O267" s="5">
        <v>44834</v>
      </c>
      <c r="P267">
        <f t="shared" si="25"/>
        <v>1.0005615372726804</v>
      </c>
      <c r="Q267" s="6">
        <f t="shared" si="28"/>
        <v>0.99998000039999213</v>
      </c>
      <c r="R267">
        <f t="shared" si="29"/>
        <v>5.8137946962587511E-4</v>
      </c>
      <c r="T267" s="5">
        <v>44834</v>
      </c>
      <c r="U267" s="1">
        <v>5.8137946962587511E-4</v>
      </c>
    </row>
    <row r="268" spans="3:21" x14ac:dyDescent="0.2">
      <c r="C268" s="5">
        <v>44835</v>
      </c>
      <c r="D268" s="6">
        <v>1.0000100000000001</v>
      </c>
      <c r="E268" s="6">
        <v>19302.5</v>
      </c>
      <c r="F268" s="6">
        <v>19328.13</v>
      </c>
      <c r="G268" s="6">
        <v>19301</v>
      </c>
      <c r="H268" s="6">
        <v>19311.150000000001</v>
      </c>
      <c r="I268" s="5">
        <v>44835</v>
      </c>
      <c r="J268" s="7">
        <f t="shared" si="26"/>
        <v>-4.4792775158400481E-4</v>
      </c>
      <c r="K268" s="5">
        <v>44835</v>
      </c>
      <c r="L268" s="8">
        <f t="shared" si="27"/>
        <v>1.4056266514688885E-3</v>
      </c>
      <c r="M268" s="5">
        <v>44835</v>
      </c>
      <c r="N268" s="9">
        <f t="shared" si="24"/>
        <v>9.5769889988488372E-4</v>
      </c>
      <c r="O268" s="5">
        <v>44835</v>
      </c>
      <c r="P268">
        <f t="shared" si="25"/>
        <v>1.0005258794881096</v>
      </c>
      <c r="Q268" s="6">
        <f t="shared" si="28"/>
        <v>0.99999000009999894</v>
      </c>
      <c r="R268">
        <f t="shared" si="29"/>
        <v>5.3574121195010358E-4</v>
      </c>
      <c r="T268" s="5">
        <v>44835</v>
      </c>
      <c r="U268" s="1">
        <v>5.3574121195010358E-4</v>
      </c>
    </row>
    <row r="269" spans="3:21" x14ac:dyDescent="0.2">
      <c r="C269" s="5">
        <v>44836</v>
      </c>
      <c r="D269" s="6">
        <v>1</v>
      </c>
      <c r="E269" s="6">
        <v>19054</v>
      </c>
      <c r="F269" s="6">
        <v>19071.37</v>
      </c>
      <c r="G269" s="6">
        <v>19045</v>
      </c>
      <c r="H269" s="6">
        <v>19058.810000000001</v>
      </c>
      <c r="I269" s="5">
        <v>44836</v>
      </c>
      <c r="J269" s="7">
        <f t="shared" si="26"/>
        <v>-2.5237672236626051E-4</v>
      </c>
      <c r="K269" s="5">
        <v>44836</v>
      </c>
      <c r="L269" s="8">
        <f t="shared" si="27"/>
        <v>1.3846153846153312E-3</v>
      </c>
      <c r="M269" s="5">
        <v>44836</v>
      </c>
      <c r="N269" s="9">
        <f t="shared" si="24"/>
        <v>1.1322386622490707E-3</v>
      </c>
      <c r="O269" s="5">
        <v>44836</v>
      </c>
      <c r="P269">
        <f t="shared" si="25"/>
        <v>1.0007251247046469</v>
      </c>
      <c r="Q269" s="6">
        <f t="shared" si="28"/>
        <v>1</v>
      </c>
      <c r="R269">
        <f t="shared" si="29"/>
        <v>7.2486192875079614E-4</v>
      </c>
      <c r="T269" s="5">
        <v>44836</v>
      </c>
      <c r="U269" s="1">
        <v>7.2486192875079614E-4</v>
      </c>
    </row>
    <row r="270" spans="3:21" x14ac:dyDescent="0.2">
      <c r="C270" s="5">
        <v>44837</v>
      </c>
      <c r="D270" s="6">
        <v>1.0001</v>
      </c>
      <c r="E270" s="6">
        <v>19617.5</v>
      </c>
      <c r="F270" s="6">
        <v>19628.099999999999</v>
      </c>
      <c r="G270" s="6">
        <v>19625.5</v>
      </c>
      <c r="H270" s="6">
        <v>19628.05</v>
      </c>
      <c r="I270" s="5">
        <v>44837</v>
      </c>
      <c r="J270" s="7">
        <f t="shared" si="26"/>
        <v>-5.3749608341120345E-4</v>
      </c>
      <c r="K270" s="5">
        <v>44837</v>
      </c>
      <c r="L270" s="8">
        <f t="shared" si="27"/>
        <v>1.3248070112855951E-4</v>
      </c>
      <c r="M270" s="5">
        <v>44837</v>
      </c>
      <c r="N270" s="9">
        <f t="shared" si="24"/>
        <v>-4.0501538228264391E-4</v>
      </c>
      <c r="O270" s="5">
        <v>44837</v>
      </c>
      <c r="P270">
        <f t="shared" si="25"/>
        <v>1.0001299329953377</v>
      </c>
      <c r="Q270" s="6">
        <f t="shared" si="28"/>
        <v>0.99990000999900008</v>
      </c>
      <c r="R270">
        <f t="shared" si="29"/>
        <v>2.2991955511050295E-4</v>
      </c>
      <c r="T270" s="5">
        <v>44837</v>
      </c>
      <c r="U270" s="1">
        <v>2.2991955511050295E-4</v>
      </c>
    </row>
    <row r="271" spans="3:21" x14ac:dyDescent="0.2">
      <c r="C271" s="5">
        <v>44838</v>
      </c>
      <c r="D271" s="6">
        <v>1.00021</v>
      </c>
      <c r="E271" s="6">
        <v>20326.5</v>
      </c>
      <c r="F271" s="6">
        <v>20349.13</v>
      </c>
      <c r="G271" s="6">
        <v>20335</v>
      </c>
      <c r="H271" s="6">
        <v>20337.71</v>
      </c>
      <c r="I271" s="5">
        <v>44838</v>
      </c>
      <c r="J271" s="7">
        <f t="shared" si="26"/>
        <v>-5.5119283341138834E-4</v>
      </c>
      <c r="K271" s="5">
        <v>44838</v>
      </c>
      <c r="L271" s="8">
        <f t="shared" si="27"/>
        <v>6.9486107696095493E-4</v>
      </c>
      <c r="M271" s="5">
        <v>44838</v>
      </c>
      <c r="N271" s="9">
        <f t="shared" si="24"/>
        <v>1.4366824354956659E-4</v>
      </c>
      <c r="O271" s="5">
        <v>44838</v>
      </c>
      <c r="P271">
        <f t="shared" si="25"/>
        <v>1.0001332677649373</v>
      </c>
      <c r="Q271" s="6">
        <f t="shared" si="28"/>
        <v>0.9997900440907409</v>
      </c>
      <c r="R271">
        <f t="shared" si="29"/>
        <v>3.4323683866415323E-4</v>
      </c>
      <c r="T271" s="5">
        <v>44838</v>
      </c>
      <c r="U271" s="1">
        <v>3.4323683866415323E-4</v>
      </c>
    </row>
    <row r="272" spans="3:21" x14ac:dyDescent="0.2">
      <c r="C272" s="5">
        <v>44839</v>
      </c>
      <c r="D272" s="6">
        <v>1.0001100000000001</v>
      </c>
      <c r="E272" s="6">
        <v>20149</v>
      </c>
      <c r="F272" s="6">
        <v>20159.07</v>
      </c>
      <c r="G272" s="6">
        <v>20156</v>
      </c>
      <c r="H272" s="6">
        <v>20161.099999999999</v>
      </c>
      <c r="I272" s="5">
        <v>44839</v>
      </c>
      <c r="J272" s="7">
        <f t="shared" si="26"/>
        <v>-6.0016566556381082E-4</v>
      </c>
      <c r="K272" s="5">
        <v>44839</v>
      </c>
      <c r="L272" s="8">
        <f t="shared" si="27"/>
        <v>1.5231196666003717E-4</v>
      </c>
      <c r="M272" s="5">
        <v>44839</v>
      </c>
      <c r="N272" s="9">
        <f t="shared" si="24"/>
        <v>-4.4785369890377362E-4</v>
      </c>
      <c r="O272" s="5">
        <v>44839</v>
      </c>
      <c r="P272">
        <f t="shared" si="25"/>
        <v>1.0002530263941258</v>
      </c>
      <c r="Q272" s="6">
        <f t="shared" si="28"/>
        <v>0.99989001209866912</v>
      </c>
      <c r="R272">
        <f t="shared" si="29"/>
        <v>3.6298833879017404E-4</v>
      </c>
      <c r="T272" s="5">
        <v>44839</v>
      </c>
      <c r="U272" s="1">
        <v>3.6298833879017404E-4</v>
      </c>
    </row>
    <row r="273" spans="3:21" x14ac:dyDescent="0.2">
      <c r="C273" s="5">
        <v>44840</v>
      </c>
      <c r="D273" s="6">
        <v>1.0001500000000001</v>
      </c>
      <c r="E273" s="6">
        <v>19954.5</v>
      </c>
      <c r="F273" s="6">
        <v>19957.43</v>
      </c>
      <c r="G273" s="6">
        <v>19955</v>
      </c>
      <c r="H273" s="6">
        <v>19961.77</v>
      </c>
      <c r="I273" s="5">
        <v>44840</v>
      </c>
      <c r="J273" s="7">
        <f t="shared" si="26"/>
        <v>-3.6419616096170009E-4</v>
      </c>
      <c r="K273" s="5">
        <v>44840</v>
      </c>
      <c r="L273" s="8">
        <f t="shared" si="27"/>
        <v>1.2177399148084645E-4</v>
      </c>
      <c r="M273" s="5">
        <v>44840</v>
      </c>
      <c r="N273" s="9">
        <f t="shared" si="24"/>
        <v>-2.4242216948085362E-4</v>
      </c>
      <c r="O273" s="5">
        <v>44840</v>
      </c>
      <c r="P273">
        <f t="shared" si="25"/>
        <v>1.0003392633425208</v>
      </c>
      <c r="Q273" s="6">
        <f t="shared" si="28"/>
        <v>0.99985002249662536</v>
      </c>
      <c r="R273">
        <f t="shared" si="29"/>
        <v>4.8919455685111934E-4</v>
      </c>
      <c r="T273" s="5">
        <v>44840</v>
      </c>
      <c r="U273" s="1">
        <v>4.8919455685111934E-4</v>
      </c>
    </row>
    <row r="274" spans="3:21" x14ac:dyDescent="0.2">
      <c r="C274" s="5">
        <v>44841</v>
      </c>
      <c r="D274" s="6">
        <v>1.00013</v>
      </c>
      <c r="E274" s="6">
        <v>19517.5</v>
      </c>
      <c r="F274" s="6">
        <v>19542.689999999999</v>
      </c>
      <c r="G274" s="6">
        <v>19520.5</v>
      </c>
      <c r="H274" s="6">
        <v>19527</v>
      </c>
      <c r="I274" s="5">
        <v>44841</v>
      </c>
      <c r="J274" s="7">
        <f t="shared" si="26"/>
        <v>-4.8650586367593587E-4</v>
      </c>
      <c r="K274" s="5">
        <v>44841</v>
      </c>
      <c r="L274" s="8">
        <f t="shared" si="27"/>
        <v>1.1367536692194714E-3</v>
      </c>
      <c r="M274" s="5">
        <v>44841</v>
      </c>
      <c r="N274" s="9">
        <f t="shared" si="24"/>
        <v>6.5024780554353559E-4</v>
      </c>
      <c r="O274" s="5">
        <v>44841</v>
      </c>
      <c r="P274">
        <f t="shared" si="25"/>
        <v>1.000332983273994</v>
      </c>
      <c r="Q274" s="6">
        <f t="shared" si="28"/>
        <v>0.9998700168978033</v>
      </c>
      <c r="R274">
        <f t="shared" si="29"/>
        <v>4.6291939809952747E-4</v>
      </c>
      <c r="T274" s="5">
        <v>44841</v>
      </c>
      <c r="U274" s="1">
        <v>4.6291939809952747E-4</v>
      </c>
    </row>
    <row r="275" spans="3:21" x14ac:dyDescent="0.2">
      <c r="C275" s="5">
        <v>44842</v>
      </c>
      <c r="D275" s="6">
        <v>1.0001599999999999</v>
      </c>
      <c r="E275" s="6">
        <v>19405</v>
      </c>
      <c r="F275" s="6">
        <v>19440.11</v>
      </c>
      <c r="G275" s="6">
        <v>19411.5</v>
      </c>
      <c r="H275" s="6">
        <v>19414.41</v>
      </c>
      <c r="I275" s="5">
        <v>44842</v>
      </c>
      <c r="J275" s="7">
        <f t="shared" si="26"/>
        <v>-4.8469152552149946E-4</v>
      </c>
      <c r="K275" s="5">
        <v>44842</v>
      </c>
      <c r="L275" s="8">
        <f t="shared" si="27"/>
        <v>1.4738685830564657E-3</v>
      </c>
      <c r="M275" s="5">
        <v>44842</v>
      </c>
      <c r="N275" s="9">
        <f t="shared" si="24"/>
        <v>9.8917705753496631E-4</v>
      </c>
      <c r="O275" s="5">
        <v>44842</v>
      </c>
      <c r="P275">
        <f t="shared" si="25"/>
        <v>1.0001499111351517</v>
      </c>
      <c r="Q275" s="6">
        <f t="shared" si="28"/>
        <v>0.99984002559590468</v>
      </c>
      <c r="R275">
        <f t="shared" si="29"/>
        <v>3.0988710096544635E-4</v>
      </c>
      <c r="T275" s="5">
        <v>44842</v>
      </c>
      <c r="U275" s="1">
        <v>3.0988710096544635E-4</v>
      </c>
    </row>
    <row r="276" spans="3:21" x14ac:dyDescent="0.2">
      <c r="C276" s="5">
        <v>44843</v>
      </c>
      <c r="D276" s="6">
        <v>1.00014</v>
      </c>
      <c r="E276" s="6">
        <v>19436.5</v>
      </c>
      <c r="F276" s="6">
        <v>19444.11</v>
      </c>
      <c r="G276" s="6">
        <v>19435.5</v>
      </c>
      <c r="H276" s="6">
        <v>19438.5</v>
      </c>
      <c r="I276" s="5">
        <v>44843</v>
      </c>
      <c r="J276" s="7">
        <f t="shared" si="26"/>
        <v>-1.0288859737119634E-4</v>
      </c>
      <c r="K276" s="5">
        <v>44843</v>
      </c>
      <c r="L276" s="8">
        <f t="shared" si="27"/>
        <v>4.4300378173963014E-4</v>
      </c>
      <c r="M276" s="5">
        <v>44843</v>
      </c>
      <c r="N276" s="9">
        <f t="shared" si="24"/>
        <v>3.4011518436843381E-4</v>
      </c>
      <c r="O276" s="5">
        <v>44843</v>
      </c>
      <c r="P276">
        <f t="shared" si="25"/>
        <v>1.0001543567183762</v>
      </c>
      <c r="Q276" s="6">
        <f t="shared" si="28"/>
        <v>0.99986001959725634</v>
      </c>
      <c r="R276">
        <f t="shared" si="29"/>
        <v>2.9433500751819424E-4</v>
      </c>
      <c r="T276" s="5">
        <v>44843</v>
      </c>
      <c r="U276" s="1">
        <v>2.9433500751819424E-4</v>
      </c>
    </row>
    <row r="277" spans="3:21" x14ac:dyDescent="0.2">
      <c r="C277" s="5">
        <v>44844</v>
      </c>
      <c r="D277" s="6">
        <v>0.99995999999999996</v>
      </c>
      <c r="E277" s="6">
        <v>19122.5</v>
      </c>
      <c r="F277" s="6">
        <v>19139.2</v>
      </c>
      <c r="G277" s="6">
        <v>19121</v>
      </c>
      <c r="H277" s="6">
        <v>19130.45</v>
      </c>
      <c r="I277" s="5">
        <v>44844</v>
      </c>
      <c r="J277" s="7">
        <f t="shared" si="26"/>
        <v>-4.155678512528836E-4</v>
      </c>
      <c r="K277" s="5">
        <v>44844</v>
      </c>
      <c r="L277" s="8">
        <f t="shared" si="27"/>
        <v>9.5183306312435169E-4</v>
      </c>
      <c r="M277" s="5">
        <v>44844</v>
      </c>
      <c r="N277" s="9">
        <f t="shared" si="24"/>
        <v>5.3626521187146803E-4</v>
      </c>
      <c r="O277" s="5">
        <v>44844</v>
      </c>
      <c r="P277">
        <f t="shared" si="25"/>
        <v>1.0004942210135452</v>
      </c>
      <c r="Q277" s="6">
        <f t="shared" si="28"/>
        <v>1.0000400016000641</v>
      </c>
      <c r="R277">
        <f t="shared" si="29"/>
        <v>4.5409812654237077E-4</v>
      </c>
      <c r="T277" s="5">
        <v>44844</v>
      </c>
      <c r="U277" s="1">
        <v>4.5409812654237077E-4</v>
      </c>
    </row>
    <row r="278" spans="3:21" x14ac:dyDescent="0.2">
      <c r="C278" s="5">
        <v>44845</v>
      </c>
      <c r="D278" s="6">
        <v>0.99990999999999997</v>
      </c>
      <c r="E278" s="6">
        <v>19052.5</v>
      </c>
      <c r="F278" s="6">
        <v>19068.68</v>
      </c>
      <c r="G278" s="6">
        <v>19051.5</v>
      </c>
      <c r="H278" s="6">
        <v>19058</v>
      </c>
      <c r="I278" s="5">
        <v>44845</v>
      </c>
      <c r="J278" s="7">
        <f t="shared" si="26"/>
        <v>-2.8859271696925177E-4</v>
      </c>
      <c r="K278" s="5">
        <v>44845</v>
      </c>
      <c r="L278" s="8">
        <f t="shared" si="27"/>
        <v>9.0176626512349632E-4</v>
      </c>
      <c r="M278" s="5">
        <v>44845</v>
      </c>
      <c r="N278" s="9">
        <f t="shared" si="24"/>
        <v>6.1317354815424449E-4</v>
      </c>
      <c r="O278" s="5">
        <v>44845</v>
      </c>
      <c r="P278">
        <f t="shared" si="25"/>
        <v>1.0003411804844762</v>
      </c>
      <c r="Q278" s="6">
        <f t="shared" si="28"/>
        <v>1.0000900081007291</v>
      </c>
      <c r="R278">
        <f t="shared" si="29"/>
        <v>2.5111824540646245E-4</v>
      </c>
      <c r="T278" s="5">
        <v>44845</v>
      </c>
      <c r="U278" s="1">
        <v>2.5111824540646245E-4</v>
      </c>
    </row>
    <row r="279" spans="3:21" x14ac:dyDescent="0.2">
      <c r="C279" s="5">
        <v>44846</v>
      </c>
      <c r="D279" s="6">
        <v>0.99997000000000003</v>
      </c>
      <c r="E279" s="6">
        <v>19148</v>
      </c>
      <c r="F279" s="6">
        <v>19148.66</v>
      </c>
      <c r="G279" s="6">
        <v>19148</v>
      </c>
      <c r="H279" s="6">
        <v>19154.93</v>
      </c>
      <c r="I279" s="5">
        <v>44846</v>
      </c>
      <c r="J279" s="7">
        <f t="shared" si="26"/>
        <v>-3.6178675672530732E-4</v>
      </c>
      <c r="K279" s="5">
        <v>44846</v>
      </c>
      <c r="L279" s="8">
        <f t="shared" si="27"/>
        <v>3.4468351786079721E-5</v>
      </c>
      <c r="M279" s="5">
        <v>44846</v>
      </c>
      <c r="N279" s="9">
        <f t="shared" si="24"/>
        <v>-3.273184049392276E-4</v>
      </c>
      <c r="O279" s="5">
        <v>44846</v>
      </c>
      <c r="P279">
        <f t="shared" si="25"/>
        <v>1.0003619176937539</v>
      </c>
      <c r="Q279" s="6">
        <f t="shared" si="28"/>
        <v>1.0000300009000269</v>
      </c>
      <c r="R279">
        <f t="shared" si="29"/>
        <v>3.3185176733416342E-4</v>
      </c>
      <c r="T279" s="5">
        <v>44846</v>
      </c>
      <c r="U279" s="1">
        <v>3.3185176733416342E-4</v>
      </c>
    </row>
    <row r="280" spans="3:21" x14ac:dyDescent="0.2">
      <c r="C280" s="5">
        <v>44847</v>
      </c>
      <c r="D280" s="6">
        <v>1.0000899999999999</v>
      </c>
      <c r="E280" s="6">
        <v>19366</v>
      </c>
      <c r="F280" s="6">
        <v>19395.259999999998</v>
      </c>
      <c r="G280" s="6">
        <v>19371.5</v>
      </c>
      <c r="H280" s="6">
        <v>19374.98</v>
      </c>
      <c r="I280" s="5">
        <v>44847</v>
      </c>
      <c r="J280" s="7">
        <f t="shared" si="26"/>
        <v>-4.6348434940317687E-4</v>
      </c>
      <c r="K280" s="5">
        <v>44847</v>
      </c>
      <c r="L280" s="8">
        <f t="shared" si="27"/>
        <v>1.2265441499108691E-3</v>
      </c>
      <c r="M280" s="5">
        <v>44847</v>
      </c>
      <c r="N280" s="9">
        <f t="shared" si="24"/>
        <v>7.6305980050769221E-4</v>
      </c>
      <c r="O280" s="5">
        <v>44847</v>
      </c>
      <c r="P280">
        <f t="shared" si="25"/>
        <v>1.00017964535529</v>
      </c>
      <c r="Q280" s="6">
        <f t="shared" si="28"/>
        <v>0.99991000809927111</v>
      </c>
      <c r="R280">
        <f t="shared" si="29"/>
        <v>2.6962517123837418E-4</v>
      </c>
      <c r="T280" s="5">
        <v>44847</v>
      </c>
      <c r="U280" s="1">
        <v>2.6962517123837418E-4</v>
      </c>
    </row>
    <row r="281" spans="3:21" x14ac:dyDescent="0.2">
      <c r="C281" s="5">
        <v>44848</v>
      </c>
      <c r="D281" s="6">
        <v>1.0000100000000001</v>
      </c>
      <c r="E281" s="6">
        <v>19171.5</v>
      </c>
      <c r="F281" s="6">
        <v>19181.419999999998</v>
      </c>
      <c r="G281" s="6">
        <v>19167.5</v>
      </c>
      <c r="H281" s="6">
        <v>19175.68</v>
      </c>
      <c r="I281" s="5">
        <v>44848</v>
      </c>
      <c r="J281" s="7">
        <f t="shared" si="26"/>
        <v>-2.179844469661723E-4</v>
      </c>
      <c r="K281" s="5">
        <v>44848</v>
      </c>
      <c r="L281" s="8">
        <f t="shared" si="27"/>
        <v>7.2622929437841423E-4</v>
      </c>
      <c r="M281" s="5">
        <v>44848</v>
      </c>
      <c r="N281" s="9">
        <f t="shared" si="24"/>
        <v>5.0824484741224187E-4</v>
      </c>
      <c r="O281" s="5">
        <v>44848</v>
      </c>
      <c r="P281">
        <f t="shared" si="25"/>
        <v>1.0004267640537368</v>
      </c>
      <c r="Q281" s="6">
        <f t="shared" si="28"/>
        <v>0.99999000009999894</v>
      </c>
      <c r="R281">
        <f t="shared" si="29"/>
        <v>4.3667296585851349E-4</v>
      </c>
      <c r="T281" s="5">
        <v>44848</v>
      </c>
      <c r="U281" s="1">
        <v>4.3667296585851349E-4</v>
      </c>
    </row>
    <row r="282" spans="3:21" x14ac:dyDescent="0.2">
      <c r="C282" s="5">
        <v>44849</v>
      </c>
      <c r="D282" s="6">
        <v>1.00004</v>
      </c>
      <c r="E282" s="6">
        <v>19063</v>
      </c>
      <c r="F282" s="6">
        <v>19086.77</v>
      </c>
      <c r="G282" s="6">
        <v>19059.5</v>
      </c>
      <c r="H282" s="6">
        <v>19071.34</v>
      </c>
      <c r="I282" s="5">
        <v>44849</v>
      </c>
      <c r="J282" s="7">
        <f t="shared" si="26"/>
        <v>-4.3730540171797814E-4</v>
      </c>
      <c r="K282" s="5">
        <v>44849</v>
      </c>
      <c r="L282" s="8">
        <f t="shared" si="27"/>
        <v>1.4307825493848441E-3</v>
      </c>
      <c r="M282" s="5">
        <v>44849</v>
      </c>
      <c r="N282" s="9">
        <f t="shared" si="24"/>
        <v>9.9347714766686592E-4</v>
      </c>
      <c r="O282" s="5">
        <v>44849</v>
      </c>
      <c r="P282">
        <f t="shared" si="25"/>
        <v>1.0006212125186915</v>
      </c>
      <c r="Q282" s="6">
        <f t="shared" si="28"/>
        <v>0.99996000159993592</v>
      </c>
      <c r="R282">
        <f t="shared" si="29"/>
        <v>6.6101884608872304E-4</v>
      </c>
      <c r="T282" s="5">
        <v>44849</v>
      </c>
      <c r="U282" s="1">
        <v>6.6101884608872304E-4</v>
      </c>
    </row>
    <row r="283" spans="3:21" x14ac:dyDescent="0.2">
      <c r="C283" s="5">
        <v>44850</v>
      </c>
      <c r="D283" s="6">
        <v>1.00003</v>
      </c>
      <c r="E283" s="6">
        <v>19252.5</v>
      </c>
      <c r="F283" s="6">
        <v>19260.03</v>
      </c>
      <c r="G283" s="6">
        <v>19252</v>
      </c>
      <c r="H283" s="6">
        <v>19264.830000000002</v>
      </c>
      <c r="I283" s="5">
        <v>44850</v>
      </c>
      <c r="J283" s="7">
        <f t="shared" si="26"/>
        <v>-6.4002641082229873E-4</v>
      </c>
      <c r="K283" s="5">
        <v>44850</v>
      </c>
      <c r="L283" s="8">
        <f t="shared" si="27"/>
        <v>4.170995221275107E-4</v>
      </c>
      <c r="M283" s="5">
        <v>44850</v>
      </c>
      <c r="N283" s="9">
        <f t="shared" si="24"/>
        <v>-2.2292688869478803E-4</v>
      </c>
      <c r="O283" s="5">
        <v>44850</v>
      </c>
      <c r="P283">
        <f t="shared" si="25"/>
        <v>1.0006664242676087</v>
      </c>
      <c r="Q283" s="6">
        <f t="shared" si="28"/>
        <v>0.99997000089997301</v>
      </c>
      <c r="R283">
        <f t="shared" si="29"/>
        <v>6.9620185557396673E-4</v>
      </c>
      <c r="T283" s="5">
        <v>44850</v>
      </c>
      <c r="U283" s="1">
        <v>6.9620185557396673E-4</v>
      </c>
    </row>
    <row r="284" spans="3:21" x14ac:dyDescent="0.2">
      <c r="C284" s="5">
        <v>44851</v>
      </c>
      <c r="D284" s="6">
        <v>1</v>
      </c>
      <c r="E284" s="6">
        <v>19540</v>
      </c>
      <c r="F284" s="6">
        <v>19562.63</v>
      </c>
      <c r="G284" s="6">
        <v>19536</v>
      </c>
      <c r="H284" s="6">
        <v>19550.150000000001</v>
      </c>
      <c r="I284" s="5">
        <v>44851</v>
      </c>
      <c r="J284" s="7">
        <f t="shared" si="26"/>
        <v>-5.1917760221796018E-4</v>
      </c>
      <c r="K284" s="5">
        <v>44851</v>
      </c>
      <c r="L284" s="8">
        <f t="shared" si="27"/>
        <v>1.3631244881245402E-3</v>
      </c>
      <c r="M284" s="5">
        <v>44851</v>
      </c>
      <c r="N284" s="9">
        <f t="shared" si="24"/>
        <v>8.4394688590658001E-4</v>
      </c>
      <c r="O284" s="5">
        <v>44851</v>
      </c>
      <c r="P284">
        <f t="shared" si="25"/>
        <v>1.0007243038493039</v>
      </c>
      <c r="Q284" s="6">
        <f t="shared" si="28"/>
        <v>1</v>
      </c>
      <c r="R284">
        <f t="shared" si="29"/>
        <v>7.2404166786254156E-4</v>
      </c>
      <c r="T284" s="5">
        <v>44851</v>
      </c>
      <c r="U284" s="1">
        <v>7.2404166786254156E-4</v>
      </c>
    </row>
    <row r="285" spans="3:21" x14ac:dyDescent="0.2">
      <c r="C285" s="5">
        <v>44852</v>
      </c>
      <c r="D285" s="6">
        <v>1.0000100000000001</v>
      </c>
      <c r="E285" s="6">
        <v>19320.5</v>
      </c>
      <c r="F285" s="6">
        <v>19341.77</v>
      </c>
      <c r="G285" s="6">
        <v>19319.5</v>
      </c>
      <c r="H285" s="6">
        <v>19328</v>
      </c>
      <c r="I285" s="5">
        <v>44852</v>
      </c>
      <c r="J285" s="7">
        <f t="shared" si="26"/>
        <v>-3.8803807947019865E-4</v>
      </c>
      <c r="K285" s="5">
        <v>44852</v>
      </c>
      <c r="L285" s="8">
        <f t="shared" si="27"/>
        <v>1.1527213437200982E-3</v>
      </c>
      <c r="M285" s="5">
        <v>44852</v>
      </c>
      <c r="N285" s="9">
        <f t="shared" si="24"/>
        <v>7.6468326424989947E-4</v>
      </c>
      <c r="O285" s="5">
        <v>44852</v>
      </c>
      <c r="P285">
        <f t="shared" si="25"/>
        <v>1.0004399699785191</v>
      </c>
      <c r="Q285" s="6">
        <f t="shared" si="28"/>
        <v>0.99999000009999894</v>
      </c>
      <c r="R285">
        <f t="shared" si="29"/>
        <v>4.4987317010795988E-4</v>
      </c>
      <c r="T285" s="5">
        <v>44852</v>
      </c>
      <c r="U285" s="1">
        <v>4.4987317010795988E-4</v>
      </c>
    </row>
    <row r="286" spans="3:21" x14ac:dyDescent="0.2">
      <c r="C286" s="5">
        <v>44853</v>
      </c>
      <c r="D286" s="6">
        <v>0.99992999999999999</v>
      </c>
      <c r="E286" s="6">
        <v>19121.5</v>
      </c>
      <c r="F286" s="6">
        <v>19130</v>
      </c>
      <c r="G286" s="6">
        <v>19118.5</v>
      </c>
      <c r="H286" s="6">
        <v>19123</v>
      </c>
      <c r="I286" s="5">
        <v>44853</v>
      </c>
      <c r="J286" s="7">
        <f t="shared" si="26"/>
        <v>-7.8439575380431938E-5</v>
      </c>
      <c r="K286" s="5">
        <v>44853</v>
      </c>
      <c r="L286" s="8">
        <f t="shared" si="27"/>
        <v>6.0151162486596756E-4</v>
      </c>
      <c r="M286" s="5">
        <v>44853</v>
      </c>
      <c r="N286" s="9">
        <f t="shared" si="24"/>
        <v>5.2307204948553565E-4</v>
      </c>
      <c r="O286" s="5">
        <v>44853</v>
      </c>
      <c r="P286">
        <f t="shared" si="25"/>
        <v>1.0002353741140779</v>
      </c>
      <c r="Q286" s="6">
        <f t="shared" si="28"/>
        <v>1.000070004900343</v>
      </c>
      <c r="R286">
        <f t="shared" si="29"/>
        <v>1.6534396782268184E-4</v>
      </c>
      <c r="T286" s="5">
        <v>44853</v>
      </c>
      <c r="U286" s="1">
        <v>1.6534396782268184E-4</v>
      </c>
    </row>
    <row r="287" spans="3:21" x14ac:dyDescent="0.2">
      <c r="C287" s="5">
        <v>44854</v>
      </c>
      <c r="D287" s="6">
        <v>0.99995999999999996</v>
      </c>
      <c r="E287" s="6">
        <v>19041.5</v>
      </c>
      <c r="F287" s="6">
        <v>19052.990000000002</v>
      </c>
      <c r="G287" s="6">
        <v>19039</v>
      </c>
      <c r="H287" s="6">
        <v>19043.650000000001</v>
      </c>
      <c r="I287" s="5">
        <v>44854</v>
      </c>
      <c r="J287" s="7">
        <f t="shared" si="26"/>
        <v>-1.1289852523027125E-4</v>
      </c>
      <c r="K287" s="5">
        <v>44854</v>
      </c>
      <c r="L287" s="8">
        <f t="shared" si="27"/>
        <v>7.3480750039401233E-4</v>
      </c>
      <c r="M287" s="5">
        <v>44854</v>
      </c>
      <c r="N287" s="9">
        <f t="shared" si="24"/>
        <v>6.2190897516374111E-4</v>
      </c>
      <c r="O287" s="5">
        <v>44854</v>
      </c>
      <c r="P287">
        <f t="shared" si="25"/>
        <v>1.0002442355165713</v>
      </c>
      <c r="Q287" s="6">
        <f t="shared" si="28"/>
        <v>1.0000400016000641</v>
      </c>
      <c r="R287">
        <f t="shared" si="29"/>
        <v>2.0420489591135813E-4</v>
      </c>
      <c r="T287" s="5">
        <v>44854</v>
      </c>
      <c r="U287" s="1">
        <v>2.0420489591135813E-4</v>
      </c>
    </row>
    <row r="288" spans="3:21" x14ac:dyDescent="0.2">
      <c r="C288" s="5">
        <v>44855</v>
      </c>
      <c r="D288" s="6">
        <v>1.0000899999999999</v>
      </c>
      <c r="E288" s="6">
        <v>19153</v>
      </c>
      <c r="F288" s="6">
        <v>19176.060000000001</v>
      </c>
      <c r="G288" s="6">
        <v>19154</v>
      </c>
      <c r="H288" s="6">
        <v>19163.099999999999</v>
      </c>
      <c r="I288" s="5">
        <v>44855</v>
      </c>
      <c r="J288" s="7">
        <f t="shared" si="26"/>
        <v>-5.2705459972543825E-4</v>
      </c>
      <c r="K288" s="5">
        <v>44855</v>
      </c>
      <c r="L288" s="8">
        <f t="shared" si="27"/>
        <v>1.1517176568863585E-3</v>
      </c>
      <c r="M288" s="5">
        <v>44855</v>
      </c>
      <c r="N288" s="9">
        <f t="shared" si="24"/>
        <v>6.2466305716092022E-4</v>
      </c>
      <c r="O288" s="5">
        <v>44855</v>
      </c>
      <c r="P288">
        <f t="shared" si="25"/>
        <v>1.0004750965855695</v>
      </c>
      <c r="Q288" s="6">
        <f t="shared" si="28"/>
        <v>0.99991000809927111</v>
      </c>
      <c r="R288">
        <f t="shared" si="29"/>
        <v>5.6497971316277272E-4</v>
      </c>
      <c r="T288" s="5">
        <v>44855</v>
      </c>
      <c r="U288" s="1">
        <v>5.6497971316277272E-4</v>
      </c>
    </row>
    <row r="289" spans="3:21" x14ac:dyDescent="0.2">
      <c r="C289" s="5">
        <v>44856</v>
      </c>
      <c r="D289" s="6">
        <v>1</v>
      </c>
      <c r="E289" s="6">
        <v>19189.5</v>
      </c>
      <c r="F289" s="6">
        <v>19207.47</v>
      </c>
      <c r="G289" s="6">
        <v>19195</v>
      </c>
      <c r="H289" s="6">
        <v>19202.45</v>
      </c>
      <c r="I289" s="5">
        <v>44856</v>
      </c>
      <c r="J289" s="7">
        <f t="shared" si="26"/>
        <v>-6.7439311129573187E-4</v>
      </c>
      <c r="K289" s="5">
        <v>44856</v>
      </c>
      <c r="L289" s="8">
        <f t="shared" si="27"/>
        <v>6.4964834592347819E-4</v>
      </c>
      <c r="M289" s="5">
        <v>44856</v>
      </c>
      <c r="N289" s="9">
        <f t="shared" si="24"/>
        <v>-2.4744765372253686E-5</v>
      </c>
      <c r="O289" s="5">
        <v>44856</v>
      </c>
      <c r="P289">
        <f t="shared" si="25"/>
        <v>1.0003881219067465</v>
      </c>
      <c r="Q289" s="6">
        <f t="shared" si="28"/>
        <v>1</v>
      </c>
      <c r="R289">
        <f t="shared" si="29"/>
        <v>3.8804660692232616E-4</v>
      </c>
      <c r="T289" s="5">
        <v>44856</v>
      </c>
      <c r="U289" s="1">
        <v>3.8804660692232616E-4</v>
      </c>
    </row>
    <row r="290" spans="3:21" x14ac:dyDescent="0.2">
      <c r="C290" s="5">
        <v>44857</v>
      </c>
      <c r="D290" s="6">
        <v>1.0000599999999999</v>
      </c>
      <c r="E290" s="6">
        <v>19559</v>
      </c>
      <c r="F290" s="6">
        <v>19561.87</v>
      </c>
      <c r="G290" s="6">
        <v>19560</v>
      </c>
      <c r="H290" s="6">
        <v>19569</v>
      </c>
      <c r="I290" s="5">
        <v>44857</v>
      </c>
      <c r="J290" s="7">
        <f t="shared" si="26"/>
        <v>-5.1101231539680105E-4</v>
      </c>
      <c r="K290" s="5">
        <v>44857</v>
      </c>
      <c r="L290" s="8">
        <f t="shared" si="27"/>
        <v>9.5603271983588008E-5</v>
      </c>
      <c r="M290" s="5">
        <v>44857</v>
      </c>
      <c r="N290" s="9">
        <f t="shared" si="24"/>
        <v>-4.1540904341321307E-4</v>
      </c>
      <c r="O290" s="5">
        <v>44857</v>
      </c>
      <c r="P290">
        <f t="shared" si="25"/>
        <v>1.0004601226993866</v>
      </c>
      <c r="Q290" s="6">
        <f t="shared" si="28"/>
        <v>0.99994000359978408</v>
      </c>
      <c r="R290">
        <f t="shared" si="29"/>
        <v>5.2001507546934722E-4</v>
      </c>
      <c r="T290" s="5">
        <v>44857</v>
      </c>
      <c r="U290" s="1">
        <v>5.2001507546934722E-4</v>
      </c>
    </row>
    <row r="291" spans="3:21" x14ac:dyDescent="0.2">
      <c r="C291" s="5">
        <v>44858</v>
      </c>
      <c r="D291" s="6">
        <v>0.99999000000000005</v>
      </c>
      <c r="E291" s="6">
        <v>19317</v>
      </c>
      <c r="F291" s="6">
        <v>19326.68</v>
      </c>
      <c r="G291" s="6">
        <v>19322</v>
      </c>
      <c r="H291" s="6">
        <v>19331</v>
      </c>
      <c r="I291" s="5">
        <v>44858</v>
      </c>
      <c r="J291" s="7">
        <f t="shared" si="26"/>
        <v>-7.2422533754073766E-4</v>
      </c>
      <c r="K291" s="5">
        <v>44858</v>
      </c>
      <c r="L291" s="8">
        <f t="shared" si="27"/>
        <v>2.4221095124729795E-4</v>
      </c>
      <c r="M291" s="5">
        <v>44858</v>
      </c>
      <c r="N291" s="9">
        <f t="shared" si="24"/>
        <v>-4.8201438629343974E-4</v>
      </c>
      <c r="O291" s="5">
        <v>44858</v>
      </c>
      <c r="P291">
        <f t="shared" si="25"/>
        <v>1.0004657902908602</v>
      </c>
      <c r="Q291" s="6">
        <f t="shared" si="28"/>
        <v>1.000010000100001</v>
      </c>
      <c r="R291">
        <f t="shared" si="29"/>
        <v>4.5568179423677855E-4</v>
      </c>
      <c r="T291" s="5">
        <v>44858</v>
      </c>
      <c r="U291" s="1">
        <v>4.5568179423677855E-4</v>
      </c>
    </row>
    <row r="292" spans="3:21" x14ac:dyDescent="0.2">
      <c r="C292" s="5">
        <v>44859</v>
      </c>
      <c r="D292" s="6">
        <v>1.00024</v>
      </c>
      <c r="E292" s="6">
        <v>20067</v>
      </c>
      <c r="F292" s="6">
        <v>20071.97</v>
      </c>
      <c r="G292" s="6">
        <v>20077</v>
      </c>
      <c r="H292" s="6">
        <v>20081.22</v>
      </c>
      <c r="I292" s="5">
        <v>44859</v>
      </c>
      <c r="J292" s="7">
        <f t="shared" si="26"/>
        <v>-7.0812430718856535E-4</v>
      </c>
      <c r="K292" s="5">
        <v>44859</v>
      </c>
      <c r="L292" s="8">
        <f t="shared" si="27"/>
        <v>-2.5053543856148007E-4</v>
      </c>
      <c r="M292" s="5">
        <v>44859</v>
      </c>
      <c r="N292" s="9">
        <f t="shared" si="24"/>
        <v>-9.5865974575004543E-4</v>
      </c>
      <c r="O292" s="5">
        <v>44859</v>
      </c>
      <c r="P292">
        <f t="shared" si="25"/>
        <v>1.0002101907655527</v>
      </c>
      <c r="Q292" s="6">
        <f t="shared" si="28"/>
        <v>0.99976005758617925</v>
      </c>
      <c r="R292">
        <f t="shared" si="29"/>
        <v>4.5013988317593045E-4</v>
      </c>
      <c r="T292" s="5">
        <v>44859</v>
      </c>
      <c r="U292" s="1">
        <v>4.5013988317593045E-4</v>
      </c>
    </row>
    <row r="293" spans="3:21" x14ac:dyDescent="0.2">
      <c r="C293" s="5">
        <v>44860</v>
      </c>
      <c r="D293" s="6">
        <v>1.0002899999999999</v>
      </c>
      <c r="E293" s="6">
        <v>20756</v>
      </c>
      <c r="F293" s="6">
        <v>20770.41</v>
      </c>
      <c r="G293" s="6">
        <v>20765</v>
      </c>
      <c r="H293" s="6">
        <v>20769.66</v>
      </c>
      <c r="I293" s="5">
        <v>44860</v>
      </c>
      <c r="J293" s="7">
        <f t="shared" si="26"/>
        <v>-6.576901114413936E-4</v>
      </c>
      <c r="K293" s="5">
        <v>44860</v>
      </c>
      <c r="L293" s="8">
        <f t="shared" si="27"/>
        <v>2.6053455333493157E-4</v>
      </c>
      <c r="M293" s="5">
        <v>44860</v>
      </c>
      <c r="N293" s="9">
        <f t="shared" si="24"/>
        <v>-3.9715555810646203E-4</v>
      </c>
      <c r="O293" s="5">
        <v>44860</v>
      </c>
      <c r="P293">
        <f t="shared" si="25"/>
        <v>1.000224416084758</v>
      </c>
      <c r="Q293" s="6">
        <f t="shared" si="28"/>
        <v>0.99971008407561812</v>
      </c>
      <c r="R293">
        <f t="shared" si="29"/>
        <v>5.1434886536304704E-4</v>
      </c>
      <c r="T293" s="5">
        <v>44860</v>
      </c>
      <c r="U293" s="1">
        <v>5.1434886536304704E-4</v>
      </c>
    </row>
    <row r="294" spans="3:21" x14ac:dyDescent="0.2">
      <c r="C294" s="5">
        <v>44861</v>
      </c>
      <c r="D294" s="6">
        <v>1.0000500000000001</v>
      </c>
      <c r="E294" s="6">
        <v>20283</v>
      </c>
      <c r="F294" s="6">
        <v>20300.47</v>
      </c>
      <c r="G294" s="6">
        <v>20293.5</v>
      </c>
      <c r="H294" s="6">
        <v>20295.32</v>
      </c>
      <c r="I294" s="5">
        <v>44861</v>
      </c>
      <c r="J294" s="7">
        <f t="shared" si="26"/>
        <v>-6.070364990549402E-4</v>
      </c>
      <c r="K294" s="5">
        <v>44861</v>
      </c>
      <c r="L294" s="8">
        <f t="shared" si="27"/>
        <v>3.4345972848454749E-4</v>
      </c>
      <c r="M294" s="5">
        <v>44861</v>
      </c>
      <c r="N294" s="9">
        <f t="shared" si="24"/>
        <v>-2.6357677057039272E-4</v>
      </c>
      <c r="O294" s="5">
        <v>44861</v>
      </c>
      <c r="P294">
        <f t="shared" si="25"/>
        <v>1.0000896838889299</v>
      </c>
      <c r="Q294" s="6">
        <f t="shared" si="28"/>
        <v>0.99995000249987487</v>
      </c>
      <c r="R294">
        <f t="shared" si="29"/>
        <v>1.3967861761229755E-4</v>
      </c>
      <c r="T294" s="5">
        <v>44861</v>
      </c>
      <c r="U294" s="1">
        <v>1.3967861761229755E-4</v>
      </c>
    </row>
    <row r="295" spans="3:21" x14ac:dyDescent="0.2">
      <c r="C295" s="5">
        <v>44862</v>
      </c>
      <c r="D295" s="6">
        <v>1.00017</v>
      </c>
      <c r="E295" s="6">
        <v>20585</v>
      </c>
      <c r="F295" s="6">
        <v>20609.349999999999</v>
      </c>
      <c r="G295" s="6">
        <v>20590.5</v>
      </c>
      <c r="H295" s="6">
        <v>20591.650000000001</v>
      </c>
      <c r="I295" s="5">
        <v>44862</v>
      </c>
      <c r="J295" s="7">
        <f t="shared" si="26"/>
        <v>-3.2294643702672954E-4</v>
      </c>
      <c r="K295" s="5">
        <v>44862</v>
      </c>
      <c r="L295" s="8">
        <f t="shared" si="27"/>
        <v>9.1547072679141084E-4</v>
      </c>
      <c r="M295" s="5">
        <v>44862</v>
      </c>
      <c r="N295" s="9">
        <f t="shared" si="24"/>
        <v>5.9252428976468131E-4</v>
      </c>
      <c r="O295" s="5">
        <v>44862</v>
      </c>
      <c r="P295">
        <f t="shared" si="25"/>
        <v>1.0000558509992474</v>
      </c>
      <c r="Q295" s="6">
        <f t="shared" si="28"/>
        <v>0.99983002889508787</v>
      </c>
      <c r="R295">
        <f t="shared" si="29"/>
        <v>2.2583499127597117E-4</v>
      </c>
      <c r="T295" s="5">
        <v>44862</v>
      </c>
      <c r="U295" s="1">
        <v>2.2583499127597117E-4</v>
      </c>
    </row>
    <row r="296" spans="3:21" x14ac:dyDescent="0.2">
      <c r="C296" s="5">
        <v>44863</v>
      </c>
      <c r="D296" s="6">
        <v>1.0003299999999999</v>
      </c>
      <c r="E296" s="6">
        <v>20795</v>
      </c>
      <c r="F296" s="6">
        <v>20805.45</v>
      </c>
      <c r="G296" s="6">
        <v>20814.5</v>
      </c>
      <c r="H296" s="6">
        <v>20808.439999999999</v>
      </c>
      <c r="I296" s="5">
        <v>44863</v>
      </c>
      <c r="J296" s="7">
        <f t="shared" si="26"/>
        <v>-6.4589176314988974E-4</v>
      </c>
      <c r="K296" s="5">
        <v>44863</v>
      </c>
      <c r="L296" s="8">
        <f t="shared" si="27"/>
        <v>-4.347930529198046E-4</v>
      </c>
      <c r="M296" s="5">
        <v>44863</v>
      </c>
      <c r="N296" s="9">
        <f t="shared" si="24"/>
        <v>-1.0806848160696944E-3</v>
      </c>
      <c r="O296" s="5">
        <v>44863</v>
      </c>
      <c r="P296">
        <f t="shared" si="25"/>
        <v>0.99970885680655308</v>
      </c>
      <c r="Q296" s="6">
        <f t="shared" si="28"/>
        <v>0.99967010886407492</v>
      </c>
      <c r="R296">
        <f t="shared" si="29"/>
        <v>3.8759978121434968E-5</v>
      </c>
      <c r="T296" s="5">
        <v>44863</v>
      </c>
      <c r="U296" s="1">
        <v>3.8759978121434968E-5</v>
      </c>
    </row>
    <row r="297" spans="3:21" x14ac:dyDescent="0.2">
      <c r="C297" s="5">
        <v>44864</v>
      </c>
      <c r="D297" s="6">
        <v>1.0001899999999999</v>
      </c>
      <c r="E297" s="6">
        <v>20613.5</v>
      </c>
      <c r="F297" s="6">
        <v>20639.02</v>
      </c>
      <c r="G297" s="6">
        <v>20620.5</v>
      </c>
      <c r="H297" s="6">
        <v>20627.18</v>
      </c>
      <c r="I297" s="5">
        <v>44864</v>
      </c>
      <c r="J297" s="7">
        <f t="shared" si="26"/>
        <v>-6.6320262876458586E-4</v>
      </c>
      <c r="K297" s="5">
        <v>44864</v>
      </c>
      <c r="L297" s="8">
        <f t="shared" si="27"/>
        <v>8.9813535074321365E-4</v>
      </c>
      <c r="M297" s="5">
        <v>44864</v>
      </c>
      <c r="N297" s="9">
        <f t="shared" si="24"/>
        <v>2.3493272197862779E-4</v>
      </c>
      <c r="O297" s="5">
        <v>44864</v>
      </c>
      <c r="P297">
        <f t="shared" si="25"/>
        <v>1.0003239494677627</v>
      </c>
      <c r="Q297" s="6">
        <f t="shared" si="28"/>
        <v>0.99981003609314234</v>
      </c>
      <c r="R297">
        <f t="shared" si="29"/>
        <v>5.1387895974927208E-4</v>
      </c>
      <c r="T297" s="5">
        <v>44864</v>
      </c>
      <c r="U297" s="1">
        <v>5.1387895974927208E-4</v>
      </c>
    </row>
    <row r="298" spans="3:21" x14ac:dyDescent="0.2">
      <c r="C298" s="5">
        <v>44865</v>
      </c>
      <c r="D298" s="6">
        <v>0.99995999999999996</v>
      </c>
      <c r="E298" s="6">
        <v>20480</v>
      </c>
      <c r="F298" s="6">
        <v>20494.41</v>
      </c>
      <c r="G298" s="6">
        <v>20484</v>
      </c>
      <c r="H298" s="6">
        <v>20491.169999999998</v>
      </c>
      <c r="I298" s="5">
        <v>44865</v>
      </c>
      <c r="J298" s="7">
        <f t="shared" si="26"/>
        <v>-5.4511284616731281E-4</v>
      </c>
      <c r="K298" s="5">
        <v>44865</v>
      </c>
      <c r="L298" s="8">
        <f t="shared" si="27"/>
        <v>5.0820152314000463E-4</v>
      </c>
      <c r="M298" s="5">
        <v>44865</v>
      </c>
      <c r="N298" s="9">
        <f t="shared" si="24"/>
        <v>-3.6911323027308176E-5</v>
      </c>
      <c r="O298" s="5">
        <v>44865</v>
      </c>
      <c r="P298">
        <f t="shared" si="25"/>
        <v>1.000350029291154</v>
      </c>
      <c r="Q298" s="6">
        <f t="shared" si="28"/>
        <v>1.0000400016000641</v>
      </c>
      <c r="R298">
        <f t="shared" si="29"/>
        <v>3.0996724517168446E-4</v>
      </c>
      <c r="T298" s="5">
        <v>44865</v>
      </c>
      <c r="U298" s="1">
        <v>3.0996724517168446E-4</v>
      </c>
    </row>
    <row r="299" spans="3:21" x14ac:dyDescent="0.2">
      <c r="C299" s="5">
        <v>44866</v>
      </c>
      <c r="D299" s="6">
        <v>0.99990000000000001</v>
      </c>
      <c r="E299" s="6">
        <v>20472.5</v>
      </c>
      <c r="F299" s="6">
        <v>20496.29</v>
      </c>
      <c r="G299" s="6">
        <v>20468</v>
      </c>
      <c r="H299" s="6">
        <v>20483.43</v>
      </c>
      <c r="I299" s="5">
        <v>44866</v>
      </c>
      <c r="J299" s="7">
        <f t="shared" si="26"/>
        <v>-5.3360203833050868E-4</v>
      </c>
      <c r="K299" s="5">
        <v>44866</v>
      </c>
      <c r="L299" s="8">
        <f t="shared" si="27"/>
        <v>1.3821575141685007E-3</v>
      </c>
      <c r="M299" s="5">
        <v>44866</v>
      </c>
      <c r="N299" s="9">
        <f t="shared" si="24"/>
        <v>8.4855547583799202E-4</v>
      </c>
      <c r="O299" s="5">
        <v>44866</v>
      </c>
      <c r="P299">
        <f t="shared" si="25"/>
        <v>1.0007538596834082</v>
      </c>
      <c r="Q299" s="6">
        <f t="shared" si="28"/>
        <v>1.000100010001</v>
      </c>
      <c r="R299">
        <f t="shared" si="29"/>
        <v>6.5357067359031506E-4</v>
      </c>
      <c r="T299" s="5">
        <v>44866</v>
      </c>
      <c r="U299" s="1">
        <v>6.5357067359031506E-4</v>
      </c>
    </row>
    <row r="300" spans="3:21" x14ac:dyDescent="0.2">
      <c r="C300" s="5">
        <v>44867</v>
      </c>
      <c r="D300" s="6">
        <v>0.99994000000000005</v>
      </c>
      <c r="E300" s="6">
        <v>20143.5</v>
      </c>
      <c r="F300" s="6">
        <v>20156.150000000001</v>
      </c>
      <c r="G300" s="6">
        <v>20140.5</v>
      </c>
      <c r="H300" s="6">
        <v>20151.84</v>
      </c>
      <c r="I300" s="5">
        <v>44867</v>
      </c>
      <c r="J300" s="7">
        <f t="shared" si="26"/>
        <v>-4.1385799013887297E-4</v>
      </c>
      <c r="K300" s="5">
        <v>44867</v>
      </c>
      <c r="L300" s="8">
        <f t="shared" si="27"/>
        <v>7.7704128497313647E-4</v>
      </c>
      <c r="M300" s="5">
        <v>44867</v>
      </c>
      <c r="N300" s="9">
        <f t="shared" si="24"/>
        <v>3.631832948342635E-4</v>
      </c>
      <c r="O300" s="5">
        <v>44867</v>
      </c>
      <c r="P300">
        <f t="shared" si="25"/>
        <v>1.0005630446116034</v>
      </c>
      <c r="Q300" s="6">
        <f t="shared" si="28"/>
        <v>1.0000600036002159</v>
      </c>
      <c r="R300">
        <f t="shared" si="29"/>
        <v>5.0288436138769493E-4</v>
      </c>
      <c r="T300" s="5">
        <v>44867</v>
      </c>
      <c r="U300" s="1">
        <v>5.0288436138769493E-4</v>
      </c>
    </row>
    <row r="301" spans="3:21" x14ac:dyDescent="0.2">
      <c r="C301" s="5">
        <v>44868</v>
      </c>
      <c r="D301" s="6">
        <v>0.99995000000000001</v>
      </c>
      <c r="E301" s="6">
        <v>20199.5</v>
      </c>
      <c r="F301" s="6">
        <v>20217.310000000001</v>
      </c>
      <c r="G301" s="6">
        <v>20201</v>
      </c>
      <c r="H301" s="6">
        <v>20209.59</v>
      </c>
      <c r="I301" s="5">
        <v>44868</v>
      </c>
      <c r="J301" s="7">
        <f t="shared" si="26"/>
        <v>-4.992679218133641E-4</v>
      </c>
      <c r="K301" s="5">
        <v>44868</v>
      </c>
      <c r="L301" s="8">
        <f t="shared" si="27"/>
        <v>8.0738577298160037E-4</v>
      </c>
      <c r="M301" s="5">
        <v>44868</v>
      </c>
      <c r="N301" s="9">
        <f t="shared" si="24"/>
        <v>3.0811785116823627E-4</v>
      </c>
      <c r="O301" s="5">
        <v>44868</v>
      </c>
      <c r="P301">
        <f t="shared" si="25"/>
        <v>1.0004252264739371</v>
      </c>
      <c r="Q301" s="6">
        <f t="shared" si="28"/>
        <v>1.0000500025001251</v>
      </c>
      <c r="R301">
        <f t="shared" si="29"/>
        <v>3.7513484073962045E-4</v>
      </c>
      <c r="T301" s="5">
        <v>44868</v>
      </c>
      <c r="U301" s="1">
        <v>3.7513484073962045E-4</v>
      </c>
    </row>
    <row r="302" spans="3:21" x14ac:dyDescent="0.2">
      <c r="C302" s="5">
        <v>44869</v>
      </c>
      <c r="D302" s="6">
        <v>1.0000800000000001</v>
      </c>
      <c r="E302" s="6">
        <v>21132</v>
      </c>
      <c r="F302" s="6">
        <v>21172.12</v>
      </c>
      <c r="G302" s="6">
        <v>21141</v>
      </c>
      <c r="H302" s="6">
        <v>21143.84</v>
      </c>
      <c r="I302" s="5">
        <v>44869</v>
      </c>
      <c r="J302" s="7">
        <f t="shared" si="26"/>
        <v>-5.5997396877767447E-4</v>
      </c>
      <c r="K302" s="5">
        <v>44869</v>
      </c>
      <c r="L302" s="8">
        <f t="shared" si="27"/>
        <v>1.472021191050517E-3</v>
      </c>
      <c r="M302" s="5">
        <v>44869</v>
      </c>
      <c r="N302" s="9">
        <f t="shared" si="24"/>
        <v>9.1204722227284252E-4</v>
      </c>
      <c r="O302" s="5">
        <v>44869</v>
      </c>
      <c r="P302">
        <f t="shared" si="25"/>
        <v>1.0001343361241191</v>
      </c>
      <c r="Q302" s="6">
        <f t="shared" si="28"/>
        <v>0.99992000639948797</v>
      </c>
      <c r="R302">
        <f t="shared" si="29"/>
        <v>2.1432390200057264E-4</v>
      </c>
      <c r="T302" s="5">
        <v>44869</v>
      </c>
      <c r="U302" s="1">
        <v>2.1432390200057264E-4</v>
      </c>
    </row>
    <row r="303" spans="3:21" x14ac:dyDescent="0.2">
      <c r="C303" s="5">
        <v>44870</v>
      </c>
      <c r="D303" s="6">
        <v>1.0000199999999999</v>
      </c>
      <c r="E303" s="6">
        <v>21290.5</v>
      </c>
      <c r="F303" s="6">
        <v>21333.119999999999</v>
      </c>
      <c r="G303" s="6">
        <v>21295</v>
      </c>
      <c r="H303" s="6">
        <v>21298.28</v>
      </c>
      <c r="I303" s="5">
        <v>44870</v>
      </c>
      <c r="J303" s="7">
        <f t="shared" si="26"/>
        <v>-3.652877133739831E-4</v>
      </c>
      <c r="K303" s="5">
        <v>44870</v>
      </c>
      <c r="L303" s="8">
        <f t="shared" si="27"/>
        <v>1.7900915707912176E-3</v>
      </c>
      <c r="M303" s="5">
        <v>44870</v>
      </c>
      <c r="N303" s="9">
        <f t="shared" si="24"/>
        <v>1.4248038574172345E-3</v>
      </c>
      <c r="O303" s="5">
        <v>44870</v>
      </c>
      <c r="P303">
        <f t="shared" si="25"/>
        <v>1.0001540267668467</v>
      </c>
      <c r="Q303" s="6">
        <f t="shared" si="28"/>
        <v>0.99998000039999213</v>
      </c>
      <c r="R303">
        <f t="shared" si="29"/>
        <v>1.7401470594481051E-4</v>
      </c>
      <c r="T303" s="5">
        <v>44870</v>
      </c>
      <c r="U303" s="1">
        <v>1.7401470594481051E-4</v>
      </c>
    </row>
    <row r="304" spans="3:21" x14ac:dyDescent="0.2">
      <c r="C304" s="5">
        <v>44871</v>
      </c>
      <c r="D304" s="6">
        <v>1.0000899999999999</v>
      </c>
      <c r="E304" s="6">
        <v>20904</v>
      </c>
      <c r="F304" s="6">
        <v>20956.84</v>
      </c>
      <c r="G304" s="6">
        <v>20903.5</v>
      </c>
      <c r="H304" s="6">
        <v>20908.349999999999</v>
      </c>
      <c r="I304" s="5">
        <v>44871</v>
      </c>
      <c r="J304" s="7">
        <f t="shared" si="26"/>
        <v>-2.0805085049745891E-4</v>
      </c>
      <c r="K304" s="5">
        <v>44871</v>
      </c>
      <c r="L304" s="8">
        <f t="shared" si="27"/>
        <v>2.5517257875475471E-3</v>
      </c>
      <c r="M304" s="5">
        <v>44871</v>
      </c>
      <c r="N304" s="9">
        <f t="shared" si="24"/>
        <v>2.3436749370500881E-3</v>
      </c>
      <c r="O304" s="5">
        <v>44871</v>
      </c>
      <c r="P304">
        <f t="shared" si="25"/>
        <v>1.0002320185614848</v>
      </c>
      <c r="Q304" s="6">
        <f t="shared" si="28"/>
        <v>0.99991000809927111</v>
      </c>
      <c r="R304">
        <f t="shared" si="29"/>
        <v>3.2198759958401929E-4</v>
      </c>
      <c r="T304" s="5">
        <v>44871</v>
      </c>
      <c r="U304" s="1">
        <v>3.2198759958401929E-4</v>
      </c>
    </row>
    <row r="305" spans="3:21" x14ac:dyDescent="0.2">
      <c r="C305" s="5">
        <v>44872</v>
      </c>
      <c r="D305" s="6">
        <v>1</v>
      </c>
      <c r="E305" s="6">
        <v>20582.5</v>
      </c>
      <c r="F305" s="6">
        <v>20615.189999999999</v>
      </c>
      <c r="G305" s="6">
        <v>20585.5</v>
      </c>
      <c r="H305" s="6">
        <v>20589.55</v>
      </c>
      <c r="I305" s="5">
        <v>44872</v>
      </c>
      <c r="J305" s="7">
        <f t="shared" si="26"/>
        <v>-3.4240670631457574E-4</v>
      </c>
      <c r="K305" s="5">
        <v>44872</v>
      </c>
      <c r="L305" s="8">
        <f t="shared" si="27"/>
        <v>1.4422773311310723E-3</v>
      </c>
      <c r="M305" s="5">
        <v>44872</v>
      </c>
      <c r="N305" s="9">
        <f t="shared" si="24"/>
        <v>1.0998706248164965E-3</v>
      </c>
      <c r="O305" s="5">
        <v>44872</v>
      </c>
      <c r="P305">
        <f t="shared" si="25"/>
        <v>1.0001967404240848</v>
      </c>
      <c r="Q305" s="6">
        <f t="shared" si="28"/>
        <v>1</v>
      </c>
      <c r="R305">
        <f t="shared" si="29"/>
        <v>1.967210732255839E-4</v>
      </c>
      <c r="T305" s="5">
        <v>44872</v>
      </c>
      <c r="U305" s="1">
        <v>1.967210732255839E-4</v>
      </c>
    </row>
    <row r="306" spans="3:21" x14ac:dyDescent="0.2">
      <c r="C306" s="5">
        <v>44873</v>
      </c>
      <c r="D306" s="6">
        <v>1.00003</v>
      </c>
      <c r="E306" s="6">
        <v>18537</v>
      </c>
      <c r="F306" s="6">
        <v>18630.66</v>
      </c>
      <c r="G306" s="6">
        <v>18536.5</v>
      </c>
      <c r="H306" s="6">
        <v>18545</v>
      </c>
      <c r="I306" s="5">
        <v>44873</v>
      </c>
      <c r="J306" s="7">
        <f t="shared" si="26"/>
        <v>-4.3138312213534646E-4</v>
      </c>
      <c r="K306" s="5">
        <v>44873</v>
      </c>
      <c r="L306" s="8">
        <f t="shared" si="27"/>
        <v>5.0797076039165888E-3</v>
      </c>
      <c r="M306" s="5">
        <v>44873</v>
      </c>
      <c r="N306" s="9">
        <f t="shared" si="24"/>
        <v>4.6483244817812422E-3</v>
      </c>
      <c r="O306" s="5">
        <v>44873</v>
      </c>
      <c r="P306">
        <f t="shared" si="25"/>
        <v>1.0004585547433442</v>
      </c>
      <c r="Q306" s="6">
        <f t="shared" si="28"/>
        <v>0.99997000089997301</v>
      </c>
      <c r="R306">
        <f t="shared" si="29"/>
        <v>4.8844918925626871E-4</v>
      </c>
      <c r="T306" s="5">
        <v>44873</v>
      </c>
      <c r="U306" s="1">
        <v>4.8844918925626871E-4</v>
      </c>
    </row>
    <row r="307" spans="3:21" x14ac:dyDescent="0.2">
      <c r="C307" s="5">
        <v>44874</v>
      </c>
      <c r="D307" s="6">
        <v>0.99687999999999999</v>
      </c>
      <c r="E307" s="6">
        <v>15891.5</v>
      </c>
      <c r="F307" s="6">
        <v>15988.56</v>
      </c>
      <c r="G307" s="6">
        <v>15866</v>
      </c>
      <c r="H307" s="6">
        <v>15910.69</v>
      </c>
      <c r="I307" s="5">
        <v>44874</v>
      </c>
      <c r="J307" s="7">
        <f t="shared" si="26"/>
        <v>-1.2061073404107873E-3</v>
      </c>
      <c r="K307" s="5">
        <v>44874</v>
      </c>
      <c r="L307" s="8">
        <f t="shared" si="27"/>
        <v>7.7246943148871483E-3</v>
      </c>
      <c r="M307" s="5">
        <v>44874</v>
      </c>
      <c r="N307" s="9">
        <f t="shared" si="24"/>
        <v>6.5185869744763605E-3</v>
      </c>
      <c r="O307" s="5">
        <v>44874</v>
      </c>
      <c r="P307">
        <f t="shared" si="25"/>
        <v>1.0028167149880247</v>
      </c>
      <c r="Q307" s="6">
        <f t="shared" si="28"/>
        <v>1.0031297648663831</v>
      </c>
      <c r="R307">
        <f t="shared" si="29"/>
        <v>-3.12121867700569E-4</v>
      </c>
      <c r="T307" s="5">
        <v>44874</v>
      </c>
      <c r="U307" s="1">
        <v>-3.12121867700569E-4</v>
      </c>
    </row>
    <row r="308" spans="3:21" x14ac:dyDescent="0.2">
      <c r="C308" s="5">
        <v>44875</v>
      </c>
      <c r="D308" s="6">
        <v>0.99826000000000004</v>
      </c>
      <c r="E308" s="6">
        <v>17594</v>
      </c>
      <c r="F308" s="6">
        <v>17633.14</v>
      </c>
      <c r="G308" s="6">
        <v>17555.5</v>
      </c>
      <c r="H308" s="6">
        <v>17600.05</v>
      </c>
      <c r="I308" s="5">
        <v>44875</v>
      </c>
      <c r="J308" s="7">
        <f t="shared" si="26"/>
        <v>-3.4374902344023301E-4</v>
      </c>
      <c r="K308" s="5">
        <v>44875</v>
      </c>
      <c r="L308" s="8">
        <f t="shared" si="27"/>
        <v>4.4225456409671855E-3</v>
      </c>
      <c r="M308" s="5">
        <v>44875</v>
      </c>
      <c r="N308" s="9">
        <f t="shared" si="24"/>
        <v>4.0787966175269523E-3</v>
      </c>
      <c r="O308" s="5">
        <v>44875</v>
      </c>
      <c r="P308">
        <f t="shared" si="25"/>
        <v>1.0025376662584375</v>
      </c>
      <c r="Q308" s="6">
        <f t="shared" si="28"/>
        <v>1.0017430328772063</v>
      </c>
      <c r="R308">
        <f t="shared" si="29"/>
        <v>7.9293626208075819E-4</v>
      </c>
      <c r="T308" s="5">
        <v>44875</v>
      </c>
      <c r="U308" s="1">
        <v>7.9293626208075819E-4</v>
      </c>
    </row>
    <row r="309" spans="3:21" x14ac:dyDescent="0.2">
      <c r="C309" s="5">
        <v>44876</v>
      </c>
      <c r="D309" s="6">
        <v>0.99689000000000005</v>
      </c>
      <c r="E309" s="6">
        <v>17052</v>
      </c>
      <c r="F309" s="6">
        <v>17143.23</v>
      </c>
      <c r="G309" s="6">
        <v>16998</v>
      </c>
      <c r="H309" s="6">
        <v>17058.810000000001</v>
      </c>
      <c r="I309" s="5">
        <v>44876</v>
      </c>
      <c r="J309" s="7">
        <f t="shared" si="26"/>
        <v>-3.9920721316441819E-4</v>
      </c>
      <c r="K309" s="5">
        <v>44876</v>
      </c>
      <c r="L309" s="8">
        <f t="shared" si="27"/>
        <v>8.5439463466289896E-3</v>
      </c>
      <c r="M309" s="5">
        <v>44876</v>
      </c>
      <c r="N309" s="9">
        <f t="shared" si="24"/>
        <v>8.1447391334645708E-3</v>
      </c>
      <c r="O309" s="5">
        <v>44876</v>
      </c>
      <c r="P309">
        <f t="shared" si="25"/>
        <v>1.0035774797034946</v>
      </c>
      <c r="Q309" s="6">
        <f t="shared" si="28"/>
        <v>1.0031197022740723</v>
      </c>
      <c r="R309">
        <f t="shared" si="29"/>
        <v>4.5624964391720129E-4</v>
      </c>
      <c r="T309" s="5">
        <v>44876</v>
      </c>
      <c r="U309" s="1">
        <v>4.5624964391720129E-4</v>
      </c>
    </row>
    <row r="310" spans="3:21" x14ac:dyDescent="0.2">
      <c r="C310" s="5">
        <v>44877</v>
      </c>
      <c r="D310" s="6">
        <v>0.99807000000000001</v>
      </c>
      <c r="E310" s="6">
        <v>16804</v>
      </c>
      <c r="F310" s="6">
        <v>16930.41</v>
      </c>
      <c r="G310" s="6">
        <v>16773</v>
      </c>
      <c r="H310" s="6">
        <v>16814</v>
      </c>
      <c r="I310" s="5">
        <v>44877</v>
      </c>
      <c r="J310" s="7">
        <f t="shared" si="26"/>
        <v>-5.9474247650767218E-4</v>
      </c>
      <c r="K310" s="5">
        <v>44877</v>
      </c>
      <c r="L310" s="8">
        <f t="shared" si="27"/>
        <v>9.3847254516186644E-3</v>
      </c>
      <c r="M310" s="5">
        <v>44877</v>
      </c>
      <c r="N310" s="9">
        <f t="shared" si="24"/>
        <v>8.789982975110992E-3</v>
      </c>
      <c r="O310" s="5">
        <v>44877</v>
      </c>
      <c r="P310">
        <f t="shared" si="25"/>
        <v>1.0024444046980265</v>
      </c>
      <c r="Q310" s="6">
        <f t="shared" si="28"/>
        <v>1.0019337321029587</v>
      </c>
      <c r="R310">
        <f t="shared" si="29"/>
        <v>5.0955715066075156E-4</v>
      </c>
      <c r="T310" s="5">
        <v>44877</v>
      </c>
      <c r="U310" s="1">
        <v>5.0955715066075156E-4</v>
      </c>
    </row>
    <row r="311" spans="3:21" x14ac:dyDescent="0.2">
      <c r="C311" s="5">
        <v>44878</v>
      </c>
      <c r="D311" s="6">
        <v>0.99790000000000001</v>
      </c>
      <c r="E311" s="6">
        <v>16330.5</v>
      </c>
      <c r="F311" s="6">
        <v>16351.21</v>
      </c>
      <c r="G311" s="6">
        <v>16300.5</v>
      </c>
      <c r="H311" s="6">
        <v>16340.57</v>
      </c>
      <c r="I311" s="5">
        <v>44878</v>
      </c>
      <c r="J311" s="7">
        <f t="shared" si="26"/>
        <v>-6.1625757241024696E-4</v>
      </c>
      <c r="K311" s="5">
        <v>44878</v>
      </c>
      <c r="L311" s="8">
        <f t="shared" si="27"/>
        <v>3.1109475169472794E-3</v>
      </c>
      <c r="M311" s="5">
        <v>44878</v>
      </c>
      <c r="N311" s="9">
        <f t="shared" si="24"/>
        <v>2.4946899445370324E-3</v>
      </c>
      <c r="O311" s="5">
        <v>44878</v>
      </c>
      <c r="P311">
        <f t="shared" si="25"/>
        <v>1.0024582068034724</v>
      </c>
      <c r="Q311" s="6">
        <f t="shared" si="28"/>
        <v>1.0021044192804891</v>
      </c>
      <c r="R311">
        <f t="shared" si="29"/>
        <v>3.5298226361513884E-4</v>
      </c>
      <c r="T311" s="5">
        <v>44878</v>
      </c>
      <c r="U311" s="1">
        <v>3.5298226361513884E-4</v>
      </c>
    </row>
    <row r="312" spans="3:21" x14ac:dyDescent="0.2">
      <c r="C312" s="5">
        <v>44879</v>
      </c>
      <c r="D312" s="6">
        <v>0.99848999999999999</v>
      </c>
      <c r="E312" s="6">
        <v>16607.5</v>
      </c>
      <c r="F312" s="6">
        <v>16610.38</v>
      </c>
      <c r="G312" s="6">
        <v>16575.5</v>
      </c>
      <c r="H312" s="6">
        <v>16620.259999999998</v>
      </c>
      <c r="I312" s="5">
        <v>44879</v>
      </c>
      <c r="J312" s="7">
        <f t="shared" si="26"/>
        <v>-7.6773768882065622E-4</v>
      </c>
      <c r="K312" s="5">
        <v>44879</v>
      </c>
      <c r="L312" s="8">
        <f t="shared" si="27"/>
        <v>2.1043105788664607E-3</v>
      </c>
      <c r="M312" s="5">
        <v>44879</v>
      </c>
      <c r="N312" s="9">
        <f t="shared" si="24"/>
        <v>1.3365728900458045E-3</v>
      </c>
      <c r="O312" s="5">
        <v>44879</v>
      </c>
      <c r="P312">
        <f t="shared" si="25"/>
        <v>1.0027003710295315</v>
      </c>
      <c r="Q312" s="6">
        <f t="shared" si="28"/>
        <v>1.0015122835481578</v>
      </c>
      <c r="R312">
        <f t="shared" si="29"/>
        <v>1.1855903791716965E-3</v>
      </c>
      <c r="T312" s="5">
        <v>44879</v>
      </c>
      <c r="U312" s="1">
        <v>1.1855903791716965E-3</v>
      </c>
    </row>
    <row r="313" spans="3:21" x14ac:dyDescent="0.2">
      <c r="C313" s="5">
        <v>44880</v>
      </c>
      <c r="D313" s="6">
        <v>0.99839</v>
      </c>
      <c r="E313" s="6">
        <v>16878</v>
      </c>
      <c r="F313" s="6">
        <v>16885.2</v>
      </c>
      <c r="G313" s="6">
        <v>16861.5</v>
      </c>
      <c r="H313" s="6">
        <v>16894.5</v>
      </c>
      <c r="I313" s="5">
        <v>44880</v>
      </c>
      <c r="J313" s="7">
        <f t="shared" si="26"/>
        <v>-9.7664920536269192E-4</v>
      </c>
      <c r="K313" s="5">
        <v>44880</v>
      </c>
      <c r="L313" s="8">
        <f t="shared" si="27"/>
        <v>1.4055688995641389E-3</v>
      </c>
      <c r="M313" s="5">
        <v>44880</v>
      </c>
      <c r="N313" s="9">
        <f t="shared" si="24"/>
        <v>4.2891969420144702E-4</v>
      </c>
      <c r="O313" s="5">
        <v>44880</v>
      </c>
      <c r="P313">
        <f t="shared" si="25"/>
        <v>1.0019571212525578</v>
      </c>
      <c r="Q313" s="6">
        <f t="shared" si="28"/>
        <v>1.0016125962800109</v>
      </c>
      <c r="R313">
        <f t="shared" si="29"/>
        <v>3.4391114312401554E-4</v>
      </c>
      <c r="T313" s="5">
        <v>44880</v>
      </c>
      <c r="U313" s="1">
        <v>3.4391114312401554E-4</v>
      </c>
    </row>
    <row r="314" spans="3:21" x14ac:dyDescent="0.2">
      <c r="C314" s="5">
        <v>44881</v>
      </c>
      <c r="D314" s="6">
        <v>0.99899000000000004</v>
      </c>
      <c r="E314" s="6">
        <v>16643</v>
      </c>
      <c r="F314" s="6">
        <v>16649.25</v>
      </c>
      <c r="G314" s="6">
        <v>16636</v>
      </c>
      <c r="H314" s="6">
        <v>16658.23</v>
      </c>
      <c r="I314" s="5">
        <v>44881</v>
      </c>
      <c r="J314" s="7">
        <f t="shared" si="26"/>
        <v>-9.1426279982924743E-4</v>
      </c>
      <c r="K314" s="5">
        <v>44881</v>
      </c>
      <c r="L314" s="8">
        <f t="shared" si="27"/>
        <v>7.9646549651358502E-4</v>
      </c>
      <c r="M314" s="5">
        <v>44881</v>
      </c>
      <c r="N314" s="9">
        <f t="shared" si="24"/>
        <v>-1.1779730331566241E-4</v>
      </c>
      <c r="O314" s="5">
        <v>44881</v>
      </c>
      <c r="P314">
        <f t="shared" si="25"/>
        <v>1.0013362587160375</v>
      </c>
      <c r="Q314" s="6">
        <f t="shared" si="28"/>
        <v>1.0010110211313425</v>
      </c>
      <c r="R314">
        <f t="shared" si="29"/>
        <v>3.2485632320477462E-4</v>
      </c>
      <c r="T314" s="5">
        <v>44881</v>
      </c>
      <c r="U314" s="1">
        <v>3.2485632320477462E-4</v>
      </c>
    </row>
    <row r="315" spans="3:21" x14ac:dyDescent="0.2">
      <c r="C315" s="5">
        <v>44882</v>
      </c>
      <c r="D315" s="6">
        <v>0.99960000000000004</v>
      </c>
      <c r="E315" s="6">
        <v>16688.5</v>
      </c>
      <c r="F315" s="6">
        <v>16678.41</v>
      </c>
      <c r="G315" s="6">
        <v>16673</v>
      </c>
      <c r="H315" s="6">
        <v>16692.099999999999</v>
      </c>
      <c r="I315" s="5">
        <v>44882</v>
      </c>
      <c r="J315" s="7">
        <f t="shared" si="26"/>
        <v>-2.1567088622752949E-4</v>
      </c>
      <c r="K315" s="5">
        <v>44882</v>
      </c>
      <c r="L315" s="8">
        <f t="shared" si="27"/>
        <v>3.2447669885442656E-4</v>
      </c>
      <c r="M315" s="5">
        <v>44882</v>
      </c>
      <c r="N315" s="9">
        <f t="shared" si="24"/>
        <v>1.0880581262689707E-4</v>
      </c>
      <c r="O315" s="5">
        <v>44882</v>
      </c>
      <c r="P315">
        <f t="shared" si="25"/>
        <v>1.0011455646854195</v>
      </c>
      <c r="Q315" s="6">
        <f t="shared" si="28"/>
        <v>1.0004001600640255</v>
      </c>
      <c r="R315">
        <f t="shared" si="29"/>
        <v>7.4482900554066213E-4</v>
      </c>
      <c r="T315" s="5">
        <v>44882</v>
      </c>
      <c r="U315" s="1">
        <v>7.4482900554066213E-4</v>
      </c>
    </row>
    <row r="316" spans="3:21" x14ac:dyDescent="0.2">
      <c r="C316" s="5">
        <v>44883</v>
      </c>
      <c r="D316" s="6">
        <v>0.99917999999999996</v>
      </c>
      <c r="E316" s="6">
        <v>16700</v>
      </c>
      <c r="F316" s="6">
        <v>16688.57</v>
      </c>
      <c r="G316" s="6">
        <v>16675</v>
      </c>
      <c r="H316" s="6">
        <v>16696.97</v>
      </c>
      <c r="I316" s="5">
        <v>44883</v>
      </c>
      <c r="J316" s="7">
        <f t="shared" si="26"/>
        <v>1.8147005115292389E-4</v>
      </c>
      <c r="K316" s="5">
        <v>44883</v>
      </c>
      <c r="L316" s="8">
        <f t="shared" si="27"/>
        <v>8.1379310344825836E-4</v>
      </c>
      <c r="M316" s="5">
        <v>44883</v>
      </c>
      <c r="N316" s="9">
        <f t="shared" si="24"/>
        <v>9.9526315460118225E-4</v>
      </c>
      <c r="O316" s="5">
        <v>44883</v>
      </c>
      <c r="P316">
        <f t="shared" si="25"/>
        <v>1.0013175412293853</v>
      </c>
      <c r="Q316" s="6">
        <f t="shared" si="28"/>
        <v>1.0008206729518205</v>
      </c>
      <c r="R316">
        <f t="shared" si="29"/>
        <v>4.9633764966443403E-4</v>
      </c>
      <c r="T316" s="5">
        <v>44883</v>
      </c>
      <c r="U316" s="1">
        <v>4.9633764966443403E-4</v>
      </c>
    </row>
    <row r="317" spans="3:21" x14ac:dyDescent="0.2">
      <c r="C317" s="5">
        <v>44884</v>
      </c>
      <c r="D317" s="6">
        <v>0.99894000000000005</v>
      </c>
      <c r="E317" s="6">
        <v>16688</v>
      </c>
      <c r="F317" s="6">
        <v>16663.560000000001</v>
      </c>
      <c r="G317" s="6">
        <v>16675</v>
      </c>
      <c r="H317" s="6">
        <v>16695.810000000001</v>
      </c>
      <c r="I317" s="5">
        <v>44884</v>
      </c>
      <c r="J317" s="7">
        <f t="shared" si="26"/>
        <v>-4.6778203633134952E-4</v>
      </c>
      <c r="K317" s="5">
        <v>44884</v>
      </c>
      <c r="L317" s="8">
        <f t="shared" si="27"/>
        <v>-6.8605697151416436E-4</v>
      </c>
      <c r="M317" s="5">
        <v>44884</v>
      </c>
      <c r="N317" s="9">
        <f t="shared" si="24"/>
        <v>-1.153839007845514E-3</v>
      </c>
      <c r="O317" s="5">
        <v>44884</v>
      </c>
      <c r="P317">
        <f t="shared" si="25"/>
        <v>1.0012479760119941</v>
      </c>
      <c r="Q317" s="6">
        <f t="shared" si="28"/>
        <v>1.0010611247922798</v>
      </c>
      <c r="R317">
        <f t="shared" si="29"/>
        <v>1.8663573988823831E-4</v>
      </c>
      <c r="T317" s="5">
        <v>44884</v>
      </c>
      <c r="U317" s="1">
        <v>1.8663573988823831E-4</v>
      </c>
    </row>
    <row r="318" spans="3:21" x14ac:dyDescent="0.2">
      <c r="C318" s="5">
        <v>44885</v>
      </c>
      <c r="D318" s="6">
        <v>0.99824000000000002</v>
      </c>
      <c r="E318" s="6">
        <v>16273.5</v>
      </c>
      <c r="F318" s="6">
        <v>16261.26</v>
      </c>
      <c r="G318" s="6">
        <v>16270</v>
      </c>
      <c r="H318" s="6">
        <v>16278.35</v>
      </c>
      <c r="I318" s="5">
        <v>44885</v>
      </c>
      <c r="J318" s="7">
        <f t="shared" si="26"/>
        <v>-2.9794174471002056E-4</v>
      </c>
      <c r="K318" s="5">
        <v>44885</v>
      </c>
      <c r="L318" s="8">
        <f t="shared" si="27"/>
        <v>-5.3718500307312728E-4</v>
      </c>
      <c r="M318" s="5">
        <v>44885</v>
      </c>
      <c r="N318" s="9">
        <f t="shared" si="24"/>
        <v>-8.3512674778314785E-4</v>
      </c>
      <c r="O318" s="5">
        <v>44885</v>
      </c>
      <c r="P318">
        <f t="shared" si="25"/>
        <v>1.0005132145052242</v>
      </c>
      <c r="Q318" s="6">
        <f t="shared" si="28"/>
        <v>1.001763103061388</v>
      </c>
      <c r="R318">
        <f t="shared" si="29"/>
        <v>-1.2484677639597499E-3</v>
      </c>
      <c r="T318" s="5">
        <v>44885</v>
      </c>
      <c r="U318" s="1">
        <v>-1.2484677639597499E-3</v>
      </c>
    </row>
    <row r="319" spans="3:21" x14ac:dyDescent="0.2">
      <c r="C319" s="5">
        <v>44886</v>
      </c>
      <c r="D319" s="6">
        <v>0.99890999999999996</v>
      </c>
      <c r="E319" s="6">
        <v>15765.5</v>
      </c>
      <c r="F319" s="6">
        <v>15755.85</v>
      </c>
      <c r="G319" s="6">
        <v>15744.5</v>
      </c>
      <c r="H319" s="6">
        <v>15782.91</v>
      </c>
      <c r="I319" s="5">
        <v>44886</v>
      </c>
      <c r="J319" s="7">
        <f t="shared" si="26"/>
        <v>-1.1030918886314283E-3</v>
      </c>
      <c r="K319" s="5">
        <v>44886</v>
      </c>
      <c r="L319" s="8">
        <f t="shared" si="27"/>
        <v>7.2088665883326649E-4</v>
      </c>
      <c r="M319" s="5">
        <v>44886</v>
      </c>
      <c r="N319" s="9">
        <f t="shared" si="24"/>
        <v>-3.8220522979816177E-4</v>
      </c>
      <c r="O319" s="5">
        <v>44886</v>
      </c>
      <c r="P319">
        <f t="shared" si="25"/>
        <v>1.0024395820762806</v>
      </c>
      <c r="Q319" s="6">
        <f t="shared" si="28"/>
        <v>1.0010911893964423</v>
      </c>
      <c r="R319">
        <f t="shared" si="29"/>
        <v>1.3460166448330047E-3</v>
      </c>
      <c r="T319" s="5">
        <v>44886</v>
      </c>
      <c r="U319" s="1">
        <v>1.3460166448330047E-3</v>
      </c>
    </row>
    <row r="320" spans="3:21" x14ac:dyDescent="0.2">
      <c r="C320" s="5">
        <v>44887</v>
      </c>
      <c r="D320" s="6">
        <v>0.99863000000000002</v>
      </c>
      <c r="E320" s="6">
        <v>16218.5</v>
      </c>
      <c r="F320" s="6">
        <v>16217.33</v>
      </c>
      <c r="G320" s="6">
        <v>16193.5</v>
      </c>
      <c r="H320" s="6">
        <v>16222.53</v>
      </c>
      <c r="I320" s="5">
        <v>44887</v>
      </c>
      <c r="J320" s="7">
        <f t="shared" si="26"/>
        <v>-2.4841994436136991E-4</v>
      </c>
      <c r="K320" s="5">
        <v>44887</v>
      </c>
      <c r="L320" s="8">
        <f t="shared" si="27"/>
        <v>1.4715781023250025E-3</v>
      </c>
      <c r="M320" s="5">
        <v>44887</v>
      </c>
      <c r="N320" s="9">
        <f t="shared" si="24"/>
        <v>1.2231581579636326E-3</v>
      </c>
      <c r="O320" s="5">
        <v>44887</v>
      </c>
      <c r="P320">
        <f t="shared" si="25"/>
        <v>1.0017926945996851</v>
      </c>
      <c r="Q320" s="6">
        <f t="shared" si="28"/>
        <v>1.0013718794748805</v>
      </c>
      <c r="R320">
        <f t="shared" si="29"/>
        <v>4.2015033257005873E-4</v>
      </c>
      <c r="T320" s="5">
        <v>44887</v>
      </c>
      <c r="U320" s="1">
        <v>4.2015033257005873E-4</v>
      </c>
    </row>
    <row r="321" spans="3:21" x14ac:dyDescent="0.2">
      <c r="C321" s="5">
        <v>44888</v>
      </c>
      <c r="D321" s="6">
        <v>0.99797999999999998</v>
      </c>
      <c r="E321" s="6">
        <v>16589</v>
      </c>
      <c r="F321" s="6">
        <v>16596.259999999998</v>
      </c>
      <c r="G321" s="6">
        <v>16580</v>
      </c>
      <c r="H321" s="6">
        <v>16603.73</v>
      </c>
      <c r="I321" s="5">
        <v>44888</v>
      </c>
      <c r="J321" s="7">
        <f t="shared" si="26"/>
        <v>-8.8715005604159808E-4</v>
      </c>
      <c r="K321" s="5">
        <v>44888</v>
      </c>
      <c r="L321" s="8">
        <f t="shared" si="27"/>
        <v>9.8069963811811827E-4</v>
      </c>
      <c r="M321" s="5">
        <v>44888</v>
      </c>
      <c r="N321" s="9">
        <f t="shared" si="24"/>
        <v>9.3549582076520184E-5</v>
      </c>
      <c r="O321" s="5">
        <v>44888</v>
      </c>
      <c r="P321">
        <f t="shared" si="25"/>
        <v>1.0014312424607961</v>
      </c>
      <c r="Q321" s="6">
        <f t="shared" si="28"/>
        <v>1.0020240886590914</v>
      </c>
      <c r="R321">
        <f t="shared" si="29"/>
        <v>-5.9182374210249426E-4</v>
      </c>
      <c r="T321" s="5">
        <v>44888</v>
      </c>
      <c r="U321" s="1">
        <v>-5.9182374210249426E-4</v>
      </c>
    </row>
    <row r="322" spans="3:21" x14ac:dyDescent="0.2">
      <c r="C322" s="5">
        <v>44889</v>
      </c>
      <c r="D322" s="6">
        <v>0.99873000000000001</v>
      </c>
      <c r="E322" s="6">
        <v>16594.5</v>
      </c>
      <c r="F322" s="6">
        <v>16586.23</v>
      </c>
      <c r="G322" s="6">
        <v>16575.5</v>
      </c>
      <c r="H322" s="6">
        <v>16598.080000000002</v>
      </c>
      <c r="I322" s="5">
        <v>44889</v>
      </c>
      <c r="J322" s="7">
        <f t="shared" si="26"/>
        <v>-2.1568759760175549E-4</v>
      </c>
      <c r="K322" s="5">
        <v>44889</v>
      </c>
      <c r="L322" s="8">
        <f t="shared" si="27"/>
        <v>6.4734095502395482E-4</v>
      </c>
      <c r="M322" s="5">
        <v>44889</v>
      </c>
      <c r="N322" s="9">
        <f t="shared" si="24"/>
        <v>4.3165335742219931E-4</v>
      </c>
      <c r="O322" s="5">
        <v>44889</v>
      </c>
      <c r="P322">
        <f t="shared" si="25"/>
        <v>1.0013622515157914</v>
      </c>
      <c r="Q322" s="6">
        <f t="shared" si="28"/>
        <v>1.0012716149509877</v>
      </c>
      <c r="R322">
        <f t="shared" si="29"/>
        <v>9.0517359546654874E-5</v>
      </c>
      <c r="T322" s="5">
        <v>44889</v>
      </c>
      <c r="U322" s="1">
        <v>9.0517359546654874E-5</v>
      </c>
    </row>
    <row r="323" spans="3:21" x14ac:dyDescent="0.2">
      <c r="C323" s="5">
        <v>44890</v>
      </c>
      <c r="D323" s="6">
        <v>0.99907000000000001</v>
      </c>
      <c r="E323" s="6">
        <v>16510.5</v>
      </c>
      <c r="F323" s="6">
        <v>16501.830000000002</v>
      </c>
      <c r="G323" s="6">
        <v>16500</v>
      </c>
      <c r="H323" s="6">
        <v>16522</v>
      </c>
      <c r="I323" s="5">
        <v>44890</v>
      </c>
      <c r="J323" s="7">
        <f t="shared" si="26"/>
        <v>-6.9604164144776665E-4</v>
      </c>
      <c r="K323" s="5">
        <v>44890</v>
      </c>
      <c r="L323" s="8">
        <f t="shared" si="27"/>
        <v>1.1090909090919675E-4</v>
      </c>
      <c r="M323" s="5">
        <v>44890</v>
      </c>
      <c r="N323" s="9">
        <f t="shared" si="24"/>
        <v>-5.8513255053856995E-4</v>
      </c>
      <c r="O323" s="5">
        <v>44890</v>
      </c>
      <c r="P323">
        <f t="shared" si="25"/>
        <v>1.0013333333333334</v>
      </c>
      <c r="Q323" s="6">
        <f t="shared" si="28"/>
        <v>1.0009308657051057</v>
      </c>
      <c r="R323">
        <f t="shared" si="29"/>
        <v>4.020125154726537E-4</v>
      </c>
      <c r="T323" s="5">
        <v>44890</v>
      </c>
      <c r="U323" s="1">
        <v>4.020125154726537E-4</v>
      </c>
    </row>
    <row r="324" spans="3:21" x14ac:dyDescent="0.2">
      <c r="C324" s="5">
        <v>44891</v>
      </c>
      <c r="D324" s="6">
        <v>0.99951999999999996</v>
      </c>
      <c r="E324" s="6">
        <v>16449</v>
      </c>
      <c r="F324" s="6">
        <v>16440.38</v>
      </c>
      <c r="G324" s="6">
        <v>16440</v>
      </c>
      <c r="H324" s="6">
        <v>16462.86</v>
      </c>
      <c r="I324" s="5">
        <v>44891</v>
      </c>
      <c r="J324" s="7">
        <f t="shared" si="26"/>
        <v>-8.4189502917479599E-4</v>
      </c>
      <c r="K324" s="5">
        <v>44891</v>
      </c>
      <c r="L324" s="8">
        <f t="shared" si="27"/>
        <v>2.3114355231205514E-5</v>
      </c>
      <c r="M324" s="5">
        <v>44891</v>
      </c>
      <c r="N324" s="9">
        <f t="shared" si="24"/>
        <v>-8.1878067394359046E-4</v>
      </c>
      <c r="O324" s="5">
        <v>44891</v>
      </c>
      <c r="P324">
        <f t="shared" si="25"/>
        <v>1.0013905109489052</v>
      </c>
      <c r="Q324" s="6">
        <f t="shared" si="28"/>
        <v>1.0004802305106451</v>
      </c>
      <c r="R324">
        <f t="shared" si="29"/>
        <v>9.0942984693886454E-4</v>
      </c>
      <c r="T324" s="5">
        <v>44891</v>
      </c>
      <c r="U324" s="1">
        <v>9.0942984693886454E-4</v>
      </c>
    </row>
    <row r="325" spans="3:21" x14ac:dyDescent="0.2">
      <c r="C325" s="5">
        <v>44892</v>
      </c>
      <c r="D325" s="6">
        <v>0.99924999999999997</v>
      </c>
      <c r="E325" s="6">
        <v>16426</v>
      </c>
      <c r="F325" s="6">
        <v>16415.95</v>
      </c>
      <c r="G325" s="6">
        <v>16412.5</v>
      </c>
      <c r="H325" s="6">
        <v>16429.75</v>
      </c>
      <c r="I325" s="5">
        <v>44892</v>
      </c>
      <c r="J325" s="7">
        <f t="shared" si="26"/>
        <v>-2.2824449550358343E-4</v>
      </c>
      <c r="K325" s="5">
        <v>44892</v>
      </c>
      <c r="L325" s="8">
        <f t="shared" si="27"/>
        <v>2.1020563594825454E-4</v>
      </c>
      <c r="M325" s="5">
        <v>44892</v>
      </c>
      <c r="N325" s="9">
        <f t="shared" si="24"/>
        <v>-1.8038859555328884E-5</v>
      </c>
      <c r="O325" s="5">
        <v>44892</v>
      </c>
      <c r="P325">
        <f t="shared" si="25"/>
        <v>1.0010510281797411</v>
      </c>
      <c r="Q325" s="6">
        <f t="shared" si="28"/>
        <v>1.0007505629221918</v>
      </c>
      <c r="R325">
        <f t="shared" si="29"/>
        <v>3.0019484562449934E-4</v>
      </c>
      <c r="T325" s="5">
        <v>44892</v>
      </c>
      <c r="U325" s="1">
        <v>3.0019484562449934E-4</v>
      </c>
    </row>
    <row r="326" spans="3:21" x14ac:dyDescent="0.2">
      <c r="C326" s="5">
        <v>44893</v>
      </c>
      <c r="D326" s="6">
        <v>0.99812000000000001</v>
      </c>
      <c r="E326" s="6">
        <v>16206</v>
      </c>
      <c r="F326" s="6">
        <v>16206.6</v>
      </c>
      <c r="G326" s="6">
        <v>16204.5</v>
      </c>
      <c r="H326" s="6">
        <v>16217.36</v>
      </c>
      <c r="I326" s="5">
        <v>44893</v>
      </c>
      <c r="J326" s="7">
        <f t="shared" si="26"/>
        <v>-7.0048392586713134E-4</v>
      </c>
      <c r="K326" s="5">
        <v>44893</v>
      </c>
      <c r="L326" s="8">
        <f t="shared" si="27"/>
        <v>1.2959363139870801E-4</v>
      </c>
      <c r="M326" s="5">
        <v>44893</v>
      </c>
      <c r="N326" s="9">
        <f t="shared" si="24"/>
        <v>-5.7089029446842328E-4</v>
      </c>
      <c r="O326" s="5">
        <v>44893</v>
      </c>
      <c r="P326">
        <f t="shared" si="25"/>
        <v>1.0007936067141843</v>
      </c>
      <c r="Q326" s="6">
        <f t="shared" si="28"/>
        <v>1.0018835410571876</v>
      </c>
      <c r="R326">
        <f t="shared" si="29"/>
        <v>-1.088477443134064E-3</v>
      </c>
      <c r="T326" s="5">
        <v>44893</v>
      </c>
      <c r="U326" s="1">
        <v>-1.088477443134064E-3</v>
      </c>
    </row>
    <row r="327" spans="3:21" x14ac:dyDescent="0.2">
      <c r="C327" s="5">
        <v>44894</v>
      </c>
      <c r="D327" s="6">
        <v>0.99919000000000002</v>
      </c>
      <c r="E327" s="6">
        <v>16427</v>
      </c>
      <c r="F327" s="6">
        <v>16446.439999999999</v>
      </c>
      <c r="G327" s="6">
        <v>16425.5</v>
      </c>
      <c r="H327" s="6">
        <v>16442.150000000001</v>
      </c>
      <c r="I327" s="5">
        <v>44894</v>
      </c>
      <c r="J327" s="7">
        <f t="shared" si="26"/>
        <v>-9.2141234570913496E-4</v>
      </c>
      <c r="K327" s="5">
        <v>44894</v>
      </c>
      <c r="L327" s="8">
        <f t="shared" si="27"/>
        <v>1.27484703661981E-3</v>
      </c>
      <c r="M327" s="5">
        <v>44894</v>
      </c>
      <c r="N327" s="9">
        <f t="shared" si="24"/>
        <v>3.5343469091067504E-4</v>
      </c>
      <c r="O327" s="5">
        <v>44894</v>
      </c>
      <c r="P327">
        <f t="shared" si="25"/>
        <v>1.0010136677726706</v>
      </c>
      <c r="Q327" s="6">
        <f t="shared" si="28"/>
        <v>1.0008106566318717</v>
      </c>
      <c r="R327">
        <f t="shared" si="29"/>
        <v>2.0282613116447972E-4</v>
      </c>
      <c r="T327" s="5">
        <v>44894</v>
      </c>
      <c r="U327" s="1">
        <v>2.0282613116447972E-4</v>
      </c>
    </row>
    <row r="328" spans="3:21" x14ac:dyDescent="0.2">
      <c r="C328" s="5">
        <v>44895</v>
      </c>
      <c r="D328" s="6">
        <v>1.00014</v>
      </c>
      <c r="E328" s="6">
        <v>17146.5</v>
      </c>
      <c r="F328" s="6">
        <v>17170.310000000001</v>
      </c>
      <c r="G328" s="6">
        <v>17148</v>
      </c>
      <c r="H328" s="6">
        <v>17163.07</v>
      </c>
      <c r="I328" s="5">
        <v>44895</v>
      </c>
      <c r="J328" s="7">
        <f t="shared" si="26"/>
        <v>-9.6544499323254578E-4</v>
      </c>
      <c r="K328" s="5">
        <v>44895</v>
      </c>
      <c r="L328" s="8">
        <f t="shared" si="27"/>
        <v>1.3010263587591153E-3</v>
      </c>
      <c r="M328" s="5">
        <v>44895</v>
      </c>
      <c r="N328" s="9">
        <f t="shared" ref="N328:N391" si="30">J328+L328</f>
        <v>3.3558136552656957E-4</v>
      </c>
      <c r="O328" s="5">
        <v>44895</v>
      </c>
      <c r="P328">
        <f t="shared" ref="P328:P391" si="31">(1/G328)*H328</f>
        <v>1.0008788196874272</v>
      </c>
      <c r="Q328" s="6">
        <f t="shared" si="28"/>
        <v>0.99986001959725634</v>
      </c>
      <c r="R328">
        <f t="shared" si="29"/>
        <v>1.0184239524157258E-3</v>
      </c>
      <c r="T328" s="5">
        <v>44895</v>
      </c>
      <c r="U328" s="1">
        <v>1.0184239524157258E-3</v>
      </c>
    </row>
    <row r="329" spans="3:21" x14ac:dyDescent="0.2">
      <c r="C329" s="5">
        <v>44896</v>
      </c>
      <c r="D329" s="6">
        <v>1.00004</v>
      </c>
      <c r="E329" s="6">
        <v>16972.5</v>
      </c>
      <c r="F329" s="6">
        <v>16979.21</v>
      </c>
      <c r="G329" s="6">
        <v>16965.5</v>
      </c>
      <c r="H329" s="6">
        <v>16978.95</v>
      </c>
      <c r="I329" s="5">
        <v>44896</v>
      </c>
      <c r="J329" s="7">
        <f t="shared" ref="J329:J392" si="32">(E329-H329)/H329</f>
        <v>-3.7988214818941848E-4</v>
      </c>
      <c r="K329" s="5">
        <v>44896</v>
      </c>
      <c r="L329" s="8">
        <f t="shared" ref="L329:L392" si="33">(F329-G329)/G329</f>
        <v>8.0811057734809621E-4</v>
      </c>
      <c r="M329" s="5">
        <v>44896</v>
      </c>
      <c r="N329" s="9">
        <f t="shared" si="30"/>
        <v>4.2822842915867773E-4</v>
      </c>
      <c r="O329" s="5">
        <v>44896</v>
      </c>
      <c r="P329">
        <f t="shared" si="31"/>
        <v>1.0007927853585219</v>
      </c>
      <c r="Q329" s="6">
        <f t="shared" ref="Q329:Q392" si="34">1/D329</f>
        <v>0.99996000159993592</v>
      </c>
      <c r="R329">
        <f t="shared" ref="R329:R392" si="35">LN(P329/Q329)</f>
        <v>8.3247047022308722E-4</v>
      </c>
      <c r="T329" s="5">
        <v>44896</v>
      </c>
      <c r="U329" s="1">
        <v>8.3247047022308722E-4</v>
      </c>
    </row>
    <row r="330" spans="3:21" x14ac:dyDescent="0.2">
      <c r="C330" s="5">
        <v>44897</v>
      </c>
      <c r="D330" s="6">
        <v>1.0000500000000001</v>
      </c>
      <c r="E330" s="6">
        <v>17083.5</v>
      </c>
      <c r="F330" s="6">
        <v>17089.87</v>
      </c>
      <c r="G330" s="6">
        <v>17090.5</v>
      </c>
      <c r="H330" s="6">
        <v>17088.59</v>
      </c>
      <c r="I330" s="5">
        <v>44897</v>
      </c>
      <c r="J330" s="7">
        <f t="shared" si="32"/>
        <v>-2.9785956594430236E-4</v>
      </c>
      <c r="K330" s="5">
        <v>44897</v>
      </c>
      <c r="L330" s="8">
        <f t="shared" si="33"/>
        <v>-3.6862584476815695E-5</v>
      </c>
      <c r="M330" s="5">
        <v>44897</v>
      </c>
      <c r="N330" s="9">
        <f t="shared" si="30"/>
        <v>-3.3472215042111808E-4</v>
      </c>
      <c r="O330" s="5">
        <v>44897</v>
      </c>
      <c r="P330">
        <f t="shared" si="31"/>
        <v>0.99988824200579274</v>
      </c>
      <c r="Q330" s="6">
        <f t="shared" si="34"/>
        <v>0.99995000249987487</v>
      </c>
      <c r="R330">
        <f t="shared" si="35"/>
        <v>-6.176548955543348E-5</v>
      </c>
      <c r="T330" s="5">
        <v>44897</v>
      </c>
      <c r="U330" s="1">
        <v>-6.176548955543348E-5</v>
      </c>
    </row>
    <row r="331" spans="3:21" x14ac:dyDescent="0.2">
      <c r="C331" s="5">
        <v>44898</v>
      </c>
      <c r="D331" s="6">
        <v>1.00003</v>
      </c>
      <c r="E331" s="6">
        <v>16881</v>
      </c>
      <c r="F331" s="6">
        <v>16896.3</v>
      </c>
      <c r="G331" s="6">
        <v>16884</v>
      </c>
      <c r="H331" s="6">
        <v>16885.560000000001</v>
      </c>
      <c r="I331" s="5">
        <v>44898</v>
      </c>
      <c r="J331" s="7">
        <f t="shared" si="32"/>
        <v>-2.7005322891282904E-4</v>
      </c>
      <c r="K331" s="5">
        <v>44898</v>
      </c>
      <c r="L331" s="8">
        <f t="shared" si="33"/>
        <v>7.2850035536598391E-4</v>
      </c>
      <c r="M331" s="5">
        <v>44898</v>
      </c>
      <c r="N331" s="9">
        <f t="shared" si="30"/>
        <v>4.5844712645315487E-4</v>
      </c>
      <c r="O331" s="5">
        <v>44898</v>
      </c>
      <c r="P331">
        <f t="shared" si="31"/>
        <v>1.0000923951670222</v>
      </c>
      <c r="Q331" s="6">
        <f t="shared" si="34"/>
        <v>0.99997000089997301</v>
      </c>
      <c r="R331">
        <f t="shared" si="35"/>
        <v>1.2239044886058715E-4</v>
      </c>
      <c r="T331" s="5">
        <v>44898</v>
      </c>
      <c r="U331" s="1">
        <v>1.2239044886058715E-4</v>
      </c>
    </row>
    <row r="332" spans="3:21" x14ac:dyDescent="0.2">
      <c r="C332" s="5">
        <v>44899</v>
      </c>
      <c r="D332" s="6">
        <v>1.00004</v>
      </c>
      <c r="E332" s="6">
        <v>17096</v>
      </c>
      <c r="F332" s="6">
        <v>17121.11</v>
      </c>
      <c r="G332" s="6">
        <v>17097.5</v>
      </c>
      <c r="H332" s="6">
        <v>17105.45</v>
      </c>
      <c r="I332" s="5">
        <v>44899</v>
      </c>
      <c r="J332" s="7">
        <f t="shared" si="32"/>
        <v>-5.5245550394761474E-4</v>
      </c>
      <c r="K332" s="5">
        <v>44899</v>
      </c>
      <c r="L332" s="8">
        <f t="shared" si="33"/>
        <v>1.3809036408832041E-3</v>
      </c>
      <c r="M332" s="5">
        <v>44899</v>
      </c>
      <c r="N332" s="9">
        <f t="shared" si="30"/>
        <v>8.2844813693558935E-4</v>
      </c>
      <c r="O332" s="5">
        <v>44899</v>
      </c>
      <c r="P332">
        <f t="shared" si="31"/>
        <v>1.0004649802602721</v>
      </c>
      <c r="Q332" s="6">
        <f t="shared" si="34"/>
        <v>0.99996000159993592</v>
      </c>
      <c r="R332">
        <f t="shared" si="35"/>
        <v>5.0487139047114484E-4</v>
      </c>
      <c r="T332" s="5">
        <v>44899</v>
      </c>
      <c r="U332" s="1">
        <v>5.0487139047114484E-4</v>
      </c>
    </row>
    <row r="333" spans="3:21" x14ac:dyDescent="0.2">
      <c r="C333" s="5">
        <v>44900</v>
      </c>
      <c r="D333" s="6">
        <v>0.99997999999999998</v>
      </c>
      <c r="E333" s="6">
        <v>16966</v>
      </c>
      <c r="F333" s="6">
        <v>16972.939999999999</v>
      </c>
      <c r="G333" s="6">
        <v>16966.5</v>
      </c>
      <c r="H333" s="6">
        <v>16963.990000000002</v>
      </c>
      <c r="I333" s="5">
        <v>44900</v>
      </c>
      <c r="J333" s="7">
        <f t="shared" si="32"/>
        <v>1.1848627592909446E-4</v>
      </c>
      <c r="K333" s="5">
        <v>44900</v>
      </c>
      <c r="L333" s="8">
        <f t="shared" si="33"/>
        <v>3.7957150856091066E-4</v>
      </c>
      <c r="M333" s="5">
        <v>44900</v>
      </c>
      <c r="N333" s="9">
        <f t="shared" si="30"/>
        <v>4.9805778449000518E-4</v>
      </c>
      <c r="O333" s="5">
        <v>44900</v>
      </c>
      <c r="P333">
        <f t="shared" si="31"/>
        <v>0.99985206141514171</v>
      </c>
      <c r="Q333" s="6">
        <f t="shared" si="34"/>
        <v>1.0000200004000079</v>
      </c>
      <c r="R333">
        <f t="shared" si="35"/>
        <v>-1.6794972885270511E-4</v>
      </c>
      <c r="T333" s="5">
        <v>44900</v>
      </c>
      <c r="U333" s="1">
        <v>-1.6794972885270511E-4</v>
      </c>
    </row>
    <row r="334" spans="3:21" x14ac:dyDescent="0.2">
      <c r="C334" s="5">
        <v>44901</v>
      </c>
      <c r="D334" s="6">
        <v>0.99995000000000001</v>
      </c>
      <c r="E334" s="6">
        <v>17081.5</v>
      </c>
      <c r="F334" s="6">
        <v>17097.28</v>
      </c>
      <c r="G334" s="6">
        <v>17083</v>
      </c>
      <c r="H334" s="6">
        <v>17084.990000000002</v>
      </c>
      <c r="I334" s="5">
        <v>44901</v>
      </c>
      <c r="J334" s="7">
        <f t="shared" si="32"/>
        <v>-2.0427287344046443E-4</v>
      </c>
      <c r="K334" s="5">
        <v>44901</v>
      </c>
      <c r="L334" s="8">
        <f t="shared" si="33"/>
        <v>8.3591874963407102E-4</v>
      </c>
      <c r="M334" s="5">
        <v>44901</v>
      </c>
      <c r="N334" s="9">
        <f t="shared" si="30"/>
        <v>6.3164587619360662E-4</v>
      </c>
      <c r="O334" s="5">
        <v>44901</v>
      </c>
      <c r="P334">
        <f t="shared" si="31"/>
        <v>1.0001164900778554</v>
      </c>
      <c r="Q334" s="6">
        <f t="shared" si="34"/>
        <v>1.0000500025001251</v>
      </c>
      <c r="R334">
        <f t="shared" si="35"/>
        <v>6.6482043371297891E-5</v>
      </c>
      <c r="T334" s="5">
        <v>44901</v>
      </c>
      <c r="U334" s="1">
        <v>6.6482043371297891E-5</v>
      </c>
    </row>
    <row r="335" spans="3:21" x14ac:dyDescent="0.2">
      <c r="C335" s="5">
        <v>44902</v>
      </c>
      <c r="D335" s="6">
        <v>0.99997999999999998</v>
      </c>
      <c r="E335" s="6">
        <v>16823</v>
      </c>
      <c r="F335" s="6">
        <v>16847.580000000002</v>
      </c>
      <c r="G335" s="6">
        <v>16826.5</v>
      </c>
      <c r="H335" s="6">
        <v>16836</v>
      </c>
      <c r="I335" s="5">
        <v>44902</v>
      </c>
      <c r="J335" s="7">
        <f t="shared" si="32"/>
        <v>-7.7215490615348064E-4</v>
      </c>
      <c r="K335" s="5">
        <v>44902</v>
      </c>
      <c r="L335" s="8">
        <f t="shared" si="33"/>
        <v>1.2527857843283954E-3</v>
      </c>
      <c r="M335" s="5">
        <v>44902</v>
      </c>
      <c r="N335" s="9">
        <f t="shared" si="30"/>
        <v>4.8063087817491474E-4</v>
      </c>
      <c r="O335" s="5">
        <v>44902</v>
      </c>
      <c r="P335">
        <f t="shared" si="31"/>
        <v>1.0005645856238672</v>
      </c>
      <c r="Q335" s="6">
        <f t="shared" si="34"/>
        <v>1.0000200004000079</v>
      </c>
      <c r="R335">
        <f t="shared" si="35"/>
        <v>5.4442610536443146E-4</v>
      </c>
      <c r="T335" s="5">
        <v>44902</v>
      </c>
      <c r="U335" s="1">
        <v>5.4442610536443146E-4</v>
      </c>
    </row>
    <row r="336" spans="3:21" x14ac:dyDescent="0.2">
      <c r="C336" s="5">
        <v>44903</v>
      </c>
      <c r="D336" s="6">
        <v>1.0000800000000001</v>
      </c>
      <c r="E336" s="6">
        <v>17209.5</v>
      </c>
      <c r="F336" s="6">
        <v>17223.41</v>
      </c>
      <c r="G336" s="6">
        <v>17216</v>
      </c>
      <c r="H336" s="6">
        <v>17224.740000000002</v>
      </c>
      <c r="I336" s="5">
        <v>44903</v>
      </c>
      <c r="J336" s="7">
        <f t="shared" si="32"/>
        <v>-8.8477387757386172E-4</v>
      </c>
      <c r="K336" s="5">
        <v>44903</v>
      </c>
      <c r="L336" s="8">
        <f t="shared" si="33"/>
        <v>4.3041356877322577E-4</v>
      </c>
      <c r="M336" s="5">
        <v>44903</v>
      </c>
      <c r="N336" s="9">
        <f t="shared" si="30"/>
        <v>-4.5436030880063595E-4</v>
      </c>
      <c r="O336" s="5">
        <v>44903</v>
      </c>
      <c r="P336">
        <f t="shared" si="31"/>
        <v>1.0005076672862454</v>
      </c>
      <c r="Q336" s="6">
        <f t="shared" si="34"/>
        <v>0.99992000639948797</v>
      </c>
      <c r="R336">
        <f t="shared" si="35"/>
        <v>5.8753526697579274E-4</v>
      </c>
      <c r="T336" s="5">
        <v>44903</v>
      </c>
      <c r="U336" s="1">
        <v>5.8753526697579274E-4</v>
      </c>
    </row>
    <row r="337" spans="3:21" x14ac:dyDescent="0.2">
      <c r="C337" s="5">
        <v>44904</v>
      </c>
      <c r="D337" s="6">
        <v>1.0000500000000001</v>
      </c>
      <c r="E337" s="6">
        <v>17116</v>
      </c>
      <c r="F337" s="6">
        <v>17130.48</v>
      </c>
      <c r="G337" s="6">
        <v>17123</v>
      </c>
      <c r="H337" s="6">
        <v>17127.740000000002</v>
      </c>
      <c r="I337" s="5">
        <v>44904</v>
      </c>
      <c r="J337" s="7">
        <f t="shared" si="32"/>
        <v>-6.8543777521153397E-4</v>
      </c>
      <c r="K337" s="5">
        <v>44904</v>
      </c>
      <c r="L337" s="8">
        <f t="shared" si="33"/>
        <v>4.3683933890086804E-4</v>
      </c>
      <c r="M337" s="5">
        <v>44904</v>
      </c>
      <c r="N337" s="9">
        <f t="shared" si="30"/>
        <v>-2.4859843631066592E-4</v>
      </c>
      <c r="O337" s="5">
        <v>44904</v>
      </c>
      <c r="P337">
        <f t="shared" si="31"/>
        <v>1.000276820650587</v>
      </c>
      <c r="Q337" s="6">
        <f t="shared" si="34"/>
        <v>0.99995000249987487</v>
      </c>
      <c r="R337">
        <f t="shared" si="35"/>
        <v>3.2678109286189623E-4</v>
      </c>
      <c r="T337" s="5">
        <v>44904</v>
      </c>
      <c r="U337" s="1">
        <v>3.2678109286189623E-4</v>
      </c>
    </row>
    <row r="338" spans="3:21" x14ac:dyDescent="0.2">
      <c r="C338" s="5">
        <v>44905</v>
      </c>
      <c r="D338" s="6">
        <v>0.99997000000000003</v>
      </c>
      <c r="E338" s="6">
        <v>17121</v>
      </c>
      <c r="F338" s="6">
        <v>17127.32</v>
      </c>
      <c r="G338" s="6">
        <v>17118.5</v>
      </c>
      <c r="H338" s="6">
        <v>17125.599999999999</v>
      </c>
      <c r="I338" s="5">
        <v>44905</v>
      </c>
      <c r="J338" s="7">
        <f t="shared" si="32"/>
        <v>-2.6860372775251934E-4</v>
      </c>
      <c r="K338" s="5">
        <v>44905</v>
      </c>
      <c r="L338" s="8">
        <f t="shared" si="33"/>
        <v>5.1523205888364689E-4</v>
      </c>
      <c r="M338" s="5">
        <v>44905</v>
      </c>
      <c r="N338" s="9">
        <f t="shared" si="30"/>
        <v>2.4662833113112755E-4</v>
      </c>
      <c r="O338" s="5">
        <v>44905</v>
      </c>
      <c r="P338">
        <f t="shared" si="31"/>
        <v>1.0004147559657679</v>
      </c>
      <c r="Q338" s="6">
        <f t="shared" si="34"/>
        <v>1.0000300009000269</v>
      </c>
      <c r="R338">
        <f t="shared" si="35"/>
        <v>3.8466952827849877E-4</v>
      </c>
      <c r="T338" s="5">
        <v>44905</v>
      </c>
      <c r="U338" s="1">
        <v>3.8466952827849877E-4</v>
      </c>
    </row>
    <row r="339" spans="3:21" x14ac:dyDescent="0.2">
      <c r="C339" s="5">
        <v>44906</v>
      </c>
      <c r="D339" s="6">
        <v>1</v>
      </c>
      <c r="E339" s="6">
        <v>17078</v>
      </c>
      <c r="F339" s="6">
        <v>17090.16</v>
      </c>
      <c r="G339" s="6">
        <v>17082.5</v>
      </c>
      <c r="H339" s="6">
        <v>17089.8</v>
      </c>
      <c r="I339" s="5">
        <v>44906</v>
      </c>
      <c r="J339" s="7">
        <f t="shared" si="32"/>
        <v>-6.904703390325968E-4</v>
      </c>
      <c r="K339" s="5">
        <v>44906</v>
      </c>
      <c r="L339" s="8">
        <f t="shared" si="33"/>
        <v>4.4841211766426779E-4</v>
      </c>
      <c r="M339" s="5">
        <v>44906</v>
      </c>
      <c r="N339" s="9">
        <f t="shared" si="30"/>
        <v>-2.4205822136832901E-4</v>
      </c>
      <c r="O339" s="5">
        <v>44906</v>
      </c>
      <c r="P339">
        <f t="shared" si="31"/>
        <v>1.0004273379189228</v>
      </c>
      <c r="Q339" s="6">
        <f t="shared" si="34"/>
        <v>1</v>
      </c>
      <c r="R339">
        <f t="shared" si="35"/>
        <v>4.2724663607914524E-4</v>
      </c>
      <c r="T339" s="5">
        <v>44906</v>
      </c>
      <c r="U339" s="1">
        <v>4.2724663607914524E-4</v>
      </c>
    </row>
    <row r="340" spans="3:21" x14ac:dyDescent="0.2">
      <c r="C340" s="5">
        <v>44907</v>
      </c>
      <c r="D340" s="6">
        <v>1.00013</v>
      </c>
      <c r="E340" s="6">
        <v>17194</v>
      </c>
      <c r="F340" s="6">
        <v>17208.509999999998</v>
      </c>
      <c r="G340" s="6">
        <v>17199.5</v>
      </c>
      <c r="H340" s="6">
        <v>17207.18</v>
      </c>
      <c r="I340" s="5">
        <v>44907</v>
      </c>
      <c r="J340" s="7">
        <f t="shared" si="32"/>
        <v>-7.6595932628125535E-4</v>
      </c>
      <c r="K340" s="5">
        <v>44907</v>
      </c>
      <c r="L340" s="8">
        <f t="shared" si="33"/>
        <v>5.2385243757076651E-4</v>
      </c>
      <c r="M340" s="5">
        <v>44907</v>
      </c>
      <c r="N340" s="9">
        <f t="shared" si="30"/>
        <v>-2.4210688871048884E-4</v>
      </c>
      <c r="O340" s="5">
        <v>44907</v>
      </c>
      <c r="P340">
        <f t="shared" si="31"/>
        <v>1.0004465246082734</v>
      </c>
      <c r="Q340" s="6">
        <f t="shared" si="34"/>
        <v>0.9998700168978033</v>
      </c>
      <c r="R340">
        <f t="shared" si="35"/>
        <v>5.7641649655954409E-4</v>
      </c>
      <c r="T340" s="5">
        <v>44907</v>
      </c>
      <c r="U340" s="1">
        <v>5.7641649655954409E-4</v>
      </c>
    </row>
    <row r="341" spans="3:21" x14ac:dyDescent="0.2">
      <c r="C341" s="5">
        <v>44908</v>
      </c>
      <c r="D341" s="6">
        <v>0.99960000000000004</v>
      </c>
      <c r="E341" s="6">
        <v>17764.5</v>
      </c>
      <c r="F341" s="6">
        <v>17764.990000000002</v>
      </c>
      <c r="G341" s="6">
        <v>17769.5</v>
      </c>
      <c r="H341" s="6">
        <v>17778.490000000002</v>
      </c>
      <c r="I341" s="5">
        <v>44908</v>
      </c>
      <c r="J341" s="7">
        <f t="shared" si="32"/>
        <v>-7.8690597457948337E-4</v>
      </c>
      <c r="K341" s="5">
        <v>44908</v>
      </c>
      <c r="L341" s="8">
        <f t="shared" si="33"/>
        <v>-2.5380567826885391E-4</v>
      </c>
      <c r="M341" s="5">
        <v>44908</v>
      </c>
      <c r="N341" s="9">
        <f t="shared" si="30"/>
        <v>-1.0407116528483372E-3</v>
      </c>
      <c r="O341" s="5">
        <v>44908</v>
      </c>
      <c r="P341">
        <f t="shared" si="31"/>
        <v>1.0005059230704296</v>
      </c>
      <c r="Q341" s="6">
        <f t="shared" si="34"/>
        <v>1.0004001600640255</v>
      </c>
      <c r="R341">
        <f t="shared" si="35"/>
        <v>1.0571511316214102E-4</v>
      </c>
      <c r="T341" s="5">
        <v>44908</v>
      </c>
      <c r="U341" s="1">
        <v>1.0571511316214102E-4</v>
      </c>
    </row>
    <row r="342" spans="3:21" x14ac:dyDescent="0.2">
      <c r="C342" s="5">
        <v>44909</v>
      </c>
      <c r="D342" s="6">
        <v>1.0000199999999999</v>
      </c>
      <c r="E342" s="6">
        <v>17790</v>
      </c>
      <c r="F342" s="6">
        <v>17802.099999999999</v>
      </c>
      <c r="G342" s="6">
        <v>17804.5</v>
      </c>
      <c r="H342" s="6">
        <v>17804.080000000002</v>
      </c>
      <c r="I342" s="5">
        <v>44909</v>
      </c>
      <c r="J342" s="7">
        <f t="shared" si="32"/>
        <v>-7.9082996706382718E-4</v>
      </c>
      <c r="K342" s="5">
        <v>44909</v>
      </c>
      <c r="L342" s="8">
        <f t="shared" si="33"/>
        <v>-1.3479738268423462E-4</v>
      </c>
      <c r="M342" s="5">
        <v>44909</v>
      </c>
      <c r="N342" s="9">
        <f t="shared" si="30"/>
        <v>-9.2562734974806183E-4</v>
      </c>
      <c r="O342" s="5">
        <v>44909</v>
      </c>
      <c r="P342">
        <f t="shared" si="31"/>
        <v>0.99997641045803043</v>
      </c>
      <c r="Q342" s="6">
        <f t="shared" si="34"/>
        <v>0.99998000039999213</v>
      </c>
      <c r="R342">
        <f t="shared" si="35"/>
        <v>-3.5900202046053304E-6</v>
      </c>
      <c r="T342" s="5">
        <v>44909</v>
      </c>
      <c r="U342" s="1">
        <v>-3.5900202046053304E-6</v>
      </c>
    </row>
    <row r="343" spans="3:21" x14ac:dyDescent="0.2">
      <c r="C343" s="5">
        <v>44910</v>
      </c>
      <c r="D343" s="6">
        <v>1.00003</v>
      </c>
      <c r="E343" s="6">
        <v>17353.5</v>
      </c>
      <c r="F343" s="6">
        <v>17353.740000000002</v>
      </c>
      <c r="G343" s="6">
        <v>17358</v>
      </c>
      <c r="H343" s="6">
        <v>17358.150000000001</v>
      </c>
      <c r="I343" s="5">
        <v>44910</v>
      </c>
      <c r="J343" s="7">
        <f t="shared" si="32"/>
        <v>-2.6788569058346974E-4</v>
      </c>
      <c r="K343" s="5">
        <v>44910</v>
      </c>
      <c r="L343" s="8">
        <f t="shared" si="33"/>
        <v>-2.4541997926019125E-4</v>
      </c>
      <c r="M343" s="5">
        <v>44910</v>
      </c>
      <c r="N343" s="9">
        <f t="shared" si="30"/>
        <v>-5.1330566984366093E-4</v>
      </c>
      <c r="O343" s="5">
        <v>44910</v>
      </c>
      <c r="P343">
        <f t="shared" si="31"/>
        <v>1.0000086415485656</v>
      </c>
      <c r="Q343" s="6">
        <f t="shared" si="34"/>
        <v>0.99997000089997301</v>
      </c>
      <c r="R343">
        <f t="shared" si="35"/>
        <v>3.8641061236567024E-5</v>
      </c>
      <c r="T343" s="5">
        <v>44910</v>
      </c>
      <c r="U343" s="1">
        <v>3.8641061236567024E-5</v>
      </c>
    </row>
    <row r="344" spans="3:21" x14ac:dyDescent="0.2">
      <c r="C344" s="5">
        <v>44911</v>
      </c>
      <c r="D344" s="6">
        <v>1.0001100000000001</v>
      </c>
      <c r="E344" s="6">
        <v>16634</v>
      </c>
      <c r="F344" s="6">
        <v>16639.830000000002</v>
      </c>
      <c r="G344" s="6">
        <v>16622</v>
      </c>
      <c r="H344" s="6">
        <v>16634.599999999999</v>
      </c>
      <c r="I344" s="5">
        <v>44911</v>
      </c>
      <c r="J344" s="7">
        <f t="shared" si="32"/>
        <v>-3.6069397520742597E-5</v>
      </c>
      <c r="K344" s="5">
        <v>44911</v>
      </c>
      <c r="L344" s="8">
        <f t="shared" si="33"/>
        <v>1.0726747683793615E-3</v>
      </c>
      <c r="M344" s="5">
        <v>44911</v>
      </c>
      <c r="N344" s="9">
        <f t="shared" si="30"/>
        <v>1.0366053708586189E-3</v>
      </c>
      <c r="O344" s="5">
        <v>44911</v>
      </c>
      <c r="P344">
        <f t="shared" si="31"/>
        <v>1.0007580315244855</v>
      </c>
      <c r="Q344" s="6">
        <f t="shared" si="34"/>
        <v>0.99989001209866912</v>
      </c>
      <c r="R344">
        <f t="shared" si="35"/>
        <v>8.6773831414191285E-4</v>
      </c>
      <c r="T344" s="5">
        <v>44911</v>
      </c>
      <c r="U344" s="1">
        <v>8.6773831414191285E-4</v>
      </c>
    </row>
    <row r="345" spans="3:21" x14ac:dyDescent="0.2">
      <c r="C345" s="5">
        <v>44912</v>
      </c>
      <c r="D345" s="6">
        <v>1.00007</v>
      </c>
      <c r="E345" s="6">
        <v>16770.5</v>
      </c>
      <c r="F345" s="6">
        <v>16789.189999999999</v>
      </c>
      <c r="G345" s="6">
        <v>16777</v>
      </c>
      <c r="H345" s="6">
        <v>16778.09</v>
      </c>
      <c r="I345" s="5">
        <v>44912</v>
      </c>
      <c r="J345" s="7">
        <f t="shared" si="32"/>
        <v>-4.5237568757827294E-4</v>
      </c>
      <c r="K345" s="5">
        <v>44912</v>
      </c>
      <c r="L345" s="8">
        <f t="shared" si="33"/>
        <v>7.265899743695947E-4</v>
      </c>
      <c r="M345" s="5">
        <v>44912</v>
      </c>
      <c r="N345" s="9">
        <f t="shared" si="30"/>
        <v>2.7421428679132176E-4</v>
      </c>
      <c r="O345" s="5">
        <v>44912</v>
      </c>
      <c r="P345">
        <f t="shared" si="31"/>
        <v>1.000064969899267</v>
      </c>
      <c r="Q345" s="6">
        <f t="shared" si="34"/>
        <v>0.999930004899657</v>
      </c>
      <c r="R345">
        <f t="shared" si="35"/>
        <v>1.3496533892881347E-4</v>
      </c>
      <c r="T345" s="5">
        <v>44912</v>
      </c>
      <c r="U345" s="1">
        <v>1.3496533892881347E-4</v>
      </c>
    </row>
    <row r="346" spans="3:21" x14ac:dyDescent="0.2">
      <c r="C346" s="5">
        <v>44913</v>
      </c>
      <c r="D346" s="6">
        <v>1.00007</v>
      </c>
      <c r="E346" s="6">
        <v>16729.5</v>
      </c>
      <c r="F346" s="6">
        <v>16732.310000000001</v>
      </c>
      <c r="G346" s="6">
        <v>16733</v>
      </c>
      <c r="H346" s="6">
        <v>16738.48</v>
      </c>
      <c r="I346" s="5">
        <v>44913</v>
      </c>
      <c r="J346" s="7">
        <f t="shared" si="32"/>
        <v>-5.3648837887308547E-4</v>
      </c>
      <c r="K346" s="5">
        <v>44913</v>
      </c>
      <c r="L346" s="8">
        <f t="shared" si="33"/>
        <v>-4.1235881192774179E-5</v>
      </c>
      <c r="M346" s="5">
        <v>44913</v>
      </c>
      <c r="N346" s="9">
        <f t="shared" si="30"/>
        <v>-5.7772426006585964E-4</v>
      </c>
      <c r="O346" s="5">
        <v>44913</v>
      </c>
      <c r="P346">
        <f t="shared" si="31"/>
        <v>1.0003274965636766</v>
      </c>
      <c r="Q346" s="6">
        <f t="shared" si="34"/>
        <v>0.999930004899657</v>
      </c>
      <c r="R346">
        <f t="shared" si="35"/>
        <v>3.9744049849685029E-4</v>
      </c>
      <c r="T346" s="5">
        <v>44913</v>
      </c>
      <c r="U346" s="1">
        <v>3.9744049849685029E-4</v>
      </c>
    </row>
    <row r="347" spans="3:21" x14ac:dyDescent="0.2">
      <c r="C347" s="5">
        <v>44914</v>
      </c>
      <c r="D347" s="6">
        <v>1.0001</v>
      </c>
      <c r="E347" s="6">
        <v>16432.5</v>
      </c>
      <c r="F347" s="6">
        <v>16440.009999999998</v>
      </c>
      <c r="G347" s="6">
        <v>16429.5</v>
      </c>
      <c r="H347" s="6">
        <v>16440.599999999999</v>
      </c>
      <c r="I347" s="5">
        <v>44914</v>
      </c>
      <c r="J347" s="7">
        <f t="shared" si="32"/>
        <v>-4.9268274880469971E-4</v>
      </c>
      <c r="K347" s="5">
        <v>44914</v>
      </c>
      <c r="L347" s="8">
        <f t="shared" si="33"/>
        <v>6.397029733101068E-4</v>
      </c>
      <c r="M347" s="5">
        <v>44914</v>
      </c>
      <c r="N347" s="9">
        <f t="shared" si="30"/>
        <v>1.4702022450540709E-4</v>
      </c>
      <c r="O347" s="5">
        <v>44914</v>
      </c>
      <c r="P347">
        <f t="shared" si="31"/>
        <v>1.0006756139870354</v>
      </c>
      <c r="Q347" s="6">
        <f t="shared" si="34"/>
        <v>0.99990000999900008</v>
      </c>
      <c r="R347">
        <f t="shared" si="35"/>
        <v>7.7538086298253775E-4</v>
      </c>
      <c r="T347" s="5">
        <v>44914</v>
      </c>
      <c r="U347" s="1">
        <v>7.7538086298253775E-4</v>
      </c>
    </row>
    <row r="348" spans="3:21" x14ac:dyDescent="0.2">
      <c r="C348" s="5">
        <v>44915</v>
      </c>
      <c r="D348" s="6">
        <v>1.0000899999999999</v>
      </c>
      <c r="E348" s="6">
        <v>16890</v>
      </c>
      <c r="F348" s="6">
        <v>16901.330000000002</v>
      </c>
      <c r="G348" s="6">
        <v>16890.5</v>
      </c>
      <c r="H348" s="6">
        <v>16897.990000000002</v>
      </c>
      <c r="I348" s="5">
        <v>44915</v>
      </c>
      <c r="J348" s="7">
        <f t="shared" si="32"/>
        <v>-4.7283730195139183E-4</v>
      </c>
      <c r="K348" s="5">
        <v>44915</v>
      </c>
      <c r="L348" s="8">
        <f t="shared" si="33"/>
        <v>6.411888339600217E-4</v>
      </c>
      <c r="M348" s="5">
        <v>44915</v>
      </c>
      <c r="N348" s="9">
        <f t="shared" si="30"/>
        <v>1.6835153200862987E-4</v>
      </c>
      <c r="O348" s="5">
        <v>44915</v>
      </c>
      <c r="P348">
        <f t="shared" si="31"/>
        <v>1.00044344453983</v>
      </c>
      <c r="Q348" s="6">
        <f t="shared" si="34"/>
        <v>0.99991000809927111</v>
      </c>
      <c r="R348">
        <f t="shared" si="35"/>
        <v>5.3334219760013018E-4</v>
      </c>
      <c r="T348" s="5">
        <v>44915</v>
      </c>
      <c r="U348" s="1">
        <v>5.3334219760013018E-4</v>
      </c>
    </row>
    <row r="349" spans="3:21" x14ac:dyDescent="0.2">
      <c r="C349" s="5">
        <v>44916</v>
      </c>
      <c r="D349" s="6">
        <v>1.00003</v>
      </c>
      <c r="E349" s="6">
        <v>16822</v>
      </c>
      <c r="F349" s="6">
        <v>16823.62</v>
      </c>
      <c r="G349" s="6">
        <v>16830</v>
      </c>
      <c r="H349" s="6">
        <v>16825.64</v>
      </c>
      <c r="I349" s="5">
        <v>44916</v>
      </c>
      <c r="J349" s="7">
        <f t="shared" si="32"/>
        <v>-2.1633649596683504E-4</v>
      </c>
      <c r="K349" s="5">
        <v>44916</v>
      </c>
      <c r="L349" s="8">
        <f t="shared" si="33"/>
        <v>-3.7908496732032195E-4</v>
      </c>
      <c r="M349" s="5">
        <v>44916</v>
      </c>
      <c r="N349" s="9">
        <f t="shared" si="30"/>
        <v>-5.9542146328715696E-4</v>
      </c>
      <c r="O349" s="5">
        <v>44916</v>
      </c>
      <c r="P349">
        <f t="shared" si="31"/>
        <v>0.99974093879976222</v>
      </c>
      <c r="Q349" s="6">
        <f t="shared" si="34"/>
        <v>0.99997000089997301</v>
      </c>
      <c r="R349">
        <f t="shared" si="35"/>
        <v>-2.2909521237804008E-4</v>
      </c>
      <c r="T349" s="5">
        <v>44916</v>
      </c>
      <c r="U349" s="1">
        <v>-2.2909521237804008E-4</v>
      </c>
    </row>
    <row r="350" spans="3:21" x14ac:dyDescent="0.2">
      <c r="C350" s="5">
        <v>44917</v>
      </c>
      <c r="D350" s="6">
        <v>0.99990000000000001</v>
      </c>
      <c r="E350" s="6">
        <v>16832.5</v>
      </c>
      <c r="F350" s="6">
        <v>16811.43</v>
      </c>
      <c r="G350" s="6">
        <v>16818</v>
      </c>
      <c r="H350" s="6">
        <v>16821.46</v>
      </c>
      <c r="I350" s="5">
        <v>44917</v>
      </c>
      <c r="J350" s="7">
        <f t="shared" si="32"/>
        <v>6.5630450626764111E-4</v>
      </c>
      <c r="K350" s="5">
        <v>44917</v>
      </c>
      <c r="L350" s="8">
        <f t="shared" si="33"/>
        <v>-3.9065287192292239E-4</v>
      </c>
      <c r="M350" s="5">
        <v>44917</v>
      </c>
      <c r="N350" s="9">
        <f t="shared" si="30"/>
        <v>2.6565163434471873E-4</v>
      </c>
      <c r="O350" s="5">
        <v>44917</v>
      </c>
      <c r="P350">
        <f t="shared" si="31"/>
        <v>1.0002057319538589</v>
      </c>
      <c r="Q350" s="6">
        <f t="shared" si="34"/>
        <v>1.000100010001</v>
      </c>
      <c r="R350">
        <f t="shared" si="35"/>
        <v>1.0570579360924816E-4</v>
      </c>
      <c r="T350" s="5">
        <v>44917</v>
      </c>
      <c r="U350" s="1">
        <v>1.0570579360924816E-4</v>
      </c>
    </row>
    <row r="351" spans="3:21" x14ac:dyDescent="0.2">
      <c r="C351" s="5">
        <v>44918</v>
      </c>
      <c r="D351" s="6">
        <v>1.00004</v>
      </c>
      <c r="E351" s="6">
        <v>16785</v>
      </c>
      <c r="F351" s="6">
        <v>16780.48</v>
      </c>
      <c r="G351" s="6">
        <v>16783.5</v>
      </c>
      <c r="H351" s="6">
        <v>16782.72</v>
      </c>
      <c r="I351" s="5">
        <v>44918</v>
      </c>
      <c r="J351" s="7">
        <f t="shared" si="32"/>
        <v>1.3585402127896048E-4</v>
      </c>
      <c r="K351" s="5">
        <v>44918</v>
      </c>
      <c r="L351" s="8">
        <f t="shared" si="33"/>
        <v>-1.7993863020230802E-4</v>
      </c>
      <c r="M351" s="5">
        <v>44918</v>
      </c>
      <c r="N351" s="9">
        <f t="shared" si="30"/>
        <v>-4.4084608923347543E-5</v>
      </c>
      <c r="O351" s="5">
        <v>44918</v>
      </c>
      <c r="P351">
        <f t="shared" si="31"/>
        <v>0.99995352578425245</v>
      </c>
      <c r="Q351" s="6">
        <f t="shared" si="34"/>
        <v>0.99996000159993592</v>
      </c>
      <c r="R351">
        <f t="shared" si="35"/>
        <v>-6.4760956859065659E-6</v>
      </c>
      <c r="T351" s="5">
        <v>44918</v>
      </c>
      <c r="U351" s="1">
        <v>-6.4760956859065659E-6</v>
      </c>
    </row>
    <row r="352" spans="3:21" x14ac:dyDescent="0.2">
      <c r="C352" s="5">
        <v>44919</v>
      </c>
      <c r="D352" s="6">
        <v>0.99990999999999997</v>
      </c>
      <c r="E352" s="6">
        <v>16828.5</v>
      </c>
      <c r="F352" s="6">
        <v>16811.169999999998</v>
      </c>
      <c r="G352" s="6">
        <v>16832</v>
      </c>
      <c r="H352" s="6">
        <v>16833.79</v>
      </c>
      <c r="I352" s="5">
        <v>44919</v>
      </c>
      <c r="J352" s="7">
        <f t="shared" si="32"/>
        <v>-3.1424890057443229E-4</v>
      </c>
      <c r="K352" s="5">
        <v>44919</v>
      </c>
      <c r="L352" s="8">
        <f t="shared" si="33"/>
        <v>-1.2375237642586589E-3</v>
      </c>
      <c r="M352" s="5">
        <v>44919</v>
      </c>
      <c r="N352" s="9">
        <f t="shared" si="30"/>
        <v>-1.5517726648330912E-3</v>
      </c>
      <c r="O352" s="5">
        <v>44919</v>
      </c>
      <c r="P352">
        <f t="shared" si="31"/>
        <v>1.0001063450570342</v>
      </c>
      <c r="Q352" s="6">
        <f t="shared" si="34"/>
        <v>1.0000900081007291</v>
      </c>
      <c r="R352">
        <f t="shared" si="35"/>
        <v>1.6335352556415169E-5</v>
      </c>
      <c r="T352" s="5">
        <v>44919</v>
      </c>
      <c r="U352" s="1">
        <v>1.6335352556415169E-5</v>
      </c>
    </row>
    <row r="353" spans="3:21" x14ac:dyDescent="0.2">
      <c r="C353" s="5">
        <v>44920</v>
      </c>
      <c r="D353" s="6">
        <v>0.99983999999999995</v>
      </c>
      <c r="E353" s="6">
        <v>16825</v>
      </c>
      <c r="F353" s="6">
        <v>16824.830000000002</v>
      </c>
      <c r="G353" s="6">
        <v>16824</v>
      </c>
      <c r="H353" s="6">
        <v>16829.75</v>
      </c>
      <c r="I353" s="5">
        <v>44920</v>
      </c>
      <c r="J353" s="7">
        <f t="shared" si="32"/>
        <v>-2.8223829825160801E-4</v>
      </c>
      <c r="K353" s="5">
        <v>44920</v>
      </c>
      <c r="L353" s="8">
        <f t="shared" si="33"/>
        <v>4.933428435578615E-5</v>
      </c>
      <c r="M353" s="5">
        <v>44920</v>
      </c>
      <c r="N353" s="9">
        <f t="shared" si="30"/>
        <v>-2.3290401389582186E-4</v>
      </c>
      <c r="O353" s="5">
        <v>44920</v>
      </c>
      <c r="P353">
        <f t="shared" si="31"/>
        <v>1.0003417736566809</v>
      </c>
      <c r="Q353" s="6">
        <f t="shared" si="34"/>
        <v>1.0001600256040968</v>
      </c>
      <c r="R353">
        <f t="shared" si="35"/>
        <v>1.8170246400305091E-4</v>
      </c>
      <c r="T353" s="5">
        <v>44920</v>
      </c>
      <c r="U353" s="1">
        <v>1.8170246400305091E-4</v>
      </c>
    </row>
    <row r="354" spans="3:21" x14ac:dyDescent="0.2">
      <c r="C354" s="5">
        <v>44921</v>
      </c>
      <c r="D354" s="6">
        <v>0.99977000000000005</v>
      </c>
      <c r="E354" s="6">
        <v>16911</v>
      </c>
      <c r="F354" s="6">
        <v>16866.240000000002</v>
      </c>
      <c r="G354" s="6">
        <v>16919</v>
      </c>
      <c r="H354" s="6">
        <v>16916.41</v>
      </c>
      <c r="I354" s="5">
        <v>44921</v>
      </c>
      <c r="J354" s="7">
        <f t="shared" si="32"/>
        <v>-3.1980780792141209E-4</v>
      </c>
      <c r="K354" s="5">
        <v>44921</v>
      </c>
      <c r="L354" s="8">
        <f t="shared" si="33"/>
        <v>-3.1183876115608725E-3</v>
      </c>
      <c r="M354" s="5">
        <v>44921</v>
      </c>
      <c r="N354" s="9">
        <f t="shared" si="30"/>
        <v>-3.4381954194822846E-3</v>
      </c>
      <c r="O354" s="5">
        <v>44921</v>
      </c>
      <c r="P354">
        <f t="shared" si="31"/>
        <v>0.99984691766652867</v>
      </c>
      <c r="Q354" s="6">
        <f t="shared" si="34"/>
        <v>1.0002300529121697</v>
      </c>
      <c r="R354">
        <f t="shared" si="35"/>
        <v>-3.8312050582391902E-4</v>
      </c>
      <c r="T354" s="5">
        <v>44921</v>
      </c>
      <c r="U354" s="1">
        <v>-3.8312050582391902E-4</v>
      </c>
    </row>
    <row r="355" spans="3:21" x14ac:dyDescent="0.2">
      <c r="C355" s="5">
        <v>44922</v>
      </c>
      <c r="D355" s="6">
        <v>0.99963000000000002</v>
      </c>
      <c r="E355" s="6">
        <v>16709</v>
      </c>
      <c r="F355" s="6">
        <v>16700.689999999999</v>
      </c>
      <c r="G355" s="6">
        <v>16699</v>
      </c>
      <c r="H355" s="6">
        <v>16707.98</v>
      </c>
      <c r="I355" s="5">
        <v>44922</v>
      </c>
      <c r="J355" s="7">
        <f t="shared" si="32"/>
        <v>6.104867255050799E-5</v>
      </c>
      <c r="K355" s="5">
        <v>44922</v>
      </c>
      <c r="L355" s="8">
        <f t="shared" si="33"/>
        <v>1.0120366489003475E-4</v>
      </c>
      <c r="M355" s="5">
        <v>44922</v>
      </c>
      <c r="N355" s="9">
        <f t="shared" si="30"/>
        <v>1.6225233744054273E-4</v>
      </c>
      <c r="O355" s="5">
        <v>44922</v>
      </c>
      <c r="P355">
        <f t="shared" si="31"/>
        <v>1.0005377567519014</v>
      </c>
      <c r="Q355" s="6">
        <f t="shared" si="34"/>
        <v>1.0003701369506717</v>
      </c>
      <c r="R355">
        <f t="shared" si="35"/>
        <v>1.6754374566589866E-4</v>
      </c>
      <c r="T355" s="5">
        <v>44922</v>
      </c>
      <c r="U355" s="1">
        <v>1.6754374566589866E-4</v>
      </c>
    </row>
    <row r="356" spans="3:21" x14ac:dyDescent="0.2">
      <c r="C356" s="5">
        <v>44923</v>
      </c>
      <c r="D356" s="6">
        <v>0.99944999999999995</v>
      </c>
      <c r="E356" s="6">
        <v>16546.5</v>
      </c>
      <c r="F356" s="6">
        <v>16524.28</v>
      </c>
      <c r="G356" s="6">
        <v>16537</v>
      </c>
      <c r="H356" s="6">
        <v>16547.240000000002</v>
      </c>
      <c r="I356" s="5">
        <v>44923</v>
      </c>
      <c r="J356" s="7">
        <f t="shared" si="32"/>
        <v>-4.4720448848363878E-5</v>
      </c>
      <c r="K356" s="5">
        <v>44923</v>
      </c>
      <c r="L356" s="8">
        <f t="shared" si="33"/>
        <v>-7.6918425349223947E-4</v>
      </c>
      <c r="M356" s="5">
        <v>44923</v>
      </c>
      <c r="N356" s="9">
        <f t="shared" si="30"/>
        <v>-8.1390470234060338E-4</v>
      </c>
      <c r="O356" s="5">
        <v>44923</v>
      </c>
      <c r="P356">
        <f t="shared" si="31"/>
        <v>1.0006192175122453</v>
      </c>
      <c r="Q356" s="6">
        <f t="shared" si="34"/>
        <v>1.0005503026664666</v>
      </c>
      <c r="R356">
        <f t="shared" si="35"/>
        <v>6.8874570705672395E-5</v>
      </c>
      <c r="T356" s="5">
        <v>44923</v>
      </c>
      <c r="U356" s="1">
        <v>6.8874570705672395E-5</v>
      </c>
    </row>
    <row r="357" spans="3:21" x14ac:dyDescent="0.2">
      <c r="C357" s="5">
        <v>44924</v>
      </c>
      <c r="D357" s="6">
        <v>0.99951000000000001</v>
      </c>
      <c r="E357" s="6">
        <v>16642</v>
      </c>
      <c r="F357" s="6">
        <v>16635.54</v>
      </c>
      <c r="G357" s="6">
        <v>16623</v>
      </c>
      <c r="H357" s="6">
        <v>16634.29</v>
      </c>
      <c r="I357" s="5">
        <v>44924</v>
      </c>
      <c r="J357" s="7">
        <f t="shared" si="32"/>
        <v>4.6350039586896266E-4</v>
      </c>
      <c r="K357" s="5">
        <v>44924</v>
      </c>
      <c r="L357" s="8">
        <f t="shared" si="33"/>
        <v>7.5437646634186808E-4</v>
      </c>
      <c r="M357" s="5">
        <v>44924</v>
      </c>
      <c r="N357" s="9">
        <f t="shared" si="30"/>
        <v>1.2178768622108306E-3</v>
      </c>
      <c r="O357" s="5">
        <v>44924</v>
      </c>
      <c r="P357">
        <f t="shared" si="31"/>
        <v>1.0006791794501595</v>
      </c>
      <c r="Q357" s="6">
        <f t="shared" si="34"/>
        <v>1.0004902402177067</v>
      </c>
      <c r="R357">
        <f t="shared" si="35"/>
        <v>1.8882882294444955E-4</v>
      </c>
      <c r="T357" s="5">
        <v>44924</v>
      </c>
      <c r="U357" s="1">
        <v>1.8882882294444955E-4</v>
      </c>
    </row>
    <row r="358" spans="3:21" x14ac:dyDescent="0.2">
      <c r="C358" s="5">
        <v>44925</v>
      </c>
      <c r="D358" s="6">
        <v>0.99948999999999999</v>
      </c>
      <c r="E358" s="6">
        <v>16620.5</v>
      </c>
      <c r="F358" s="6">
        <v>16604.98</v>
      </c>
      <c r="G358" s="6">
        <v>16606</v>
      </c>
      <c r="H358" s="6">
        <v>16606.25</v>
      </c>
      <c r="I358" s="5">
        <v>44925</v>
      </c>
      <c r="J358" s="7">
        <f t="shared" si="32"/>
        <v>8.5811065111027478E-4</v>
      </c>
      <c r="K358" s="5">
        <v>44925</v>
      </c>
      <c r="L358" s="8">
        <f t="shared" si="33"/>
        <v>-6.142358183791621E-5</v>
      </c>
      <c r="M358" s="5">
        <v>44925</v>
      </c>
      <c r="N358" s="9">
        <f t="shared" si="30"/>
        <v>7.966870692723586E-4</v>
      </c>
      <c r="O358" s="5">
        <v>44925</v>
      </c>
      <c r="P358">
        <f t="shared" si="31"/>
        <v>1.0000150547994702</v>
      </c>
      <c r="Q358" s="6">
        <f t="shared" si="34"/>
        <v>1.0005102602327187</v>
      </c>
      <c r="R358">
        <f t="shared" si="35"/>
        <v>-4.9507540808610775E-4</v>
      </c>
      <c r="T358" s="5">
        <v>44925</v>
      </c>
      <c r="U358" s="1">
        <v>-4.9507540808610775E-4</v>
      </c>
    </row>
    <row r="359" spans="3:21" x14ac:dyDescent="0.2">
      <c r="C359" s="5">
        <v>44926</v>
      </c>
      <c r="D359" s="6">
        <v>0.99960000000000004</v>
      </c>
      <c r="E359" s="6">
        <v>16549.5</v>
      </c>
      <c r="F359" s="6">
        <v>16508.88</v>
      </c>
      <c r="G359" s="6">
        <v>16529.5</v>
      </c>
      <c r="H359" s="6">
        <v>16541.8</v>
      </c>
      <c r="I359" s="5">
        <v>44926</v>
      </c>
      <c r="J359" s="7">
        <f t="shared" si="32"/>
        <v>4.6548743183938434E-4</v>
      </c>
      <c r="K359" s="5">
        <v>44926</v>
      </c>
      <c r="L359" s="8">
        <f t="shared" si="33"/>
        <v>-1.2474666505338323E-3</v>
      </c>
      <c r="M359" s="5">
        <v>44926</v>
      </c>
      <c r="N359" s="9">
        <f t="shared" si="30"/>
        <v>-7.81979218694448E-4</v>
      </c>
      <c r="O359" s="5">
        <v>44926</v>
      </c>
      <c r="P359">
        <f t="shared" si="31"/>
        <v>1.0007441241416859</v>
      </c>
      <c r="Q359" s="6">
        <f t="shared" si="34"/>
        <v>1.0004001600640255</v>
      </c>
      <c r="R359">
        <f t="shared" si="35"/>
        <v>3.4376739724611158E-4</v>
      </c>
      <c r="T359" s="5">
        <v>44926</v>
      </c>
      <c r="U359" s="1">
        <v>3.4376739724611158E-4</v>
      </c>
    </row>
    <row r="360" spans="3:21" x14ac:dyDescent="0.2">
      <c r="C360" s="5">
        <v>44927</v>
      </c>
      <c r="D360" s="6">
        <v>0.99955000000000005</v>
      </c>
      <c r="E360" s="6">
        <v>16622.5</v>
      </c>
      <c r="F360" s="6">
        <v>16557.330000000002</v>
      </c>
      <c r="G360" s="6">
        <v>16601</v>
      </c>
      <c r="H360" s="6">
        <v>16616.03</v>
      </c>
      <c r="I360" s="5">
        <v>44927</v>
      </c>
      <c r="J360" s="7">
        <f t="shared" si="32"/>
        <v>3.8938302350207386E-4</v>
      </c>
      <c r="K360" s="5">
        <v>44927</v>
      </c>
      <c r="L360" s="8">
        <f t="shared" si="33"/>
        <v>-2.6305644238297844E-3</v>
      </c>
      <c r="M360" s="5">
        <v>44927</v>
      </c>
      <c r="N360" s="9">
        <f t="shared" si="30"/>
        <v>-2.2411814003277103E-3</v>
      </c>
      <c r="O360" s="5">
        <v>44927</v>
      </c>
      <c r="P360">
        <f t="shared" si="31"/>
        <v>1.0009053671465573</v>
      </c>
      <c r="Q360" s="6">
        <f t="shared" si="34"/>
        <v>1.0004502025911659</v>
      </c>
      <c r="R360">
        <f t="shared" si="35"/>
        <v>4.5485626854264186E-4</v>
      </c>
      <c r="T360" s="5">
        <v>44927</v>
      </c>
      <c r="U360" s="1">
        <v>4.5485626854264186E-4</v>
      </c>
    </row>
    <row r="361" spans="3:21" x14ac:dyDescent="0.2">
      <c r="C361" s="5">
        <v>44928</v>
      </c>
      <c r="D361" s="6">
        <v>0.99963999999999997</v>
      </c>
      <c r="E361" s="6">
        <v>16668</v>
      </c>
      <c r="F361" s="6">
        <v>16641.47</v>
      </c>
      <c r="G361" s="6">
        <v>16661.5</v>
      </c>
      <c r="H361" s="6">
        <v>16675.59</v>
      </c>
      <c r="I361" s="5">
        <v>44928</v>
      </c>
      <c r="J361" s="7">
        <f t="shared" si="32"/>
        <v>-4.5515630931200306E-4</v>
      </c>
      <c r="K361" s="5">
        <v>44928</v>
      </c>
      <c r="L361" s="8">
        <f t="shared" si="33"/>
        <v>-1.2021726735287242E-3</v>
      </c>
      <c r="M361" s="5">
        <v>44928</v>
      </c>
      <c r="N361" s="9">
        <f t="shared" si="30"/>
        <v>-1.6573289828407272E-3</v>
      </c>
      <c r="O361" s="5">
        <v>44928</v>
      </c>
      <c r="P361">
        <f t="shared" si="31"/>
        <v>1.0008456621552682</v>
      </c>
      <c r="Q361" s="6">
        <f t="shared" si="34"/>
        <v>1.0003601296466729</v>
      </c>
      <c r="R361">
        <f t="shared" si="35"/>
        <v>4.8523996893388245E-4</v>
      </c>
      <c r="T361" s="5">
        <v>44928</v>
      </c>
      <c r="U361" s="1">
        <v>4.8523996893388245E-4</v>
      </c>
    </row>
    <row r="362" spans="3:21" x14ac:dyDescent="0.2">
      <c r="C362" s="5">
        <v>44929</v>
      </c>
      <c r="D362" s="6">
        <v>0.99958999999999998</v>
      </c>
      <c r="E362" s="6">
        <v>16670</v>
      </c>
      <c r="F362" s="6">
        <v>16662.39</v>
      </c>
      <c r="G362" s="6">
        <v>16659</v>
      </c>
      <c r="H362" s="6">
        <v>16674.310000000001</v>
      </c>
      <c r="I362" s="5">
        <v>44929</v>
      </c>
      <c r="J362" s="7">
        <f t="shared" si="32"/>
        <v>-2.5848146040233807E-4</v>
      </c>
      <c r="K362" s="5">
        <v>44929</v>
      </c>
      <c r="L362" s="8">
        <f t="shared" si="33"/>
        <v>2.0349360705921232E-4</v>
      </c>
      <c r="M362" s="5">
        <v>44929</v>
      </c>
      <c r="N362" s="9">
        <f t="shared" si="30"/>
        <v>-5.4987853343125756E-5</v>
      </c>
      <c r="O362" s="5">
        <v>44929</v>
      </c>
      <c r="P362">
        <f t="shared" si="31"/>
        <v>1.0009190227504652</v>
      </c>
      <c r="Q362" s="6">
        <f t="shared" si="34"/>
        <v>1.0004101681689492</v>
      </c>
      <c r="R362">
        <f t="shared" si="35"/>
        <v>5.0851663463463541E-4</v>
      </c>
      <c r="T362" s="5">
        <v>44929</v>
      </c>
      <c r="U362" s="1">
        <v>5.0851663463463541E-4</v>
      </c>
    </row>
    <row r="363" spans="3:21" x14ac:dyDescent="0.2">
      <c r="C363" s="5">
        <v>44930</v>
      </c>
      <c r="D363" s="6">
        <v>0.99963999999999997</v>
      </c>
      <c r="E363" s="6">
        <v>16847.5</v>
      </c>
      <c r="F363" s="6">
        <v>16850.93</v>
      </c>
      <c r="G363" s="6">
        <v>16858.5</v>
      </c>
      <c r="H363" s="6">
        <v>16852.43</v>
      </c>
      <c r="I363" s="5">
        <v>44930</v>
      </c>
      <c r="J363" s="7">
        <f t="shared" si="32"/>
        <v>-2.9253941419725768E-4</v>
      </c>
      <c r="K363" s="5">
        <v>44930</v>
      </c>
      <c r="L363" s="8">
        <f t="shared" si="33"/>
        <v>-4.4903164575731586E-4</v>
      </c>
      <c r="M363" s="5">
        <v>44930</v>
      </c>
      <c r="N363" s="9">
        <f t="shared" si="30"/>
        <v>-7.4157105995457354E-4</v>
      </c>
      <c r="O363" s="5">
        <v>44930</v>
      </c>
      <c r="P363">
        <f t="shared" si="31"/>
        <v>0.99963994424177716</v>
      </c>
      <c r="Q363" s="6">
        <f t="shared" si="34"/>
        <v>1.0003601296466729</v>
      </c>
      <c r="R363">
        <f t="shared" si="35"/>
        <v>-7.2018540941707883E-4</v>
      </c>
      <c r="T363" s="5">
        <v>44930</v>
      </c>
      <c r="U363" s="1">
        <v>-7.2018540941707883E-4</v>
      </c>
    </row>
    <row r="364" spans="3:21" x14ac:dyDescent="0.2">
      <c r="C364" s="5">
        <v>44931</v>
      </c>
      <c r="D364" s="6">
        <v>0.99961</v>
      </c>
      <c r="E364" s="6">
        <v>16826</v>
      </c>
      <c r="F364" s="6">
        <v>16826.16</v>
      </c>
      <c r="G364" s="6">
        <v>16821</v>
      </c>
      <c r="H364" s="6">
        <v>16830.32</v>
      </c>
      <c r="I364" s="5">
        <v>44931</v>
      </c>
      <c r="J364" s="7">
        <f t="shared" si="32"/>
        <v>-2.5667961155817053E-4</v>
      </c>
      <c r="K364" s="5">
        <v>44931</v>
      </c>
      <c r="L364" s="8">
        <f t="shared" si="33"/>
        <v>3.0675940788299472E-4</v>
      </c>
      <c r="M364" s="5">
        <v>44931</v>
      </c>
      <c r="N364" s="9">
        <f t="shared" si="30"/>
        <v>5.0079796324824189E-5</v>
      </c>
      <c r="O364" s="5">
        <v>44931</v>
      </c>
      <c r="P364">
        <f t="shared" si="31"/>
        <v>1.0005540693181143</v>
      </c>
      <c r="Q364" s="6">
        <f t="shared" si="34"/>
        <v>1.0003901521593421</v>
      </c>
      <c r="R364">
        <f t="shared" si="35"/>
        <v>1.6383980860566942E-4</v>
      </c>
      <c r="T364" s="5">
        <v>44931</v>
      </c>
      <c r="U364" s="1">
        <v>1.6383980860566942E-4</v>
      </c>
    </row>
    <row r="365" spans="3:21" x14ac:dyDescent="0.2">
      <c r="C365" s="5">
        <v>44932</v>
      </c>
      <c r="D365" s="6">
        <v>0.99975999999999998</v>
      </c>
      <c r="E365" s="6">
        <v>16940</v>
      </c>
      <c r="F365" s="6">
        <v>16946.080000000002</v>
      </c>
      <c r="G365" s="6">
        <v>16940</v>
      </c>
      <c r="H365" s="6">
        <v>16949.37</v>
      </c>
      <c r="I365" s="5">
        <v>44932</v>
      </c>
      <c r="J365" s="7">
        <f t="shared" si="32"/>
        <v>-5.5282290728203955E-4</v>
      </c>
      <c r="K365" s="5">
        <v>44932</v>
      </c>
      <c r="L365" s="8">
        <f t="shared" si="33"/>
        <v>3.5891381345937108E-4</v>
      </c>
      <c r="M365" s="5">
        <v>44932</v>
      </c>
      <c r="N365" s="9">
        <f t="shared" si="30"/>
        <v>-1.9390909382266847E-4</v>
      </c>
      <c r="O365" s="5">
        <v>44932</v>
      </c>
      <c r="P365">
        <f t="shared" si="31"/>
        <v>1.0005531286894922</v>
      </c>
      <c r="Q365" s="6">
        <f t="shared" si="34"/>
        <v>1.0002400576138273</v>
      </c>
      <c r="R365">
        <f t="shared" si="35"/>
        <v>3.1294696559662949E-4</v>
      </c>
      <c r="T365" s="5">
        <v>44932</v>
      </c>
      <c r="U365" s="1">
        <v>3.1294696559662949E-4</v>
      </c>
    </row>
    <row r="366" spans="3:21" x14ac:dyDescent="0.2">
      <c r="C366" s="5">
        <v>44933</v>
      </c>
      <c r="D366" s="6">
        <v>0.99978</v>
      </c>
      <c r="E366" s="6">
        <v>16938</v>
      </c>
      <c r="F366" s="6">
        <v>16937.78</v>
      </c>
      <c r="G366" s="6">
        <v>16935.5</v>
      </c>
      <c r="H366" s="6">
        <v>16942.93</v>
      </c>
      <c r="I366" s="5">
        <v>44933</v>
      </c>
      <c r="J366" s="7">
        <f t="shared" si="32"/>
        <v>-2.9097682632226487E-4</v>
      </c>
      <c r="K366" s="5">
        <v>44933</v>
      </c>
      <c r="L366" s="8">
        <f t="shared" si="33"/>
        <v>1.3462844321093773E-4</v>
      </c>
      <c r="M366" s="5">
        <v>44933</v>
      </c>
      <c r="N366" s="9">
        <f t="shared" si="30"/>
        <v>-1.5634838311132714E-4</v>
      </c>
      <c r="O366" s="5">
        <v>44933</v>
      </c>
      <c r="P366">
        <f t="shared" si="31"/>
        <v>1.000438723391692</v>
      </c>
      <c r="Q366" s="6">
        <f t="shared" si="34"/>
        <v>1.0002200484106503</v>
      </c>
      <c r="R366">
        <f t="shared" si="35"/>
        <v>2.1860297717394119E-4</v>
      </c>
      <c r="T366" s="5">
        <v>44933</v>
      </c>
      <c r="U366" s="1">
        <v>2.1860297717394119E-4</v>
      </c>
    </row>
    <row r="367" spans="3:21" x14ac:dyDescent="0.2">
      <c r="C367" s="5">
        <v>44934</v>
      </c>
      <c r="D367" s="6">
        <v>0.99975999999999998</v>
      </c>
      <c r="E367" s="6">
        <v>17119.5</v>
      </c>
      <c r="F367" s="6">
        <v>17124.990000000002</v>
      </c>
      <c r="G367" s="6">
        <v>17120</v>
      </c>
      <c r="H367" s="6">
        <v>17126.05</v>
      </c>
      <c r="I367" s="5">
        <v>44934</v>
      </c>
      <c r="J367" s="7">
        <f t="shared" si="32"/>
        <v>-3.8245830182670682E-4</v>
      </c>
      <c r="K367" s="5">
        <v>44934</v>
      </c>
      <c r="L367" s="8">
        <f t="shared" si="33"/>
        <v>2.9147196261691594E-4</v>
      </c>
      <c r="M367" s="5">
        <v>44934</v>
      </c>
      <c r="N367" s="9">
        <f t="shared" si="30"/>
        <v>-9.0986339209790884E-5</v>
      </c>
      <c r="O367" s="5">
        <v>44934</v>
      </c>
      <c r="P367">
        <f t="shared" si="31"/>
        <v>1.0003533878504673</v>
      </c>
      <c r="Q367" s="6">
        <f t="shared" si="34"/>
        <v>1.0002400576138273</v>
      </c>
      <c r="R367">
        <f t="shared" si="35"/>
        <v>1.1329661907888089E-4</v>
      </c>
      <c r="T367" s="5">
        <v>44934</v>
      </c>
      <c r="U367" s="1">
        <v>1.1329661907888089E-4</v>
      </c>
    </row>
    <row r="368" spans="3:21" x14ac:dyDescent="0.2">
      <c r="C368" s="5">
        <v>44935</v>
      </c>
      <c r="D368" s="6">
        <v>0.99995999999999996</v>
      </c>
      <c r="E368" s="6">
        <v>17173.5</v>
      </c>
      <c r="F368" s="6">
        <v>17185.45</v>
      </c>
      <c r="G368" s="6">
        <v>17175</v>
      </c>
      <c r="H368" s="6">
        <v>17180.77</v>
      </c>
      <c r="I368" s="5">
        <v>44935</v>
      </c>
      <c r="J368" s="7">
        <f t="shared" si="32"/>
        <v>-4.2314750735854311E-4</v>
      </c>
      <c r="K368" s="5">
        <v>44935</v>
      </c>
      <c r="L368" s="8">
        <f t="shared" si="33"/>
        <v>6.084425036390525E-4</v>
      </c>
      <c r="M368" s="5">
        <v>44935</v>
      </c>
      <c r="N368" s="9">
        <f t="shared" si="30"/>
        <v>1.8529499628050939E-4</v>
      </c>
      <c r="O368" s="5">
        <v>44935</v>
      </c>
      <c r="P368">
        <f t="shared" si="31"/>
        <v>1.0003359534206695</v>
      </c>
      <c r="Q368" s="6">
        <f t="shared" si="34"/>
        <v>1.0000400016000641</v>
      </c>
      <c r="R368">
        <f t="shared" si="35"/>
        <v>2.9589620093360707E-4</v>
      </c>
      <c r="T368" s="5">
        <v>44935</v>
      </c>
      <c r="U368" s="1">
        <v>2.9589620093360707E-4</v>
      </c>
    </row>
    <row r="369" spans="3:21" x14ac:dyDescent="0.2">
      <c r="C369" s="5">
        <v>44936</v>
      </c>
      <c r="D369" s="6">
        <v>1.0001</v>
      </c>
      <c r="E369" s="6">
        <v>17430.5</v>
      </c>
      <c r="F369" s="6">
        <v>17453.62</v>
      </c>
      <c r="G369" s="6">
        <v>17442</v>
      </c>
      <c r="H369" s="6">
        <v>17441.13</v>
      </c>
      <c r="I369" s="5">
        <v>44936</v>
      </c>
      <c r="J369" s="7">
        <f t="shared" si="32"/>
        <v>-6.0947885830797764E-4</v>
      </c>
      <c r="K369" s="5">
        <v>44936</v>
      </c>
      <c r="L369" s="8">
        <f t="shared" si="33"/>
        <v>6.6620800366924563E-4</v>
      </c>
      <c r="M369" s="5">
        <v>44936</v>
      </c>
      <c r="N369" s="9">
        <f t="shared" si="30"/>
        <v>5.672914536126799E-5</v>
      </c>
      <c r="O369" s="5">
        <v>44936</v>
      </c>
      <c r="P369">
        <f t="shared" si="31"/>
        <v>0.99995012039903686</v>
      </c>
      <c r="Q369" s="6">
        <f t="shared" si="34"/>
        <v>0.99990000999900008</v>
      </c>
      <c r="R369">
        <f t="shared" si="35"/>
        <v>5.0114155341541539E-5</v>
      </c>
      <c r="T369" s="5">
        <v>44936</v>
      </c>
      <c r="U369" s="1">
        <v>5.0114155341541539E-5</v>
      </c>
    </row>
    <row r="370" spans="3:21" x14ac:dyDescent="0.2">
      <c r="C370" s="5">
        <v>44937</v>
      </c>
      <c r="D370" s="6">
        <v>0.99992000000000003</v>
      </c>
      <c r="E370" s="6">
        <v>17929</v>
      </c>
      <c r="F370" s="6">
        <v>17948.79</v>
      </c>
      <c r="G370" s="6">
        <v>17937.5</v>
      </c>
      <c r="H370" s="6">
        <v>17936.61</v>
      </c>
      <c r="I370" s="5">
        <v>44937</v>
      </c>
      <c r="J370" s="7">
        <f t="shared" si="32"/>
        <v>-4.2427192206334315E-4</v>
      </c>
      <c r="K370" s="5">
        <v>44937</v>
      </c>
      <c r="L370" s="8">
        <f t="shared" si="33"/>
        <v>6.2940766550527514E-4</v>
      </c>
      <c r="M370" s="5">
        <v>44937</v>
      </c>
      <c r="N370" s="9">
        <f t="shared" si="30"/>
        <v>2.0513574344193199E-4</v>
      </c>
      <c r="O370" s="5">
        <v>44937</v>
      </c>
      <c r="P370">
        <f t="shared" si="31"/>
        <v>0.99995038327526131</v>
      </c>
      <c r="Q370" s="6">
        <f t="shared" si="34"/>
        <v>1.000080006400512</v>
      </c>
      <c r="R370">
        <f t="shared" si="35"/>
        <v>-1.2962115585974784E-4</v>
      </c>
      <c r="T370" s="5">
        <v>44937</v>
      </c>
      <c r="U370" s="1">
        <v>-1.2962115585974784E-4</v>
      </c>
    </row>
    <row r="371" spans="3:21" x14ac:dyDescent="0.2">
      <c r="C371" s="5">
        <v>44938</v>
      </c>
      <c r="D371" s="6">
        <v>1</v>
      </c>
      <c r="E371" s="6">
        <v>18820</v>
      </c>
      <c r="F371" s="6">
        <v>18853.25</v>
      </c>
      <c r="G371" s="6">
        <v>18837</v>
      </c>
      <c r="H371" s="6">
        <v>18845.82</v>
      </c>
      <c r="I371" s="5">
        <v>44938</v>
      </c>
      <c r="J371" s="7">
        <f t="shared" si="32"/>
        <v>-1.3700650860508966E-3</v>
      </c>
      <c r="K371" s="5">
        <v>44938</v>
      </c>
      <c r="L371" s="8">
        <f t="shared" si="33"/>
        <v>8.62663906142167E-4</v>
      </c>
      <c r="M371" s="5">
        <v>44938</v>
      </c>
      <c r="N371" s="9">
        <f t="shared" si="30"/>
        <v>-5.0740117990872961E-4</v>
      </c>
      <c r="O371" s="5">
        <v>44938</v>
      </c>
      <c r="P371">
        <f t="shared" si="31"/>
        <v>1.0004682274247492</v>
      </c>
      <c r="Q371" s="6">
        <f t="shared" si="34"/>
        <v>1</v>
      </c>
      <c r="R371">
        <f t="shared" si="35"/>
        <v>4.6811784049409239E-4</v>
      </c>
      <c r="T371" s="5">
        <v>44938</v>
      </c>
      <c r="U371" s="1">
        <v>4.6811784049409239E-4</v>
      </c>
    </row>
    <row r="372" spans="3:21" x14ac:dyDescent="0.2">
      <c r="C372" s="5">
        <v>44939</v>
      </c>
      <c r="D372" s="6">
        <v>1.00004</v>
      </c>
      <c r="E372" s="6">
        <v>19909</v>
      </c>
      <c r="F372" s="6">
        <v>19943.95</v>
      </c>
      <c r="G372" s="6">
        <v>19929</v>
      </c>
      <c r="H372" s="6">
        <v>19927.28</v>
      </c>
      <c r="I372" s="5">
        <v>44939</v>
      </c>
      <c r="J372" s="7">
        <f t="shared" si="32"/>
        <v>-9.1733543162934611E-4</v>
      </c>
      <c r="K372" s="5">
        <v>44939</v>
      </c>
      <c r="L372" s="8">
        <f t="shared" si="33"/>
        <v>7.5016307893023874E-4</v>
      </c>
      <c r="M372" s="5">
        <v>44939</v>
      </c>
      <c r="N372" s="9">
        <f t="shared" si="30"/>
        <v>-1.6717235269910738E-4</v>
      </c>
      <c r="O372" s="5">
        <v>44939</v>
      </c>
      <c r="P372">
        <f t="shared" si="31"/>
        <v>0.99991369361232374</v>
      </c>
      <c r="Q372" s="6">
        <f t="shared" si="34"/>
        <v>0.99996000159993592</v>
      </c>
      <c r="R372">
        <f t="shared" si="35"/>
        <v>-4.6310912265445682E-5</v>
      </c>
      <c r="T372" s="5">
        <v>44939</v>
      </c>
      <c r="U372" s="1">
        <v>-4.6310912265445682E-5</v>
      </c>
    </row>
    <row r="373" spans="3:21" x14ac:dyDescent="0.2">
      <c r="C373" s="5">
        <v>44940</v>
      </c>
      <c r="D373" s="6">
        <v>1.00013</v>
      </c>
      <c r="E373" s="6">
        <v>20952.5</v>
      </c>
      <c r="F373" s="6">
        <v>20945.330000000002</v>
      </c>
      <c r="G373" s="6">
        <v>20954.5</v>
      </c>
      <c r="H373" s="6">
        <v>20949.310000000001</v>
      </c>
      <c r="I373" s="5">
        <v>44940</v>
      </c>
      <c r="J373" s="7">
        <f t="shared" si="32"/>
        <v>1.5227231827676856E-4</v>
      </c>
      <c r="K373" s="5">
        <v>44940</v>
      </c>
      <c r="L373" s="8">
        <f t="shared" si="33"/>
        <v>-4.3761483213621195E-4</v>
      </c>
      <c r="M373" s="5">
        <v>44940</v>
      </c>
      <c r="N373" s="9">
        <f t="shared" si="30"/>
        <v>-2.8534251385944339E-4</v>
      </c>
      <c r="O373" s="5">
        <v>44940</v>
      </c>
      <c r="P373">
        <f t="shared" si="31"/>
        <v>0.99975232050394913</v>
      </c>
      <c r="Q373" s="6">
        <f t="shared" si="34"/>
        <v>0.9998700168978033</v>
      </c>
      <c r="R373">
        <f t="shared" si="35"/>
        <v>-1.1771862295056564E-4</v>
      </c>
      <c r="T373" s="5">
        <v>44940</v>
      </c>
      <c r="U373" s="1">
        <v>-1.1771862295056564E-4</v>
      </c>
    </row>
    <row r="374" spans="3:21" x14ac:dyDescent="0.2">
      <c r="C374" s="5">
        <v>44941</v>
      </c>
      <c r="D374" s="6">
        <v>1.00031</v>
      </c>
      <c r="E374" s="6">
        <v>20878</v>
      </c>
      <c r="F374" s="6">
        <v>20871.66</v>
      </c>
      <c r="G374" s="6">
        <v>20879.5</v>
      </c>
      <c r="H374" s="6">
        <v>20873.599999999999</v>
      </c>
      <c r="I374" s="5">
        <v>44941</v>
      </c>
      <c r="J374" s="7">
        <f t="shared" si="32"/>
        <v>2.1079258010125017E-4</v>
      </c>
      <c r="K374" s="5">
        <v>44941</v>
      </c>
      <c r="L374" s="8">
        <f t="shared" si="33"/>
        <v>-3.7548791877200821E-4</v>
      </c>
      <c r="M374" s="5">
        <v>44941</v>
      </c>
      <c r="N374" s="9">
        <f t="shared" si="30"/>
        <v>-1.6469533867075804E-4</v>
      </c>
      <c r="O374" s="5">
        <v>44941</v>
      </c>
      <c r="P374">
        <f t="shared" si="31"/>
        <v>0.99971742618357717</v>
      </c>
      <c r="Q374" s="6">
        <f t="shared" si="34"/>
        <v>0.99969009607021819</v>
      </c>
      <c r="R374">
        <f t="shared" si="35"/>
        <v>2.7338212001824629E-5</v>
      </c>
      <c r="T374" s="5">
        <v>44941</v>
      </c>
      <c r="U374" s="1">
        <v>2.7338212001824629E-5</v>
      </c>
    </row>
    <row r="375" spans="3:21" x14ac:dyDescent="0.2">
      <c r="C375" s="5">
        <v>44942</v>
      </c>
      <c r="D375" s="6">
        <v>1.0000500000000001</v>
      </c>
      <c r="E375" s="6">
        <v>21179</v>
      </c>
      <c r="F375" s="6">
        <v>21198.71</v>
      </c>
      <c r="G375" s="6">
        <v>21196.5</v>
      </c>
      <c r="H375" s="6">
        <v>21184.2</v>
      </c>
      <c r="I375" s="5">
        <v>44942</v>
      </c>
      <c r="J375" s="7">
        <f t="shared" si="32"/>
        <v>-2.4546596048001469E-4</v>
      </c>
      <c r="K375" s="5">
        <v>44942</v>
      </c>
      <c r="L375" s="8">
        <f t="shared" si="33"/>
        <v>1.042624961667788E-4</v>
      </c>
      <c r="M375" s="5">
        <v>44942</v>
      </c>
      <c r="N375" s="9">
        <f t="shared" si="30"/>
        <v>-1.4120346431323587E-4</v>
      </c>
      <c r="O375" s="5">
        <v>44942</v>
      </c>
      <c r="P375">
        <f t="shared" si="31"/>
        <v>0.99941971551907161</v>
      </c>
      <c r="Q375" s="6">
        <f t="shared" si="34"/>
        <v>0.99995000249987487</v>
      </c>
      <c r="R375">
        <f t="shared" si="35"/>
        <v>-5.304541610874437E-4</v>
      </c>
      <c r="T375" s="5">
        <v>44942</v>
      </c>
      <c r="U375" s="1">
        <v>-5.304541610874437E-4</v>
      </c>
    </row>
    <row r="376" spans="3:21" x14ac:dyDescent="0.2">
      <c r="C376" s="5">
        <v>44943</v>
      </c>
      <c r="D376" s="6">
        <v>1.00007</v>
      </c>
      <c r="E376" s="6">
        <v>21118</v>
      </c>
      <c r="F376" s="6">
        <v>21152.87</v>
      </c>
      <c r="G376" s="6">
        <v>21125.5</v>
      </c>
      <c r="H376" s="6">
        <v>21127.5</v>
      </c>
      <c r="I376" s="5">
        <v>44943</v>
      </c>
      <c r="J376" s="7">
        <f t="shared" si="32"/>
        <v>-4.4965092888415574E-4</v>
      </c>
      <c r="K376" s="5">
        <v>44943</v>
      </c>
      <c r="L376" s="8">
        <f t="shared" si="33"/>
        <v>1.295590636907954E-3</v>
      </c>
      <c r="M376" s="5">
        <v>44943</v>
      </c>
      <c r="N376" s="9">
        <f t="shared" si="30"/>
        <v>8.4593970802379821E-4</v>
      </c>
      <c r="O376" s="5">
        <v>44943</v>
      </c>
      <c r="P376">
        <f t="shared" si="31"/>
        <v>1.000094672315448</v>
      </c>
      <c r="Q376" s="6">
        <f t="shared" si="34"/>
        <v>0.999930004899657</v>
      </c>
      <c r="R376">
        <f t="shared" si="35"/>
        <v>1.6466538442145792E-4</v>
      </c>
      <c r="T376" s="5">
        <v>44943</v>
      </c>
      <c r="U376" s="1">
        <v>1.6466538442145792E-4</v>
      </c>
    </row>
    <row r="377" spans="3:21" x14ac:dyDescent="0.2">
      <c r="C377" s="5">
        <v>44944</v>
      </c>
      <c r="D377" s="6">
        <v>0.99992999999999999</v>
      </c>
      <c r="E377" s="6">
        <v>20674</v>
      </c>
      <c r="F377" s="6">
        <v>20678.68</v>
      </c>
      <c r="G377" s="6">
        <v>20673</v>
      </c>
      <c r="H377" s="6">
        <v>20674.41</v>
      </c>
      <c r="I377" s="5">
        <v>44944</v>
      </c>
      <c r="J377" s="7">
        <f t="shared" si="32"/>
        <v>-1.9831279344844884E-5</v>
      </c>
      <c r="K377" s="5">
        <v>44944</v>
      </c>
      <c r="L377" s="8">
        <f t="shared" si="33"/>
        <v>2.7475451071447255E-4</v>
      </c>
      <c r="M377" s="5">
        <v>44944</v>
      </c>
      <c r="N377" s="9">
        <f t="shared" si="30"/>
        <v>2.5492323136962767E-4</v>
      </c>
      <c r="O377" s="5">
        <v>44944</v>
      </c>
      <c r="P377">
        <f t="shared" si="31"/>
        <v>1.0000682049049485</v>
      </c>
      <c r="Q377" s="6">
        <f t="shared" si="34"/>
        <v>1.000070004900343</v>
      </c>
      <c r="R377">
        <f t="shared" si="35"/>
        <v>-1.799871014625296E-6</v>
      </c>
      <c r="T377" s="5">
        <v>44944</v>
      </c>
      <c r="U377" s="1">
        <v>-1.799871014625296E-6</v>
      </c>
    </row>
    <row r="378" spans="3:21" x14ac:dyDescent="0.2">
      <c r="C378" s="5">
        <v>44945</v>
      </c>
      <c r="D378" s="6">
        <v>1.0000899999999999</v>
      </c>
      <c r="E378" s="6">
        <v>21058.5</v>
      </c>
      <c r="F378" s="6">
        <v>21079.53</v>
      </c>
      <c r="G378" s="6">
        <v>21068</v>
      </c>
      <c r="H378" s="6">
        <v>21074.05</v>
      </c>
      <c r="I378" s="5">
        <v>44945</v>
      </c>
      <c r="J378" s="7">
        <f t="shared" si="32"/>
        <v>-7.378743051287851E-4</v>
      </c>
      <c r="K378" s="5">
        <v>44945</v>
      </c>
      <c r="L378" s="8">
        <f t="shared" si="33"/>
        <v>5.4727548889305273E-4</v>
      </c>
      <c r="M378" s="5">
        <v>44945</v>
      </c>
      <c r="N378" s="9">
        <f t="shared" si="30"/>
        <v>-1.9059881623573237E-4</v>
      </c>
      <c r="O378" s="5">
        <v>44945</v>
      </c>
      <c r="P378">
        <f t="shared" si="31"/>
        <v>1.0002871653692804</v>
      </c>
      <c r="Q378" s="6">
        <f t="shared" si="34"/>
        <v>0.99991000809927111</v>
      </c>
      <c r="R378">
        <f t="shared" si="35"/>
        <v>3.7712009544067424E-4</v>
      </c>
      <c r="T378" s="5">
        <v>44945</v>
      </c>
      <c r="U378" s="1">
        <v>3.7712009544067424E-4</v>
      </c>
    </row>
    <row r="379" spans="3:21" x14ac:dyDescent="0.2">
      <c r="C379" s="5">
        <v>44946</v>
      </c>
      <c r="D379" s="6">
        <v>1.0001899999999999</v>
      </c>
      <c r="E379" s="6">
        <v>22656.5</v>
      </c>
      <c r="F379" s="6">
        <v>22683.439999999999</v>
      </c>
      <c r="G379" s="6">
        <v>22648.5</v>
      </c>
      <c r="H379" s="6">
        <v>22667.13</v>
      </c>
      <c r="I379" s="5">
        <v>44946</v>
      </c>
      <c r="J379" s="7">
        <f t="shared" si="32"/>
        <v>-4.6896100212073685E-4</v>
      </c>
      <c r="K379" s="5">
        <v>44946</v>
      </c>
      <c r="L379" s="8">
        <f t="shared" si="33"/>
        <v>1.5427070225400663E-3</v>
      </c>
      <c r="M379" s="5">
        <v>44946</v>
      </c>
      <c r="N379" s="9">
        <f t="shared" si="30"/>
        <v>1.0737460204193294E-3</v>
      </c>
      <c r="O379" s="5">
        <v>44946</v>
      </c>
      <c r="P379">
        <f t="shared" si="31"/>
        <v>1.0008225710311942</v>
      </c>
      <c r="Q379" s="6">
        <f t="shared" si="34"/>
        <v>0.99981003609314234</v>
      </c>
      <c r="R379">
        <f t="shared" si="35"/>
        <v>1.0122148573385853E-3</v>
      </c>
      <c r="T379" s="5">
        <v>44946</v>
      </c>
      <c r="U379" s="1">
        <v>1.0122148573385853E-3</v>
      </c>
    </row>
    <row r="380" spans="3:21" x14ac:dyDescent="0.2">
      <c r="C380" s="5">
        <v>44947</v>
      </c>
      <c r="D380" s="6">
        <v>1.00014</v>
      </c>
      <c r="E380" s="6">
        <v>22781.5</v>
      </c>
      <c r="F380" s="6">
        <v>22790.34</v>
      </c>
      <c r="G380" s="6">
        <v>22788</v>
      </c>
      <c r="H380" s="6">
        <v>22773.93</v>
      </c>
      <c r="I380" s="5">
        <v>44947</v>
      </c>
      <c r="J380" s="7">
        <f t="shared" si="32"/>
        <v>3.3239761428965968E-4</v>
      </c>
      <c r="K380" s="5">
        <v>44947</v>
      </c>
      <c r="L380" s="8">
        <f t="shared" si="33"/>
        <v>1.0268562401264461E-4</v>
      </c>
      <c r="M380" s="5">
        <v>44947</v>
      </c>
      <c r="N380" s="9">
        <f t="shared" si="30"/>
        <v>4.3508323830230428E-4</v>
      </c>
      <c r="O380" s="5">
        <v>44947</v>
      </c>
      <c r="P380">
        <f t="shared" si="31"/>
        <v>0.9993825697735651</v>
      </c>
      <c r="Q380" s="6">
        <f t="shared" si="34"/>
        <v>0.99986001959725634</v>
      </c>
      <c r="R380">
        <f t="shared" si="35"/>
        <v>-4.7763071405778159E-4</v>
      </c>
      <c r="T380" s="5">
        <v>44947</v>
      </c>
      <c r="U380" s="1">
        <v>-4.7763071405778159E-4</v>
      </c>
    </row>
    <row r="381" spans="3:21" x14ac:dyDescent="0.2">
      <c r="C381" s="5">
        <v>44948</v>
      </c>
      <c r="D381" s="6">
        <v>1.00021</v>
      </c>
      <c r="E381" s="6">
        <v>22703.5</v>
      </c>
      <c r="F381" s="6">
        <v>22702</v>
      </c>
      <c r="G381" s="6">
        <v>22714</v>
      </c>
      <c r="H381" s="6">
        <v>22706.880000000001</v>
      </c>
      <c r="I381" s="5">
        <v>44948</v>
      </c>
      <c r="J381" s="7">
        <f t="shared" si="32"/>
        <v>-1.4885356332534539E-4</v>
      </c>
      <c r="K381" s="5">
        <v>44948</v>
      </c>
      <c r="L381" s="8">
        <f t="shared" si="33"/>
        <v>-5.2830853218279481E-4</v>
      </c>
      <c r="M381" s="5">
        <v>44948</v>
      </c>
      <c r="N381" s="9">
        <f t="shared" si="30"/>
        <v>-6.7716209550814017E-4</v>
      </c>
      <c r="O381" s="5">
        <v>44948</v>
      </c>
      <c r="P381">
        <f t="shared" si="31"/>
        <v>0.99968653693757159</v>
      </c>
      <c r="Q381" s="6">
        <f t="shared" si="34"/>
        <v>0.9997900440907409</v>
      </c>
      <c r="R381">
        <f t="shared" si="35"/>
        <v>-1.0353424915687622E-4</v>
      </c>
      <c r="T381" s="5">
        <v>44948</v>
      </c>
      <c r="U381" s="1">
        <v>-1.0353424915687622E-4</v>
      </c>
    </row>
    <row r="382" spans="3:21" x14ac:dyDescent="0.2">
      <c r="C382" s="5">
        <v>44949</v>
      </c>
      <c r="D382" s="6">
        <v>1.0000800000000001</v>
      </c>
      <c r="E382" s="6">
        <v>22908.5</v>
      </c>
      <c r="F382" s="6">
        <v>22932.68</v>
      </c>
      <c r="G382" s="6">
        <v>22930</v>
      </c>
      <c r="H382" s="6">
        <v>22914.38</v>
      </c>
      <c r="I382" s="5">
        <v>44949</v>
      </c>
      <c r="J382" s="7">
        <f t="shared" si="32"/>
        <v>-2.5660742293708223E-4</v>
      </c>
      <c r="K382" s="5">
        <v>44949</v>
      </c>
      <c r="L382" s="8">
        <f t="shared" si="33"/>
        <v>1.1687745311819848E-4</v>
      </c>
      <c r="M382" s="5">
        <v>44949</v>
      </c>
      <c r="N382" s="9">
        <f t="shared" si="30"/>
        <v>-1.3972996981888373E-4</v>
      </c>
      <c r="O382" s="5">
        <v>44949</v>
      </c>
      <c r="P382">
        <f t="shared" si="31"/>
        <v>0.99931879633667686</v>
      </c>
      <c r="Q382" s="6">
        <f t="shared" si="34"/>
        <v>0.99992000639948797</v>
      </c>
      <c r="R382">
        <f t="shared" si="35"/>
        <v>-6.0143898778992021E-4</v>
      </c>
      <c r="T382" s="5">
        <v>44949</v>
      </c>
      <c r="U382" s="1">
        <v>-6.0143898778992021E-4</v>
      </c>
    </row>
    <row r="383" spans="3:21" x14ac:dyDescent="0.2">
      <c r="C383" s="5">
        <v>44950</v>
      </c>
      <c r="D383" s="6">
        <v>1.00014</v>
      </c>
      <c r="E383" s="6">
        <v>22631</v>
      </c>
      <c r="F383" s="6">
        <v>22658.58</v>
      </c>
      <c r="G383" s="6">
        <v>22644</v>
      </c>
      <c r="H383" s="6">
        <v>22629.99</v>
      </c>
      <c r="I383" s="5">
        <v>44950</v>
      </c>
      <c r="J383" s="7">
        <f t="shared" si="32"/>
        <v>4.4631040490888386E-5</v>
      </c>
      <c r="K383" s="5">
        <v>44950</v>
      </c>
      <c r="L383" s="8">
        <f t="shared" si="33"/>
        <v>6.4387917329101509E-4</v>
      </c>
      <c r="M383" s="5">
        <v>44950</v>
      </c>
      <c r="N383" s="9">
        <f t="shared" si="30"/>
        <v>6.8851021378190345E-4</v>
      </c>
      <c r="O383" s="5">
        <v>44950</v>
      </c>
      <c r="P383">
        <f t="shared" si="31"/>
        <v>0.9993812930577638</v>
      </c>
      <c r="Q383" s="6">
        <f t="shared" si="34"/>
        <v>0.99986001959725634</v>
      </c>
      <c r="R383">
        <f t="shared" si="35"/>
        <v>-4.7890821944506222E-4</v>
      </c>
      <c r="T383" s="5">
        <v>44950</v>
      </c>
      <c r="U383" s="1">
        <v>-4.7890821944506222E-4</v>
      </c>
    </row>
    <row r="384" spans="3:21" x14ac:dyDescent="0.2">
      <c r="C384" s="5">
        <v>44951</v>
      </c>
      <c r="D384" s="6">
        <v>1.00013</v>
      </c>
      <c r="E384" s="6">
        <v>23056.5</v>
      </c>
      <c r="F384" s="6">
        <v>23070.5</v>
      </c>
      <c r="G384" s="6">
        <v>23059</v>
      </c>
      <c r="H384" s="6">
        <v>23050</v>
      </c>
      <c r="I384" s="5">
        <v>44951</v>
      </c>
      <c r="J384" s="7">
        <f t="shared" si="32"/>
        <v>2.8199566160520606E-4</v>
      </c>
      <c r="K384" s="5">
        <v>44951</v>
      </c>
      <c r="L384" s="8">
        <f t="shared" si="33"/>
        <v>4.9872067305607357E-4</v>
      </c>
      <c r="M384" s="5">
        <v>44951</v>
      </c>
      <c r="N384" s="9">
        <f t="shared" si="30"/>
        <v>7.8071633466127968E-4</v>
      </c>
      <c r="O384" s="5">
        <v>44951</v>
      </c>
      <c r="P384">
        <f t="shared" si="31"/>
        <v>0.99960969686456469</v>
      </c>
      <c r="Q384" s="6">
        <f t="shared" si="34"/>
        <v>0.9998700168978033</v>
      </c>
      <c r="R384">
        <f t="shared" si="35"/>
        <v>-2.6038777279675421E-4</v>
      </c>
      <c r="T384" s="5">
        <v>44951</v>
      </c>
      <c r="U384" s="1">
        <v>-2.6038777279675421E-4</v>
      </c>
    </row>
    <row r="385" spans="3:21" x14ac:dyDescent="0.2">
      <c r="C385" s="5">
        <v>44952</v>
      </c>
      <c r="D385" s="6">
        <v>1.0000899999999999</v>
      </c>
      <c r="E385" s="6">
        <v>23005.5</v>
      </c>
      <c r="F385" s="6">
        <v>23019.119999999999</v>
      </c>
      <c r="G385" s="6">
        <v>23008.5</v>
      </c>
      <c r="H385" s="6">
        <v>23004.5</v>
      </c>
      <c r="I385" s="5">
        <v>44952</v>
      </c>
      <c r="J385" s="7">
        <f t="shared" si="32"/>
        <v>4.3469755917320526E-5</v>
      </c>
      <c r="K385" s="5">
        <v>44952</v>
      </c>
      <c r="L385" s="8">
        <f t="shared" si="33"/>
        <v>4.615685507529383E-4</v>
      </c>
      <c r="M385" s="5">
        <v>44952</v>
      </c>
      <c r="N385" s="9">
        <f t="shared" si="30"/>
        <v>5.0503830667025882E-4</v>
      </c>
      <c r="O385" s="5">
        <v>44952</v>
      </c>
      <c r="P385">
        <f t="shared" si="31"/>
        <v>0.99982615120498941</v>
      </c>
      <c r="Q385" s="6">
        <f t="shared" si="34"/>
        <v>0.99991000809927111</v>
      </c>
      <c r="R385">
        <f t="shared" si="35"/>
        <v>-8.3867958221072898E-5</v>
      </c>
      <c r="T385" s="5">
        <v>44952</v>
      </c>
      <c r="U385" s="1">
        <v>-8.3867958221072898E-5</v>
      </c>
    </row>
    <row r="386" spans="3:21" x14ac:dyDescent="0.2">
      <c r="C386" s="5">
        <v>44953</v>
      </c>
      <c r="D386" s="6">
        <v>1.0003</v>
      </c>
      <c r="E386" s="6">
        <v>23066</v>
      </c>
      <c r="F386" s="6">
        <v>23090.38</v>
      </c>
      <c r="G386" s="6">
        <v>23081</v>
      </c>
      <c r="H386" s="6">
        <v>23070.7</v>
      </c>
      <c r="I386" s="5">
        <v>44953</v>
      </c>
      <c r="J386" s="7">
        <f t="shared" si="32"/>
        <v>-2.0372160359246697E-4</v>
      </c>
      <c r="K386" s="5">
        <v>44953</v>
      </c>
      <c r="L386" s="8">
        <f t="shared" si="33"/>
        <v>4.0639487023963515E-4</v>
      </c>
      <c r="M386" s="5">
        <v>44953</v>
      </c>
      <c r="N386" s="9">
        <f t="shared" si="30"/>
        <v>2.0267326664716819E-4</v>
      </c>
      <c r="O386" s="5">
        <v>44953</v>
      </c>
      <c r="P386">
        <f t="shared" si="31"/>
        <v>0.99955374550496079</v>
      </c>
      <c r="Q386" s="6">
        <f t="shared" si="34"/>
        <v>0.99970008997300808</v>
      </c>
      <c r="R386">
        <f t="shared" si="35"/>
        <v>-1.463990872111285E-4</v>
      </c>
      <c r="T386" s="5">
        <v>44953</v>
      </c>
      <c r="U386" s="1">
        <v>-1.463990872111285E-4</v>
      </c>
    </row>
    <row r="387" spans="3:21" x14ac:dyDescent="0.2">
      <c r="C387" s="5">
        <v>44954</v>
      </c>
      <c r="D387" s="6">
        <v>1.0002500000000001</v>
      </c>
      <c r="E387" s="6">
        <v>23022</v>
      </c>
      <c r="F387" s="6">
        <v>23033.33</v>
      </c>
      <c r="G387" s="6">
        <v>23021.5</v>
      </c>
      <c r="H387" s="6">
        <v>23023.66</v>
      </c>
      <c r="I387" s="5">
        <v>44954</v>
      </c>
      <c r="J387" s="7">
        <f t="shared" si="32"/>
        <v>-7.2099744349936304E-5</v>
      </c>
      <c r="K387" s="5">
        <v>44954</v>
      </c>
      <c r="L387" s="8">
        <f t="shared" si="33"/>
        <v>5.1386747171130228E-4</v>
      </c>
      <c r="M387" s="5">
        <v>44954</v>
      </c>
      <c r="N387" s="9">
        <f t="shared" si="30"/>
        <v>4.4176772736136599E-4</v>
      </c>
      <c r="O387" s="5">
        <v>44954</v>
      </c>
      <c r="P387">
        <f t="shared" si="31"/>
        <v>1.0000938253371847</v>
      </c>
      <c r="Q387" s="6">
        <f t="shared" si="34"/>
        <v>0.99975006248437881</v>
      </c>
      <c r="R387">
        <f t="shared" si="35"/>
        <v>3.4378969107042159E-4</v>
      </c>
      <c r="T387" s="5">
        <v>44954</v>
      </c>
      <c r="U387" s="1">
        <v>3.4378969107042159E-4</v>
      </c>
    </row>
    <row r="388" spans="3:21" x14ac:dyDescent="0.2">
      <c r="C388" s="5">
        <v>44955</v>
      </c>
      <c r="D388" s="6">
        <v>1.0001</v>
      </c>
      <c r="E388" s="6">
        <v>23737.5</v>
      </c>
      <c r="F388" s="6">
        <v>23747.16</v>
      </c>
      <c r="G388" s="6">
        <v>23745.5</v>
      </c>
      <c r="H388" s="6">
        <v>23746.27</v>
      </c>
      <c r="I388" s="5">
        <v>44955</v>
      </c>
      <c r="J388" s="7">
        <f t="shared" si="32"/>
        <v>-3.6932116075494959E-4</v>
      </c>
      <c r="K388" s="5">
        <v>44955</v>
      </c>
      <c r="L388" s="8">
        <f t="shared" si="33"/>
        <v>6.9907982565111474E-5</v>
      </c>
      <c r="M388" s="5">
        <v>44955</v>
      </c>
      <c r="N388" s="9">
        <f t="shared" si="30"/>
        <v>-2.994131781898381E-4</v>
      </c>
      <c r="O388" s="5">
        <v>44955</v>
      </c>
      <c r="P388">
        <f t="shared" si="31"/>
        <v>1.000032427196732</v>
      </c>
      <c r="Q388" s="6">
        <f t="shared" si="34"/>
        <v>0.99990000999900008</v>
      </c>
      <c r="R388">
        <f t="shared" si="35"/>
        <v>1.3242167131511534E-4</v>
      </c>
      <c r="T388" s="5">
        <v>44955</v>
      </c>
      <c r="U388" s="1">
        <v>1.3242167131511534E-4</v>
      </c>
    </row>
    <row r="389" spans="3:21" x14ac:dyDescent="0.2">
      <c r="C389" s="5">
        <v>44956</v>
      </c>
      <c r="D389" s="6">
        <v>0.99995999999999996</v>
      </c>
      <c r="E389" s="6">
        <v>22830.5</v>
      </c>
      <c r="F389" s="6">
        <v>22841.94</v>
      </c>
      <c r="G389" s="6">
        <v>22832.5</v>
      </c>
      <c r="H389" s="6">
        <v>22825.57</v>
      </c>
      <c r="I389" s="5">
        <v>44956</v>
      </c>
      <c r="J389" s="7">
        <f t="shared" si="32"/>
        <v>2.1598584394607849E-4</v>
      </c>
      <c r="K389" s="5">
        <v>44956</v>
      </c>
      <c r="L389" s="8">
        <f t="shared" si="33"/>
        <v>4.1344574619505927E-4</v>
      </c>
      <c r="M389" s="5">
        <v>44956</v>
      </c>
      <c r="N389" s="9">
        <f t="shared" si="30"/>
        <v>6.2943159014113774E-4</v>
      </c>
      <c r="O389" s="5">
        <v>44956</v>
      </c>
      <c r="P389">
        <f t="shared" si="31"/>
        <v>0.99969648527318511</v>
      </c>
      <c r="Q389" s="6">
        <f t="shared" si="34"/>
        <v>1.0000400016000641</v>
      </c>
      <c r="R389">
        <f t="shared" si="35"/>
        <v>-3.4356159675322354E-4</v>
      </c>
      <c r="T389" s="5">
        <v>44956</v>
      </c>
      <c r="U389" s="1">
        <v>-3.4356159675322354E-4</v>
      </c>
    </row>
    <row r="390" spans="3:21" x14ac:dyDescent="0.2">
      <c r="C390" s="5">
        <v>44957</v>
      </c>
      <c r="D390" s="6">
        <v>1.00004</v>
      </c>
      <c r="E390" s="6">
        <v>23130</v>
      </c>
      <c r="F390" s="6">
        <v>23137.45</v>
      </c>
      <c r="G390" s="6">
        <v>23138.5</v>
      </c>
      <c r="H390" s="6">
        <v>23127.02</v>
      </c>
      <c r="I390" s="5">
        <v>44957</v>
      </c>
      <c r="J390" s="7">
        <f t="shared" si="32"/>
        <v>1.2885360932794469E-4</v>
      </c>
      <c r="K390" s="5">
        <v>44957</v>
      </c>
      <c r="L390" s="8">
        <f t="shared" si="33"/>
        <v>-4.537891393129513E-5</v>
      </c>
      <c r="M390" s="5">
        <v>44957</v>
      </c>
      <c r="N390" s="9">
        <f t="shared" si="30"/>
        <v>8.3474695396649559E-5</v>
      </c>
      <c r="O390" s="5">
        <v>44957</v>
      </c>
      <c r="P390">
        <f t="shared" si="31"/>
        <v>0.9995038572076842</v>
      </c>
      <c r="Q390" s="6">
        <f t="shared" si="34"/>
        <v>0.99996000159993592</v>
      </c>
      <c r="R390">
        <f t="shared" si="35"/>
        <v>-4.5626671185448805E-4</v>
      </c>
      <c r="T390" s="5">
        <v>44957</v>
      </c>
      <c r="U390" s="1">
        <v>-4.5626671185448805E-4</v>
      </c>
    </row>
    <row r="391" spans="3:21" x14ac:dyDescent="0.2">
      <c r="C391" s="5">
        <v>44958</v>
      </c>
      <c r="D391" s="6">
        <v>1.0000899999999999</v>
      </c>
      <c r="E391" s="6">
        <v>23729.5</v>
      </c>
      <c r="F391" s="6">
        <v>23740.05</v>
      </c>
      <c r="G391" s="6">
        <v>23734.5</v>
      </c>
      <c r="H391" s="6">
        <v>23730.52</v>
      </c>
      <c r="I391" s="5">
        <v>44958</v>
      </c>
      <c r="J391" s="7">
        <f t="shared" si="32"/>
        <v>-4.2982623221085615E-5</v>
      </c>
      <c r="K391" s="5">
        <v>44958</v>
      </c>
      <c r="L391" s="8">
        <f t="shared" si="33"/>
        <v>2.338368198192198E-4</v>
      </c>
      <c r="M391" s="5">
        <v>44958</v>
      </c>
      <c r="N391" s="9">
        <f t="shared" si="30"/>
        <v>1.9085419659813419E-4</v>
      </c>
      <c r="O391" s="5">
        <v>44958</v>
      </c>
      <c r="P391">
        <f t="shared" si="31"/>
        <v>0.99983231161389541</v>
      </c>
      <c r="Q391" s="6">
        <f t="shared" si="34"/>
        <v>0.99991000809927111</v>
      </c>
      <c r="R391">
        <f t="shared" si="35"/>
        <v>-7.7706497131001584E-5</v>
      </c>
      <c r="T391" s="5">
        <v>44958</v>
      </c>
      <c r="U391" s="1">
        <v>-7.7706497131001584E-5</v>
      </c>
    </row>
    <row r="392" spans="3:21" x14ac:dyDescent="0.2">
      <c r="C392" s="5">
        <v>44959</v>
      </c>
      <c r="D392" s="6">
        <v>1.0001899999999999</v>
      </c>
      <c r="E392" s="6">
        <v>23495.5</v>
      </c>
      <c r="F392" s="6">
        <v>23498.6</v>
      </c>
      <c r="G392" s="6">
        <v>23502</v>
      </c>
      <c r="H392" s="6">
        <v>23491.439999999999</v>
      </c>
      <c r="I392" s="5">
        <v>44959</v>
      </c>
      <c r="J392" s="7">
        <f t="shared" si="32"/>
        <v>1.7282891129710696E-4</v>
      </c>
      <c r="K392" s="5">
        <v>44959</v>
      </c>
      <c r="L392" s="8">
        <f t="shared" si="33"/>
        <v>-1.4466853884781956E-4</v>
      </c>
      <c r="M392" s="5">
        <v>44959</v>
      </c>
      <c r="N392" s="9">
        <f t="shared" ref="N392:N455" si="36">J392+L392</f>
        <v>2.8160372449287396E-5</v>
      </c>
      <c r="O392" s="5">
        <v>44959</v>
      </c>
      <c r="P392">
        <f t="shared" ref="P392:P455" si="37">(1/G392)*H392</f>
        <v>0.99955067653816687</v>
      </c>
      <c r="Q392" s="6">
        <f t="shared" si="34"/>
        <v>0.99981003609314234</v>
      </c>
      <c r="R392">
        <f t="shared" si="35"/>
        <v>-2.5944248558221883E-4</v>
      </c>
      <c r="T392" s="5">
        <v>44959</v>
      </c>
      <c r="U392" s="1">
        <v>-2.5944248558221883E-4</v>
      </c>
    </row>
    <row r="393" spans="3:21" x14ac:dyDescent="0.2">
      <c r="C393" s="5">
        <v>44960</v>
      </c>
      <c r="D393" s="6">
        <v>0.99999000000000005</v>
      </c>
      <c r="E393" s="6">
        <v>23433.5</v>
      </c>
      <c r="F393" s="6">
        <v>23424.66</v>
      </c>
      <c r="G393" s="6">
        <v>23445</v>
      </c>
      <c r="H393" s="6">
        <v>23436.46</v>
      </c>
      <c r="I393" s="5">
        <v>44960</v>
      </c>
      <c r="J393" s="7">
        <f t="shared" ref="J393:J456" si="38">(E393-H393)/H393</f>
        <v>-1.2629893763815554E-4</v>
      </c>
      <c r="K393" s="5">
        <v>44960</v>
      </c>
      <c r="L393" s="8">
        <f t="shared" ref="L393:L456" si="39">(F393-G393)/G393</f>
        <v>-8.6756238003839387E-4</v>
      </c>
      <c r="M393" s="5">
        <v>44960</v>
      </c>
      <c r="N393" s="9">
        <f t="shared" si="36"/>
        <v>-9.9386131767654953E-4</v>
      </c>
      <c r="O393" s="5">
        <v>44960</v>
      </c>
      <c r="P393">
        <f t="shared" si="37"/>
        <v>0.99963574322883342</v>
      </c>
      <c r="Q393" s="6">
        <f t="shared" ref="Q393:Q456" si="40">1/D393</f>
        <v>1.000010000100001</v>
      </c>
      <c r="R393">
        <f t="shared" ref="R393:R456" si="41">LN(P393/Q393)</f>
        <v>-3.7432317877918918E-4</v>
      </c>
      <c r="T393" s="5">
        <v>44960</v>
      </c>
      <c r="U393" s="1">
        <v>-3.7432317877918918E-4</v>
      </c>
    </row>
    <row r="394" spans="3:21" x14ac:dyDescent="0.2">
      <c r="C394" s="5">
        <v>44961</v>
      </c>
      <c r="D394" s="6">
        <v>1.0000899999999999</v>
      </c>
      <c r="E394" s="6">
        <v>23323.5</v>
      </c>
      <c r="F394" s="6">
        <v>23315.84</v>
      </c>
      <c r="G394" s="6">
        <v>23324</v>
      </c>
      <c r="H394" s="6">
        <v>23325.07</v>
      </c>
      <c r="I394" s="5">
        <v>44961</v>
      </c>
      <c r="J394" s="7">
        <f t="shared" si="38"/>
        <v>-6.7309551482576852E-5</v>
      </c>
      <c r="K394" s="5">
        <v>44961</v>
      </c>
      <c r="L394" s="8">
        <f t="shared" si="39"/>
        <v>-3.4985422740524158E-4</v>
      </c>
      <c r="M394" s="5">
        <v>44961</v>
      </c>
      <c r="N394" s="9">
        <f t="shared" si="36"/>
        <v>-4.1716377888781841E-4</v>
      </c>
      <c r="O394" s="5">
        <v>44961</v>
      </c>
      <c r="P394">
        <f t="shared" si="37"/>
        <v>1.0000458754930543</v>
      </c>
      <c r="Q394" s="6">
        <f t="shared" si="40"/>
        <v>0.99991000809927111</v>
      </c>
      <c r="R394">
        <f t="shared" si="41"/>
        <v>1.3587039104904778E-4</v>
      </c>
      <c r="T394" s="5">
        <v>44961</v>
      </c>
      <c r="U394" s="1">
        <v>1.3587039104904778E-4</v>
      </c>
    </row>
    <row r="395" spans="3:21" x14ac:dyDescent="0.2">
      <c r="C395" s="5">
        <v>44962</v>
      </c>
      <c r="D395" s="6">
        <v>1.00024</v>
      </c>
      <c r="E395" s="6">
        <v>22934</v>
      </c>
      <c r="F395" s="6">
        <v>22955.38</v>
      </c>
      <c r="G395" s="6">
        <v>22945</v>
      </c>
      <c r="H395" s="6">
        <v>22932.42</v>
      </c>
      <c r="I395" s="5">
        <v>44962</v>
      </c>
      <c r="J395" s="7">
        <f t="shared" si="38"/>
        <v>6.8898092743886006E-5</v>
      </c>
      <c r="K395" s="5">
        <v>44962</v>
      </c>
      <c r="L395" s="8">
        <f t="shared" si="39"/>
        <v>4.5238614077145427E-4</v>
      </c>
      <c r="M395" s="5">
        <v>44962</v>
      </c>
      <c r="N395" s="9">
        <f t="shared" si="36"/>
        <v>5.2128423351534032E-4</v>
      </c>
      <c r="O395" s="5">
        <v>44962</v>
      </c>
      <c r="P395">
        <f t="shared" si="37"/>
        <v>0.99945173240357377</v>
      </c>
      <c r="Q395" s="6">
        <f t="shared" si="40"/>
        <v>0.99976005758617925</v>
      </c>
      <c r="R395">
        <f t="shared" si="41"/>
        <v>-3.0844674545615029E-4</v>
      </c>
      <c r="T395" s="5">
        <v>44962</v>
      </c>
      <c r="U395" s="1">
        <v>-3.0844674545615029E-4</v>
      </c>
    </row>
    <row r="396" spans="3:21" x14ac:dyDescent="0.2">
      <c r="C396" s="5">
        <v>44963</v>
      </c>
      <c r="D396" s="6">
        <v>1.0000500000000001</v>
      </c>
      <c r="E396" s="6">
        <v>22763.5</v>
      </c>
      <c r="F396" s="6">
        <v>22777.14</v>
      </c>
      <c r="G396" s="6">
        <v>22753.5</v>
      </c>
      <c r="H396" s="6">
        <v>22761.7</v>
      </c>
      <c r="I396" s="5">
        <v>44963</v>
      </c>
      <c r="J396" s="7">
        <f t="shared" si="38"/>
        <v>7.9080209298921979E-5</v>
      </c>
      <c r="K396" s="5">
        <v>44963</v>
      </c>
      <c r="L396" s="8">
        <f t="shared" si="39"/>
        <v>1.0389610389610134E-3</v>
      </c>
      <c r="M396" s="5">
        <v>44963</v>
      </c>
      <c r="N396" s="9">
        <f t="shared" si="36"/>
        <v>1.1180412482599354E-3</v>
      </c>
      <c r="O396" s="5">
        <v>44963</v>
      </c>
      <c r="P396">
        <f t="shared" si="37"/>
        <v>1.0003603841167292</v>
      </c>
      <c r="Q396" s="6">
        <f t="shared" si="40"/>
        <v>0.99995000249987487</v>
      </c>
      <c r="R396">
        <f t="shared" si="41"/>
        <v>4.1031794401289156E-4</v>
      </c>
      <c r="T396" s="5">
        <v>44963</v>
      </c>
      <c r="U396" s="1">
        <v>4.1031794401289156E-4</v>
      </c>
    </row>
    <row r="397" spans="3:21" x14ac:dyDescent="0.2">
      <c r="C397" s="5">
        <v>44964</v>
      </c>
      <c r="D397" s="6">
        <v>1.0000100000000001</v>
      </c>
      <c r="E397" s="6">
        <v>23244.5</v>
      </c>
      <c r="F397" s="6">
        <v>23257.33</v>
      </c>
      <c r="G397" s="6">
        <v>23245.5</v>
      </c>
      <c r="H397" s="6">
        <v>23243.02</v>
      </c>
      <c r="I397" s="5">
        <v>44964</v>
      </c>
      <c r="J397" s="7">
        <f t="shared" si="38"/>
        <v>6.3675030181085051E-5</v>
      </c>
      <c r="K397" s="5">
        <v>44964</v>
      </c>
      <c r="L397" s="8">
        <f t="shared" si="39"/>
        <v>5.0891570411485006E-4</v>
      </c>
      <c r="M397" s="5">
        <v>44964</v>
      </c>
      <c r="N397" s="9">
        <f t="shared" si="36"/>
        <v>5.7259073429593514E-4</v>
      </c>
      <c r="O397" s="5">
        <v>44964</v>
      </c>
      <c r="P397">
        <f t="shared" si="37"/>
        <v>0.99989331268417547</v>
      </c>
      <c r="Q397" s="6">
        <f t="shared" si="40"/>
        <v>0.99999000009999894</v>
      </c>
      <c r="R397">
        <f t="shared" si="41"/>
        <v>-9.6693057320605189E-5</v>
      </c>
      <c r="T397" s="5">
        <v>44964</v>
      </c>
      <c r="U397" s="1">
        <v>-9.6693057320605189E-5</v>
      </c>
    </row>
    <row r="398" spans="3:21" x14ac:dyDescent="0.2">
      <c r="C398" s="5">
        <v>44965</v>
      </c>
      <c r="D398" s="6">
        <v>1.0000599999999999</v>
      </c>
      <c r="E398" s="6">
        <v>22959</v>
      </c>
      <c r="F398" s="6">
        <v>22965.23</v>
      </c>
      <c r="G398" s="6">
        <v>22969.5</v>
      </c>
      <c r="H398" s="6">
        <v>22958.41</v>
      </c>
      <c r="I398" s="5">
        <v>44965</v>
      </c>
      <c r="J398" s="7">
        <f t="shared" si="38"/>
        <v>2.5698643764970897E-5</v>
      </c>
      <c r="K398" s="5">
        <v>44965</v>
      </c>
      <c r="L398" s="8">
        <f t="shared" si="39"/>
        <v>-1.8589869174341785E-4</v>
      </c>
      <c r="M398" s="5">
        <v>44965</v>
      </c>
      <c r="N398" s="9">
        <f t="shared" si="36"/>
        <v>-1.6020004797844694E-4</v>
      </c>
      <c r="O398" s="5">
        <v>44965</v>
      </c>
      <c r="P398">
        <f t="shared" si="37"/>
        <v>0.99951718583338778</v>
      </c>
      <c r="Q398" s="6">
        <f t="shared" si="40"/>
        <v>0.99994000359978408</v>
      </c>
      <c r="R398">
        <f t="shared" si="41"/>
        <v>-4.2293255882978892E-4</v>
      </c>
      <c r="T398" s="5">
        <v>44965</v>
      </c>
      <c r="U398" s="1">
        <v>-4.2293255882978892E-4</v>
      </c>
    </row>
    <row r="399" spans="3:21" x14ac:dyDescent="0.2">
      <c r="C399" s="5">
        <v>44966</v>
      </c>
      <c r="D399" s="6">
        <v>1.00007</v>
      </c>
      <c r="E399" s="6">
        <v>21802</v>
      </c>
      <c r="F399" s="6">
        <v>21812.5</v>
      </c>
      <c r="G399" s="6">
        <v>21798</v>
      </c>
      <c r="H399" s="6">
        <v>21796.73</v>
      </c>
      <c r="I399" s="5">
        <v>44966</v>
      </c>
      <c r="J399" s="7">
        <f t="shared" si="38"/>
        <v>2.4177938617400119E-4</v>
      </c>
      <c r="K399" s="5">
        <v>44966</v>
      </c>
      <c r="L399" s="8">
        <f t="shared" si="39"/>
        <v>6.6519864207725485E-4</v>
      </c>
      <c r="M399" s="5">
        <v>44966</v>
      </c>
      <c r="N399" s="9">
        <f t="shared" si="36"/>
        <v>9.0697802825125606E-4</v>
      </c>
      <c r="O399" s="5">
        <v>44966</v>
      </c>
      <c r="P399">
        <f t="shared" si="37"/>
        <v>0.99994173777410766</v>
      </c>
      <c r="Q399" s="6">
        <f t="shared" si="40"/>
        <v>0.999930004899657</v>
      </c>
      <c r="R399">
        <f t="shared" si="41"/>
        <v>1.173362691264479E-5</v>
      </c>
      <c r="T399" s="5">
        <v>44966</v>
      </c>
      <c r="U399" s="1">
        <v>1.173362691264479E-5</v>
      </c>
    </row>
    <row r="400" spans="3:21" x14ac:dyDescent="0.2">
      <c r="C400" s="5">
        <v>44967</v>
      </c>
      <c r="D400" s="6">
        <v>1.0000899999999999</v>
      </c>
      <c r="E400" s="6">
        <v>21624.2</v>
      </c>
      <c r="F400" s="6">
        <v>21639.09</v>
      </c>
      <c r="G400" s="6">
        <v>21633</v>
      </c>
      <c r="H400" s="6">
        <v>21631.49</v>
      </c>
      <c r="I400" s="5">
        <v>44967</v>
      </c>
      <c r="J400" s="7">
        <f t="shared" si="38"/>
        <v>-3.3700868502358703E-4</v>
      </c>
      <c r="K400" s="5">
        <v>44967</v>
      </c>
      <c r="L400" s="8">
        <f t="shared" si="39"/>
        <v>2.8151435307170275E-4</v>
      </c>
      <c r="M400" s="5">
        <v>44967</v>
      </c>
      <c r="N400" s="9">
        <f t="shared" si="36"/>
        <v>-5.5494331951884282E-5</v>
      </c>
      <c r="O400" s="5">
        <v>44967</v>
      </c>
      <c r="P400">
        <f t="shared" si="37"/>
        <v>0.99993019923265392</v>
      </c>
      <c r="Q400" s="6">
        <f t="shared" si="40"/>
        <v>0.99991000809927111</v>
      </c>
      <c r="R400">
        <f t="shared" si="41"/>
        <v>2.0192746709869903E-5</v>
      </c>
      <c r="T400" s="5">
        <v>44967</v>
      </c>
      <c r="U400" s="1">
        <v>2.0192746709869903E-5</v>
      </c>
    </row>
    <row r="401" spans="3:21" x14ac:dyDescent="0.2">
      <c r="C401" s="5">
        <v>44968</v>
      </c>
      <c r="D401" s="6">
        <v>1.0001100000000001</v>
      </c>
      <c r="E401" s="6">
        <v>21847.1</v>
      </c>
      <c r="F401" s="6">
        <v>21847.41</v>
      </c>
      <c r="G401" s="6">
        <v>21843.5</v>
      </c>
      <c r="H401" s="6">
        <v>21863.97</v>
      </c>
      <c r="I401" s="5">
        <v>44968</v>
      </c>
      <c r="J401" s="7">
        <f t="shared" si="38"/>
        <v>-7.7158905724818583E-4</v>
      </c>
      <c r="K401" s="5">
        <v>44968</v>
      </c>
      <c r="L401" s="8">
        <f t="shared" si="39"/>
        <v>1.7900061803281775E-4</v>
      </c>
      <c r="M401" s="5">
        <v>44968</v>
      </c>
      <c r="N401" s="9">
        <f t="shared" si="36"/>
        <v>-5.9258843921536808E-4</v>
      </c>
      <c r="O401" s="5">
        <v>44968</v>
      </c>
      <c r="P401">
        <f t="shared" si="37"/>
        <v>1.0009371208826425</v>
      </c>
      <c r="Q401" s="6">
        <f t="shared" si="40"/>
        <v>0.99989001209866912</v>
      </c>
      <c r="R401">
        <f t="shared" si="41"/>
        <v>1.046676009444256E-3</v>
      </c>
      <c r="T401" s="5">
        <v>44968</v>
      </c>
      <c r="U401" s="1">
        <v>1.046676009444256E-3</v>
      </c>
    </row>
    <row r="402" spans="3:21" x14ac:dyDescent="0.2">
      <c r="C402" s="5">
        <v>44969</v>
      </c>
      <c r="D402" s="6">
        <v>1.0001199999999999</v>
      </c>
      <c r="E402" s="6">
        <v>21776.9</v>
      </c>
      <c r="F402" s="6">
        <v>21792.89</v>
      </c>
      <c r="G402" s="6">
        <v>21779</v>
      </c>
      <c r="H402" s="6">
        <v>21780.45</v>
      </c>
      <c r="I402" s="5">
        <v>44969</v>
      </c>
      <c r="J402" s="7">
        <f t="shared" si="38"/>
        <v>-1.629902045182387E-4</v>
      </c>
      <c r="K402" s="5">
        <v>44969</v>
      </c>
      <c r="L402" s="8">
        <f t="shared" si="39"/>
        <v>6.3777032921619073E-4</v>
      </c>
      <c r="M402" s="5">
        <v>44969</v>
      </c>
      <c r="N402" s="9">
        <f t="shared" si="36"/>
        <v>4.74780124697952E-4</v>
      </c>
      <c r="O402" s="5">
        <v>44969</v>
      </c>
      <c r="P402">
        <f t="shared" si="37"/>
        <v>1.0000665778961386</v>
      </c>
      <c r="Q402" s="6">
        <f t="shared" si="40"/>
        <v>0.99988001439827234</v>
      </c>
      <c r="R402">
        <f t="shared" si="41"/>
        <v>1.8656848050457465E-4</v>
      </c>
      <c r="T402" s="5">
        <v>44969</v>
      </c>
      <c r="U402" s="1">
        <v>1.8656848050457465E-4</v>
      </c>
    </row>
    <row r="403" spans="3:21" x14ac:dyDescent="0.2">
      <c r="C403" s="5">
        <v>44970</v>
      </c>
      <c r="D403" s="6">
        <v>1.0006699999999999</v>
      </c>
      <c r="E403" s="6">
        <v>21768</v>
      </c>
      <c r="F403" s="6">
        <v>21793.61</v>
      </c>
      <c r="G403" s="6">
        <v>21774.5</v>
      </c>
      <c r="H403" s="6">
        <v>21774.06</v>
      </c>
      <c r="I403" s="5">
        <v>44970</v>
      </c>
      <c r="J403" s="7">
        <f t="shared" si="38"/>
        <v>-2.7831281809645556E-4</v>
      </c>
      <c r="K403" s="5">
        <v>44970</v>
      </c>
      <c r="L403" s="8">
        <f t="shared" si="39"/>
        <v>8.7763209258539035E-4</v>
      </c>
      <c r="M403" s="5">
        <v>44970</v>
      </c>
      <c r="N403" s="9">
        <f t="shared" si="36"/>
        <v>5.993192744889348E-4</v>
      </c>
      <c r="O403" s="5">
        <v>44970</v>
      </c>
      <c r="P403">
        <f t="shared" si="37"/>
        <v>0.99997979287698924</v>
      </c>
      <c r="Q403" s="6">
        <f t="shared" si="40"/>
        <v>0.99933044859943843</v>
      </c>
      <c r="R403">
        <f t="shared" si="41"/>
        <v>6.4956832302648859E-4</v>
      </c>
      <c r="T403" s="5">
        <v>44970</v>
      </c>
      <c r="U403" s="1">
        <v>6.4956832302648859E-4</v>
      </c>
    </row>
    <row r="404" spans="3:21" x14ac:dyDescent="0.2">
      <c r="C404" s="5">
        <v>44971</v>
      </c>
      <c r="D404" s="6">
        <v>1.0003599999999999</v>
      </c>
      <c r="E404" s="6">
        <v>22184.1</v>
      </c>
      <c r="F404" s="6">
        <v>22204.400000000001</v>
      </c>
      <c r="G404" s="6">
        <v>22200.5</v>
      </c>
      <c r="H404" s="6">
        <v>22199.85</v>
      </c>
      <c r="I404" s="5">
        <v>44971</v>
      </c>
      <c r="J404" s="7">
        <f t="shared" si="38"/>
        <v>-7.0946425313684561E-4</v>
      </c>
      <c r="K404" s="5">
        <v>44971</v>
      </c>
      <c r="L404" s="8">
        <f t="shared" si="39"/>
        <v>1.756717191054911E-4</v>
      </c>
      <c r="M404" s="5">
        <v>44971</v>
      </c>
      <c r="N404" s="9">
        <f t="shared" si="36"/>
        <v>-5.3379253403135446E-4</v>
      </c>
      <c r="O404" s="5">
        <v>44971</v>
      </c>
      <c r="P404">
        <f t="shared" si="37"/>
        <v>0.99997072138014909</v>
      </c>
      <c r="Q404" s="6">
        <f t="shared" si="40"/>
        <v>0.9996401295533609</v>
      </c>
      <c r="R404">
        <f t="shared" si="41"/>
        <v>3.3065616706960774E-4</v>
      </c>
      <c r="T404" s="5">
        <v>44971</v>
      </c>
      <c r="U404" s="1">
        <v>3.3065616706960774E-4</v>
      </c>
    </row>
    <row r="405" spans="3:21" x14ac:dyDescent="0.2">
      <c r="C405" s="5">
        <v>44972</v>
      </c>
      <c r="D405" s="6">
        <v>1.0001500000000001</v>
      </c>
      <c r="E405" s="6">
        <v>24330.3</v>
      </c>
      <c r="F405" s="6">
        <v>24305.55</v>
      </c>
      <c r="G405" s="6">
        <v>24347</v>
      </c>
      <c r="H405" s="6">
        <v>24325.3</v>
      </c>
      <c r="I405" s="5">
        <v>44972</v>
      </c>
      <c r="J405" s="7">
        <f t="shared" si="38"/>
        <v>2.055473108245325E-4</v>
      </c>
      <c r="K405" s="5">
        <v>44972</v>
      </c>
      <c r="L405" s="8">
        <f t="shared" si="39"/>
        <v>-1.7024684766090577E-3</v>
      </c>
      <c r="M405" s="5">
        <v>44972</v>
      </c>
      <c r="N405" s="9">
        <f t="shared" si="36"/>
        <v>-1.4969211657845252E-3</v>
      </c>
      <c r="O405" s="5">
        <v>44972</v>
      </c>
      <c r="P405">
        <f t="shared" si="37"/>
        <v>0.9991087197601346</v>
      </c>
      <c r="Q405" s="6">
        <f t="shared" si="40"/>
        <v>0.99985002249662536</v>
      </c>
      <c r="R405">
        <f t="shared" si="41"/>
        <v>-7.4168891513640199E-4</v>
      </c>
      <c r="T405" s="5">
        <v>44972</v>
      </c>
      <c r="U405" s="1">
        <v>-7.4168891513640199E-4</v>
      </c>
    </row>
    <row r="406" spans="3:21" x14ac:dyDescent="0.2">
      <c r="C406" s="5">
        <v>44973</v>
      </c>
      <c r="D406" s="6">
        <v>1.0000899999999999</v>
      </c>
      <c r="E406" s="6">
        <v>23515.5</v>
      </c>
      <c r="F406" s="6">
        <v>23519.119999999999</v>
      </c>
      <c r="G406" s="6">
        <v>23527</v>
      </c>
      <c r="H406" s="6">
        <v>23511.17</v>
      </c>
      <c r="I406" s="5">
        <v>44973</v>
      </c>
      <c r="J406" s="7">
        <f t="shared" si="38"/>
        <v>1.8416778067623801E-4</v>
      </c>
      <c r="K406" s="5">
        <v>44973</v>
      </c>
      <c r="L406" s="8">
        <f t="shared" si="39"/>
        <v>-3.3493433076894712E-4</v>
      </c>
      <c r="M406" s="5">
        <v>44973</v>
      </c>
      <c r="N406" s="9">
        <f t="shared" si="36"/>
        <v>-1.5076655009270911E-4</v>
      </c>
      <c r="O406" s="5">
        <v>44973</v>
      </c>
      <c r="P406">
        <f t="shared" si="37"/>
        <v>0.99932715603349342</v>
      </c>
      <c r="Q406" s="6">
        <f t="shared" si="40"/>
        <v>0.99991000809927111</v>
      </c>
      <c r="R406">
        <f t="shared" si="41"/>
        <v>-5.8307447735291343E-4</v>
      </c>
      <c r="T406" s="5">
        <v>44973</v>
      </c>
      <c r="U406" s="1">
        <v>-5.8307447735291343E-4</v>
      </c>
    </row>
    <row r="407" spans="3:21" x14ac:dyDescent="0.2">
      <c r="C407" s="5">
        <v>44974</v>
      </c>
      <c r="D407" s="6">
        <v>1.0001599999999999</v>
      </c>
      <c r="E407" s="6">
        <v>24578</v>
      </c>
      <c r="F407" s="6">
        <v>24608.22</v>
      </c>
      <c r="G407" s="6">
        <v>24589</v>
      </c>
      <c r="H407" s="6">
        <v>24573.61</v>
      </c>
      <c r="I407" s="5">
        <v>44974</v>
      </c>
      <c r="J407" s="7">
        <f t="shared" si="38"/>
        <v>1.7864693058933619E-4</v>
      </c>
      <c r="K407" s="5">
        <v>44974</v>
      </c>
      <c r="L407" s="8">
        <f t="shared" si="39"/>
        <v>7.8165033144906931E-4</v>
      </c>
      <c r="M407" s="5">
        <v>44974</v>
      </c>
      <c r="N407" s="9">
        <f t="shared" si="36"/>
        <v>9.6029726203840544E-4</v>
      </c>
      <c r="O407" s="5">
        <v>44974</v>
      </c>
      <c r="P407">
        <f t="shared" si="37"/>
        <v>0.9993741103745577</v>
      </c>
      <c r="Q407" s="6">
        <f t="shared" si="40"/>
        <v>0.99984002559590468</v>
      </c>
      <c r="R407">
        <f t="shared" si="41"/>
        <v>-4.660983747554236E-4</v>
      </c>
      <c r="T407" s="5">
        <v>44974</v>
      </c>
      <c r="U407" s="1">
        <v>-4.660983747554236E-4</v>
      </c>
    </row>
    <row r="408" spans="3:21" x14ac:dyDescent="0.2">
      <c r="C408" s="5">
        <v>44975</v>
      </c>
      <c r="D408" s="6">
        <v>1.0001</v>
      </c>
      <c r="E408" s="6">
        <v>24637.9</v>
      </c>
      <c r="F408" s="6">
        <v>24643.42</v>
      </c>
      <c r="G408" s="6">
        <v>24647.5</v>
      </c>
      <c r="H408" s="6">
        <v>24633.23</v>
      </c>
      <c r="I408" s="5">
        <v>44975</v>
      </c>
      <c r="J408" s="7">
        <f t="shared" si="38"/>
        <v>1.8958130947512332E-4</v>
      </c>
      <c r="K408" s="5">
        <v>44975</v>
      </c>
      <c r="L408" s="8">
        <f t="shared" si="39"/>
        <v>-1.6553402982053946E-4</v>
      </c>
      <c r="M408" s="5">
        <v>44975</v>
      </c>
      <c r="N408" s="9">
        <f t="shared" si="36"/>
        <v>2.4047279654583855E-5</v>
      </c>
      <c r="O408" s="5">
        <v>44975</v>
      </c>
      <c r="P408">
        <f t="shared" si="37"/>
        <v>0.99942103661628978</v>
      </c>
      <c r="Q408" s="6">
        <f t="shared" si="40"/>
        <v>0.99990000999900008</v>
      </c>
      <c r="R408">
        <f t="shared" si="41"/>
        <v>-4.7913604739411962E-4</v>
      </c>
      <c r="T408" s="5">
        <v>44975</v>
      </c>
      <c r="U408" s="1">
        <v>-4.7913604739411962E-4</v>
      </c>
    </row>
    <row r="409" spans="3:21" x14ac:dyDescent="0.2">
      <c r="C409" s="5">
        <v>44976</v>
      </c>
      <c r="D409" s="6">
        <v>1.00021</v>
      </c>
      <c r="E409" s="6">
        <v>24266.9</v>
      </c>
      <c r="F409" s="6">
        <v>24292.26</v>
      </c>
      <c r="G409" s="6">
        <v>24283</v>
      </c>
      <c r="H409" s="6">
        <v>24272</v>
      </c>
      <c r="I409" s="5">
        <v>44976</v>
      </c>
      <c r="J409" s="7">
        <f t="shared" si="38"/>
        <v>-2.101186552405465E-4</v>
      </c>
      <c r="K409" s="5">
        <v>44976</v>
      </c>
      <c r="L409" s="8">
        <f t="shared" si="39"/>
        <v>3.8133673763531684E-4</v>
      </c>
      <c r="M409" s="5">
        <v>44976</v>
      </c>
      <c r="N409" s="9">
        <f t="shared" si="36"/>
        <v>1.7121808239477034E-4</v>
      </c>
      <c r="O409" s="5">
        <v>44976</v>
      </c>
      <c r="P409">
        <f t="shared" si="37"/>
        <v>0.99954700819503361</v>
      </c>
      <c r="Q409" s="6">
        <f t="shared" si="40"/>
        <v>0.9997900440907409</v>
      </c>
      <c r="R409">
        <f t="shared" si="41"/>
        <v>-2.4311648366290794E-4</v>
      </c>
      <c r="T409" s="5">
        <v>44976</v>
      </c>
      <c r="U409" s="1">
        <v>-2.4311648366290794E-4</v>
      </c>
    </row>
    <row r="410" spans="3:21" x14ac:dyDescent="0.2">
      <c r="C410" s="5">
        <v>44977</v>
      </c>
      <c r="D410" s="6">
        <v>1</v>
      </c>
      <c r="E410" s="6">
        <v>24853.5</v>
      </c>
      <c r="F410" s="6">
        <v>24847.39</v>
      </c>
      <c r="G410" s="6">
        <v>24868.5</v>
      </c>
      <c r="H410" s="6">
        <v>24841.01</v>
      </c>
      <c r="I410" s="5">
        <v>44977</v>
      </c>
      <c r="J410" s="7">
        <f t="shared" si="38"/>
        <v>5.0279759156337048E-4</v>
      </c>
      <c r="K410" s="5">
        <v>44977</v>
      </c>
      <c r="L410" s="8">
        <f t="shared" si="39"/>
        <v>-8.4886503005812903E-4</v>
      </c>
      <c r="M410" s="5">
        <v>44977</v>
      </c>
      <c r="N410" s="9">
        <f t="shared" si="36"/>
        <v>-3.4606743849475855E-4</v>
      </c>
      <c r="O410" s="5">
        <v>44977</v>
      </c>
      <c r="P410">
        <f t="shared" si="37"/>
        <v>0.99889458551983423</v>
      </c>
      <c r="Q410" s="6">
        <f t="shared" si="40"/>
        <v>1</v>
      </c>
      <c r="R410">
        <f t="shared" si="41"/>
        <v>-1.1060259013763517E-3</v>
      </c>
      <c r="T410" s="5">
        <v>44977</v>
      </c>
      <c r="U410" s="1">
        <v>-1.1060259013763517E-3</v>
      </c>
    </row>
    <row r="411" spans="3:21" x14ac:dyDescent="0.2">
      <c r="C411" s="5">
        <v>44978</v>
      </c>
      <c r="D411" s="6">
        <v>1.00014</v>
      </c>
      <c r="E411" s="6">
        <v>24455.5</v>
      </c>
      <c r="F411" s="6">
        <v>24470.6</v>
      </c>
      <c r="G411" s="6">
        <v>24469.5</v>
      </c>
      <c r="H411" s="6">
        <v>24448.43</v>
      </c>
      <c r="I411" s="5">
        <v>44978</v>
      </c>
      <c r="J411" s="7">
        <f t="shared" si="38"/>
        <v>2.8918012322262448E-4</v>
      </c>
      <c r="K411" s="5">
        <v>44978</v>
      </c>
      <c r="L411" s="8">
        <f t="shared" si="39"/>
        <v>4.4953922229655071E-5</v>
      </c>
      <c r="M411" s="5">
        <v>44978</v>
      </c>
      <c r="N411" s="9">
        <f t="shared" si="36"/>
        <v>3.3413404545227956E-4</v>
      </c>
      <c r="O411" s="5">
        <v>44978</v>
      </c>
      <c r="P411">
        <f t="shared" si="37"/>
        <v>0.99913892805329085</v>
      </c>
      <c r="Q411" s="6">
        <f t="shared" si="40"/>
        <v>0.99986001959725634</v>
      </c>
      <c r="R411">
        <f t="shared" si="41"/>
        <v>-7.2145268119318913E-4</v>
      </c>
      <c r="T411" s="5">
        <v>44978</v>
      </c>
      <c r="U411" s="1">
        <v>-7.2145268119318913E-4</v>
      </c>
    </row>
    <row r="412" spans="3:21" x14ac:dyDescent="0.2">
      <c r="C412" s="5">
        <v>44979</v>
      </c>
      <c r="D412" s="6">
        <v>1.0000100000000001</v>
      </c>
      <c r="E412" s="6">
        <v>24180.2</v>
      </c>
      <c r="F412" s="6">
        <v>24198.7</v>
      </c>
      <c r="G412" s="6">
        <v>24196</v>
      </c>
      <c r="H412" s="6">
        <v>24184.01</v>
      </c>
      <c r="I412" s="5">
        <v>44979</v>
      </c>
      <c r="J412" s="7">
        <f t="shared" si="38"/>
        <v>-1.57542111502504E-4</v>
      </c>
      <c r="K412" s="5">
        <v>44979</v>
      </c>
      <c r="L412" s="8">
        <f t="shared" si="39"/>
        <v>1.1158869234587235E-4</v>
      </c>
      <c r="M412" s="5">
        <v>44979</v>
      </c>
      <c r="N412" s="9">
        <f t="shared" si="36"/>
        <v>-4.5953419156631643E-5</v>
      </c>
      <c r="O412" s="5">
        <v>44979</v>
      </c>
      <c r="P412">
        <f t="shared" si="37"/>
        <v>0.99950446354769373</v>
      </c>
      <c r="Q412" s="6">
        <f t="shared" si="40"/>
        <v>0.99999000009999894</v>
      </c>
      <c r="R412">
        <f t="shared" si="41"/>
        <v>-4.8565932106948219E-4</v>
      </c>
      <c r="T412" s="5">
        <v>44979</v>
      </c>
      <c r="U412" s="1">
        <v>-4.8565932106948219E-4</v>
      </c>
    </row>
    <row r="413" spans="3:21" x14ac:dyDescent="0.2">
      <c r="C413" s="5">
        <v>44980</v>
      </c>
      <c r="D413" s="6">
        <v>1.0002</v>
      </c>
      <c r="E413" s="6">
        <v>23936.400000000001</v>
      </c>
      <c r="F413" s="6">
        <v>23946.97</v>
      </c>
      <c r="G413" s="6">
        <v>23953.5</v>
      </c>
      <c r="H413" s="6">
        <v>23936</v>
      </c>
      <c r="I413" s="5">
        <v>44980</v>
      </c>
      <c r="J413" s="7">
        <f t="shared" si="38"/>
        <v>1.6711229946584858E-5</v>
      </c>
      <c r="K413" s="5">
        <v>44980</v>
      </c>
      <c r="L413" s="8">
        <f t="shared" si="39"/>
        <v>-2.7261151814969987E-4</v>
      </c>
      <c r="M413" s="5">
        <v>44980</v>
      </c>
      <c r="N413" s="9">
        <f t="shared" si="36"/>
        <v>-2.55900288203115E-4</v>
      </c>
      <c r="O413" s="5">
        <v>44980</v>
      </c>
      <c r="P413">
        <f t="shared" si="37"/>
        <v>0.9992694178303797</v>
      </c>
      <c r="Q413" s="6">
        <f t="shared" si="40"/>
        <v>0.99980003999200162</v>
      </c>
      <c r="R413">
        <f t="shared" si="41"/>
        <v>-5.3086917216144743E-4</v>
      </c>
      <c r="T413" s="5">
        <v>44980</v>
      </c>
      <c r="U413" s="1">
        <v>-5.3086917216144743E-4</v>
      </c>
    </row>
    <row r="414" spans="3:21" x14ac:dyDescent="0.2">
      <c r="C414" s="5">
        <v>44981</v>
      </c>
      <c r="D414" s="6">
        <v>0.99999000000000005</v>
      </c>
      <c r="E414" s="6">
        <v>23185.1</v>
      </c>
      <c r="F414" s="6">
        <v>23215.119999999999</v>
      </c>
      <c r="G414" s="6">
        <v>23192.5</v>
      </c>
      <c r="H414" s="6">
        <v>23188.41</v>
      </c>
      <c r="I414" s="5">
        <v>44981</v>
      </c>
      <c r="J414" s="7">
        <f t="shared" si="38"/>
        <v>-1.4274372412775648E-4</v>
      </c>
      <c r="K414" s="5">
        <v>44981</v>
      </c>
      <c r="L414" s="8">
        <f t="shared" si="39"/>
        <v>9.7531529589302496E-4</v>
      </c>
      <c r="M414" s="5">
        <v>44981</v>
      </c>
      <c r="N414" s="9">
        <f t="shared" si="36"/>
        <v>8.3257157176526843E-4</v>
      </c>
      <c r="O414" s="5">
        <v>44981</v>
      </c>
      <c r="P414">
        <f t="shared" si="37"/>
        <v>0.99982364988681682</v>
      </c>
      <c r="Q414" s="6">
        <f t="shared" si="40"/>
        <v>1.000010000100001</v>
      </c>
      <c r="R414">
        <f t="shared" si="41"/>
        <v>-1.8636571469305064E-4</v>
      </c>
      <c r="T414" s="5">
        <v>44981</v>
      </c>
      <c r="U414" s="1">
        <v>-1.8636571469305064E-4</v>
      </c>
    </row>
    <row r="415" spans="3:21" x14ac:dyDescent="0.2">
      <c r="C415" s="5">
        <v>44982</v>
      </c>
      <c r="D415" s="6">
        <v>1.00004</v>
      </c>
      <c r="E415" s="6">
        <v>23154.799999999999</v>
      </c>
      <c r="F415" s="6">
        <v>23191.82</v>
      </c>
      <c r="G415" s="6">
        <v>23159</v>
      </c>
      <c r="H415" s="6">
        <v>23160.28</v>
      </c>
      <c r="I415" s="5">
        <v>44982</v>
      </c>
      <c r="J415" s="7">
        <f t="shared" si="38"/>
        <v>-2.3661199260110687E-4</v>
      </c>
      <c r="K415" s="5">
        <v>44982</v>
      </c>
      <c r="L415" s="8">
        <f t="shared" si="39"/>
        <v>1.4171596355628355E-3</v>
      </c>
      <c r="M415" s="5">
        <v>44982</v>
      </c>
      <c r="N415" s="9">
        <f t="shared" si="36"/>
        <v>1.1805476429617287E-3</v>
      </c>
      <c r="O415" s="5">
        <v>44982</v>
      </c>
      <c r="P415">
        <f t="shared" si="37"/>
        <v>1.0000552700893821</v>
      </c>
      <c r="Q415" s="6">
        <f t="shared" si="40"/>
        <v>0.99996000159993592</v>
      </c>
      <c r="R415">
        <f t="shared" si="41"/>
        <v>9.5267762068333508E-5</v>
      </c>
      <c r="T415" s="5">
        <v>44982</v>
      </c>
      <c r="U415" s="1">
        <v>9.5267762068333508E-5</v>
      </c>
    </row>
    <row r="416" spans="3:21" x14ac:dyDescent="0.2">
      <c r="C416" s="5">
        <v>44983</v>
      </c>
      <c r="D416" s="6">
        <v>1.0000800000000001</v>
      </c>
      <c r="E416" s="6">
        <v>23548.3</v>
      </c>
      <c r="F416" s="6">
        <v>23584.45</v>
      </c>
      <c r="G416" s="6">
        <v>23553.5</v>
      </c>
      <c r="H416" s="6">
        <v>23556.01</v>
      </c>
      <c r="I416" s="5">
        <v>44983</v>
      </c>
      <c r="J416" s="7">
        <f t="shared" si="38"/>
        <v>-3.2730500623828599E-4</v>
      </c>
      <c r="K416" s="5">
        <v>44983</v>
      </c>
      <c r="L416" s="8">
        <f t="shared" si="39"/>
        <v>1.3140297620311515E-3</v>
      </c>
      <c r="M416" s="5">
        <v>44983</v>
      </c>
      <c r="N416" s="9">
        <f t="shared" si="36"/>
        <v>9.8672475579286538E-4</v>
      </c>
      <c r="O416" s="5">
        <v>44983</v>
      </c>
      <c r="P416">
        <f t="shared" si="37"/>
        <v>1.0001065659031565</v>
      </c>
      <c r="Q416" s="6">
        <f t="shared" si="40"/>
        <v>0.99992000639948797</v>
      </c>
      <c r="R416">
        <f t="shared" si="41"/>
        <v>1.8655702558475457E-4</v>
      </c>
      <c r="T416" s="5">
        <v>44983</v>
      </c>
      <c r="U416" s="1">
        <v>1.8655702558475457E-4</v>
      </c>
    </row>
    <row r="417" spans="3:21" x14ac:dyDescent="0.2">
      <c r="C417" s="5">
        <v>44984</v>
      </c>
      <c r="D417" s="6">
        <v>0.99999000000000005</v>
      </c>
      <c r="E417" s="6">
        <v>23484.1</v>
      </c>
      <c r="F417" s="6">
        <v>23629.19</v>
      </c>
      <c r="G417" s="6">
        <v>23486</v>
      </c>
      <c r="H417" s="6">
        <v>23489.79</v>
      </c>
      <c r="I417" s="5">
        <v>44984</v>
      </c>
      <c r="J417" s="7">
        <f t="shared" si="38"/>
        <v>-2.422329020396661E-4</v>
      </c>
      <c r="K417" s="5">
        <v>44984</v>
      </c>
      <c r="L417" s="8">
        <f t="shared" si="39"/>
        <v>6.096823639615034E-3</v>
      </c>
      <c r="M417" s="5">
        <v>44984</v>
      </c>
      <c r="N417" s="9">
        <f t="shared" si="36"/>
        <v>5.8545907375753678E-3</v>
      </c>
      <c r="O417" s="5">
        <v>44984</v>
      </c>
      <c r="P417">
        <f t="shared" si="37"/>
        <v>1.0001613727326919</v>
      </c>
      <c r="Q417" s="6">
        <f t="shared" si="40"/>
        <v>1.000010000100001</v>
      </c>
      <c r="R417">
        <f t="shared" si="41"/>
        <v>1.5135966351285618E-4</v>
      </c>
      <c r="T417" s="5">
        <v>44984</v>
      </c>
      <c r="U417" s="1">
        <v>1.5135966351285618E-4</v>
      </c>
    </row>
    <row r="418" spans="3:21" x14ac:dyDescent="0.2">
      <c r="C418" s="5">
        <v>44985</v>
      </c>
      <c r="D418" s="6">
        <v>1.00017</v>
      </c>
      <c r="E418" s="6">
        <v>23129.9</v>
      </c>
      <c r="F418" s="6">
        <v>23397.14</v>
      </c>
      <c r="G418" s="6">
        <v>23134</v>
      </c>
      <c r="H418" s="6">
        <v>23139.62</v>
      </c>
      <c r="I418" s="5">
        <v>44985</v>
      </c>
      <c r="J418" s="7">
        <f t="shared" si="38"/>
        <v>-4.2005875636667872E-4</v>
      </c>
      <c r="K418" s="5">
        <v>44985</v>
      </c>
      <c r="L418" s="8">
        <f t="shared" si="39"/>
        <v>1.1374600155615087E-2</v>
      </c>
      <c r="M418" s="5">
        <v>44985</v>
      </c>
      <c r="N418" s="9">
        <f t="shared" si="36"/>
        <v>1.0954541399248409E-2</v>
      </c>
      <c r="O418" s="5">
        <v>44985</v>
      </c>
      <c r="P418">
        <f t="shared" si="37"/>
        <v>1.0002429324803319</v>
      </c>
      <c r="Q418" s="6">
        <f t="shared" si="40"/>
        <v>0.99983002889508787</v>
      </c>
      <c r="R418">
        <f t="shared" si="41"/>
        <v>4.1288852865254533E-4</v>
      </c>
      <c r="T418" s="5">
        <v>44985</v>
      </c>
      <c r="U418" s="1">
        <v>4.1288852865254533E-4</v>
      </c>
    </row>
    <row r="419" spans="3:21" x14ac:dyDescent="0.2">
      <c r="C419" s="5">
        <v>44986</v>
      </c>
      <c r="D419" s="6">
        <v>1.0000899999999999</v>
      </c>
      <c r="E419" s="6">
        <v>23630</v>
      </c>
      <c r="F419" s="6">
        <v>23784.01</v>
      </c>
      <c r="G419" s="6">
        <v>23640</v>
      </c>
      <c r="H419" s="6">
        <v>23640</v>
      </c>
      <c r="I419" s="5">
        <v>44986</v>
      </c>
      <c r="J419" s="7">
        <f t="shared" si="38"/>
        <v>-4.2301184433164127E-4</v>
      </c>
      <c r="K419" s="5">
        <v>44986</v>
      </c>
      <c r="L419" s="8">
        <f t="shared" si="39"/>
        <v>6.0917935702198981E-3</v>
      </c>
      <c r="M419" s="5">
        <v>44986</v>
      </c>
      <c r="N419" s="9">
        <f t="shared" si="36"/>
        <v>5.668781725888257E-3</v>
      </c>
      <c r="O419" s="5">
        <v>44986</v>
      </c>
      <c r="P419">
        <f t="shared" si="37"/>
        <v>1</v>
      </c>
      <c r="Q419" s="6">
        <f t="shared" si="40"/>
        <v>0.99991000809927111</v>
      </c>
      <c r="R419">
        <f t="shared" si="41"/>
        <v>8.9995950242907074E-5</v>
      </c>
      <c r="T419" s="5">
        <v>44986</v>
      </c>
      <c r="U419" s="1">
        <v>8.9995950242907074E-5</v>
      </c>
    </row>
    <row r="420" spans="3:21" x14ac:dyDescent="0.2">
      <c r="C420" s="5">
        <v>44987</v>
      </c>
      <c r="D420" s="6">
        <v>1.0001199999999999</v>
      </c>
      <c r="E420" s="6">
        <v>23462.5</v>
      </c>
      <c r="F420" s="6">
        <v>23569.5</v>
      </c>
      <c r="G420" s="6">
        <v>23462</v>
      </c>
      <c r="H420" s="6">
        <v>23463.99</v>
      </c>
      <c r="I420" s="5">
        <v>44987</v>
      </c>
      <c r="J420" s="7">
        <f t="shared" si="38"/>
        <v>-6.3501561328725445E-5</v>
      </c>
      <c r="K420" s="5">
        <v>44987</v>
      </c>
      <c r="L420" s="8">
        <f t="shared" si="39"/>
        <v>4.5818770778279774E-3</v>
      </c>
      <c r="M420" s="5">
        <v>44987</v>
      </c>
      <c r="N420" s="9">
        <f t="shared" si="36"/>
        <v>4.518375516499252E-3</v>
      </c>
      <c r="O420" s="5">
        <v>44987</v>
      </c>
      <c r="P420">
        <f t="shared" si="37"/>
        <v>1.0000848180035804</v>
      </c>
      <c r="Q420" s="6">
        <f t="shared" si="40"/>
        <v>0.99988001439827234</v>
      </c>
      <c r="R420">
        <f t="shared" si="41"/>
        <v>2.0480720731264895E-4</v>
      </c>
      <c r="T420" s="5">
        <v>44987</v>
      </c>
      <c r="U420" s="1">
        <v>2.0480720731264895E-4</v>
      </c>
    </row>
    <row r="421" spans="3:21" x14ac:dyDescent="0.2">
      <c r="C421" s="5">
        <v>44988</v>
      </c>
      <c r="D421" s="6">
        <v>1.0000599999999999</v>
      </c>
      <c r="E421" s="6">
        <v>22345.8</v>
      </c>
      <c r="F421" s="6">
        <v>22569.65</v>
      </c>
      <c r="G421" s="6">
        <v>22349.5</v>
      </c>
      <c r="H421" s="6">
        <v>22352</v>
      </c>
      <c r="I421" s="5">
        <v>44988</v>
      </c>
      <c r="J421" s="7">
        <f t="shared" si="38"/>
        <v>-2.7738010021477846E-4</v>
      </c>
      <c r="K421" s="5">
        <v>44988</v>
      </c>
      <c r="L421" s="8">
        <f t="shared" si="39"/>
        <v>9.8503322221974304E-3</v>
      </c>
      <c r="M421" s="5">
        <v>44988</v>
      </c>
      <c r="N421" s="9">
        <f t="shared" si="36"/>
        <v>9.5729521219826523E-3</v>
      </c>
      <c r="O421" s="5">
        <v>44988</v>
      </c>
      <c r="P421">
        <f t="shared" si="37"/>
        <v>1.0001118593257119</v>
      </c>
      <c r="Q421" s="6">
        <f t="shared" si="40"/>
        <v>0.99994000359978408</v>
      </c>
      <c r="R421">
        <f t="shared" si="41"/>
        <v>1.7185126999596067E-4</v>
      </c>
      <c r="T421" s="5">
        <v>44988</v>
      </c>
      <c r="U421" s="1">
        <v>1.7185126999596067E-4</v>
      </c>
    </row>
    <row r="422" spans="3:21" x14ac:dyDescent="0.2">
      <c r="C422" s="5">
        <v>44989</v>
      </c>
      <c r="D422" s="6">
        <v>1.00003</v>
      </c>
      <c r="E422" s="6">
        <v>22336.6</v>
      </c>
      <c r="F422" s="6">
        <v>22559.38</v>
      </c>
      <c r="G422" s="6">
        <v>22346</v>
      </c>
      <c r="H422" s="6">
        <v>22347.46</v>
      </c>
      <c r="I422" s="5">
        <v>44989</v>
      </c>
      <c r="J422" s="7">
        <f t="shared" si="38"/>
        <v>-4.8596126808149931E-4</v>
      </c>
      <c r="K422" s="5">
        <v>44989</v>
      </c>
      <c r="L422" s="8">
        <f t="shared" si="39"/>
        <v>9.5489125570572368E-3</v>
      </c>
      <c r="M422" s="5">
        <v>44989</v>
      </c>
      <c r="N422" s="9">
        <f t="shared" si="36"/>
        <v>9.0629512889757371E-3</v>
      </c>
      <c r="O422" s="5">
        <v>44989</v>
      </c>
      <c r="P422">
        <f t="shared" si="37"/>
        <v>1.0000653360780454</v>
      </c>
      <c r="Q422" s="6">
        <f t="shared" si="40"/>
        <v>0.99997000089997301</v>
      </c>
      <c r="R422">
        <f t="shared" si="41"/>
        <v>9.5333493745743716E-5</v>
      </c>
      <c r="T422" s="5">
        <v>44989</v>
      </c>
      <c r="U422" s="1">
        <v>9.5333493745743716E-5</v>
      </c>
    </row>
    <row r="423" spans="3:21" x14ac:dyDescent="0.2">
      <c r="C423" s="5">
        <v>44990</v>
      </c>
      <c r="D423" s="6">
        <v>1.0000500000000001</v>
      </c>
      <c r="E423" s="6">
        <v>22419</v>
      </c>
      <c r="F423" s="6">
        <v>22572.5</v>
      </c>
      <c r="G423" s="6">
        <v>22421.5</v>
      </c>
      <c r="H423" s="6">
        <v>22425.8</v>
      </c>
      <c r="I423" s="5">
        <v>44990</v>
      </c>
      <c r="J423" s="7">
        <f t="shared" si="38"/>
        <v>-3.0322218159438115E-4</v>
      </c>
      <c r="K423" s="5">
        <v>44990</v>
      </c>
      <c r="L423" s="8">
        <f t="shared" si="39"/>
        <v>6.7346074080681488E-3</v>
      </c>
      <c r="M423" s="5">
        <v>44990</v>
      </c>
      <c r="N423" s="9">
        <f t="shared" si="36"/>
        <v>6.4313852264737681E-3</v>
      </c>
      <c r="O423" s="5">
        <v>44990</v>
      </c>
      <c r="P423">
        <f t="shared" si="37"/>
        <v>1.0001917802109581</v>
      </c>
      <c r="Q423" s="6">
        <f t="shared" si="40"/>
        <v>0.99995000249987487</v>
      </c>
      <c r="R423">
        <f t="shared" si="41"/>
        <v>2.4176057352601912E-4</v>
      </c>
      <c r="T423" s="5">
        <v>44990</v>
      </c>
      <c r="U423" s="1">
        <v>2.4176057352601912E-4</v>
      </c>
    </row>
    <row r="424" spans="3:21" x14ac:dyDescent="0.2">
      <c r="C424" s="5">
        <v>44991</v>
      </c>
      <c r="D424" s="6">
        <v>0.99985000000000002</v>
      </c>
      <c r="E424" s="6">
        <v>22398.5</v>
      </c>
      <c r="F424" s="6">
        <v>22479.58</v>
      </c>
      <c r="G424" s="6">
        <v>22393</v>
      </c>
      <c r="H424" s="6">
        <v>22410.95</v>
      </c>
      <c r="I424" s="5">
        <v>44991</v>
      </c>
      <c r="J424" s="7">
        <f t="shared" si="38"/>
        <v>-5.5553200555981462E-4</v>
      </c>
      <c r="K424" s="5">
        <v>44991</v>
      </c>
      <c r="L424" s="8">
        <f t="shared" si="39"/>
        <v>3.8663868173090584E-3</v>
      </c>
      <c r="M424" s="5">
        <v>44991</v>
      </c>
      <c r="N424" s="9">
        <f t="shared" si="36"/>
        <v>3.3108548117492436E-3</v>
      </c>
      <c r="O424" s="5">
        <v>44991</v>
      </c>
      <c r="P424">
        <f t="shared" si="37"/>
        <v>1.0008015897825213</v>
      </c>
      <c r="Q424" s="6">
        <f t="shared" si="40"/>
        <v>1.0001500225033755</v>
      </c>
      <c r="R424">
        <f t="shared" si="41"/>
        <v>6.5125742988957048E-4</v>
      </c>
      <c r="T424" s="5">
        <v>44991</v>
      </c>
      <c r="U424" s="1">
        <v>6.5125742988957048E-4</v>
      </c>
    </row>
    <row r="425" spans="3:21" x14ac:dyDescent="0.2">
      <c r="C425" s="5">
        <v>44992</v>
      </c>
      <c r="D425" s="6">
        <v>0.99990999999999997</v>
      </c>
      <c r="E425" s="6">
        <v>22188.9</v>
      </c>
      <c r="F425" s="6">
        <v>22248.52</v>
      </c>
      <c r="G425" s="6">
        <v>22188</v>
      </c>
      <c r="H425" s="6">
        <v>22199.99</v>
      </c>
      <c r="I425" s="5">
        <v>44992</v>
      </c>
      <c r="J425" s="7">
        <f t="shared" si="38"/>
        <v>-4.9954977457197704E-4</v>
      </c>
      <c r="K425" s="5">
        <v>44992</v>
      </c>
      <c r="L425" s="8">
        <f t="shared" si="39"/>
        <v>2.7276005047773767E-3</v>
      </c>
      <c r="M425" s="5">
        <v>44992</v>
      </c>
      <c r="N425" s="9">
        <f t="shared" si="36"/>
        <v>2.2280507302053997E-3</v>
      </c>
      <c r="O425" s="5">
        <v>44992</v>
      </c>
      <c r="P425">
        <f t="shared" si="37"/>
        <v>1.0005403821885706</v>
      </c>
      <c r="Q425" s="6">
        <f t="shared" si="40"/>
        <v>1.0000900081007291</v>
      </c>
      <c r="R425">
        <f t="shared" si="41"/>
        <v>4.5023218445076359E-4</v>
      </c>
      <c r="T425" s="5">
        <v>44992</v>
      </c>
      <c r="U425" s="1">
        <v>4.5023218445076359E-4</v>
      </c>
    </row>
    <row r="426" spans="3:21" x14ac:dyDescent="0.2">
      <c r="C426" s="5">
        <v>44993</v>
      </c>
      <c r="D426" s="6">
        <v>0.99985000000000002</v>
      </c>
      <c r="E426" s="6">
        <v>21702</v>
      </c>
      <c r="F426" s="6">
        <v>21756.69</v>
      </c>
      <c r="G426" s="6">
        <v>21682.5</v>
      </c>
      <c r="H426" s="6">
        <v>21706.57</v>
      </c>
      <c r="I426" s="5">
        <v>44993</v>
      </c>
      <c r="J426" s="7">
        <f t="shared" si="38"/>
        <v>-2.1053533561496399E-4</v>
      </c>
      <c r="K426" s="5">
        <v>44993</v>
      </c>
      <c r="L426" s="8">
        <f t="shared" si="39"/>
        <v>3.4216534071255015E-3</v>
      </c>
      <c r="M426" s="5">
        <v>44993</v>
      </c>
      <c r="N426" s="9">
        <f t="shared" si="36"/>
        <v>3.2111180715105373E-3</v>
      </c>
      <c r="O426" s="5">
        <v>44993</v>
      </c>
      <c r="P426">
        <f t="shared" si="37"/>
        <v>1.0011101118413468</v>
      </c>
      <c r="Q426" s="6">
        <f t="shared" si="40"/>
        <v>1.0001500225033755</v>
      </c>
      <c r="R426">
        <f t="shared" si="41"/>
        <v>9.5948487170696088E-4</v>
      </c>
      <c r="T426" s="5">
        <v>44993</v>
      </c>
      <c r="U426" s="1">
        <v>9.5948487170696088E-4</v>
      </c>
    </row>
    <row r="427" spans="3:21" x14ac:dyDescent="0.2">
      <c r="C427" s="5">
        <v>44994</v>
      </c>
      <c r="D427" s="6">
        <v>1.0004999999999999</v>
      </c>
      <c r="E427" s="6">
        <v>20355.599999999999</v>
      </c>
      <c r="F427" s="6">
        <v>20510.349999999999</v>
      </c>
      <c r="G427" s="6">
        <v>20352</v>
      </c>
      <c r="H427" s="6">
        <v>20365.8</v>
      </c>
      <c r="I427" s="5">
        <v>44994</v>
      </c>
      <c r="J427" s="7">
        <f t="shared" si="38"/>
        <v>-5.0083964293083151E-4</v>
      </c>
      <c r="K427" s="5">
        <v>44994</v>
      </c>
      <c r="L427" s="8">
        <f t="shared" si="39"/>
        <v>7.7805621069181674E-3</v>
      </c>
      <c r="M427" s="5">
        <v>44994</v>
      </c>
      <c r="N427" s="9">
        <f t="shared" si="36"/>
        <v>7.2797224639873362E-3</v>
      </c>
      <c r="O427" s="5">
        <v>44994</v>
      </c>
      <c r="P427">
        <f t="shared" si="37"/>
        <v>1.0006780660377359</v>
      </c>
      <c r="Q427" s="6">
        <f t="shared" si="40"/>
        <v>0.99950024987506247</v>
      </c>
      <c r="R427">
        <f t="shared" si="41"/>
        <v>1.1777112964773786E-3</v>
      </c>
      <c r="T427" s="5">
        <v>44994</v>
      </c>
      <c r="U427" s="1">
        <v>1.1777112964773786E-3</v>
      </c>
    </row>
    <row r="428" spans="3:21" x14ac:dyDescent="0.2">
      <c r="C428" s="5">
        <v>44995</v>
      </c>
      <c r="D428" s="6">
        <v>1.0035700000000001</v>
      </c>
      <c r="E428" s="6">
        <v>20141.400000000001</v>
      </c>
      <c r="F428" s="6">
        <v>20221.05</v>
      </c>
      <c r="G428" s="6">
        <v>20195</v>
      </c>
      <c r="H428" s="6">
        <v>20150.39</v>
      </c>
      <c r="I428" s="5">
        <v>44995</v>
      </c>
      <c r="J428" s="7">
        <f t="shared" si="38"/>
        <v>-4.461452110851434E-4</v>
      </c>
      <c r="K428" s="5">
        <v>44995</v>
      </c>
      <c r="L428" s="8">
        <f t="shared" si="39"/>
        <v>1.2899232483287583E-3</v>
      </c>
      <c r="M428" s="5">
        <v>44995</v>
      </c>
      <c r="N428" s="9">
        <f t="shared" si="36"/>
        <v>8.4377803724361487E-4</v>
      </c>
      <c r="O428" s="5">
        <v>44995</v>
      </c>
      <c r="P428">
        <f t="shared" si="37"/>
        <v>0.99779103738549146</v>
      </c>
      <c r="Q428" s="6">
        <f t="shared" si="40"/>
        <v>0.9964426995625616</v>
      </c>
      <c r="R428">
        <f t="shared" si="41"/>
        <v>1.3522367046616055E-3</v>
      </c>
      <c r="T428" s="5">
        <v>44995</v>
      </c>
      <c r="U428" s="1">
        <v>1.3522367046616055E-3</v>
      </c>
    </row>
    <row r="429" spans="3:21" x14ac:dyDescent="0.2">
      <c r="C429" s="5">
        <v>44996</v>
      </c>
      <c r="D429" s="6">
        <v>1.00773</v>
      </c>
      <c r="E429" s="6">
        <v>20450.099999999999</v>
      </c>
      <c r="F429" s="6">
        <v>20288.7</v>
      </c>
      <c r="G429" s="6">
        <v>20604.5</v>
      </c>
      <c r="H429" s="6">
        <v>20457.849999999999</v>
      </c>
      <c r="I429" s="5">
        <v>44996</v>
      </c>
      <c r="J429" s="7">
        <f t="shared" si="38"/>
        <v>-3.7882768717142809E-4</v>
      </c>
      <c r="K429" s="5">
        <v>44996</v>
      </c>
      <c r="L429" s="8">
        <f t="shared" si="39"/>
        <v>-1.5326749011138308E-2</v>
      </c>
      <c r="M429" s="5">
        <v>44996</v>
      </c>
      <c r="N429" s="9">
        <f t="shared" si="36"/>
        <v>-1.5705576698309735E-2</v>
      </c>
      <c r="O429" s="5">
        <v>44996</v>
      </c>
      <c r="P429">
        <f t="shared" si="37"/>
        <v>0.99288262272804473</v>
      </c>
      <c r="Q429" s="6">
        <f t="shared" si="40"/>
        <v>0.99232929455310448</v>
      </c>
      <c r="R429">
        <f t="shared" si="41"/>
        <v>5.5744999760719066E-4</v>
      </c>
      <c r="T429" s="5">
        <v>44996</v>
      </c>
      <c r="U429" s="1">
        <v>5.5744999760719066E-4</v>
      </c>
    </row>
    <row r="430" spans="3:21" x14ac:dyDescent="0.2">
      <c r="C430" s="5">
        <v>44997</v>
      </c>
      <c r="D430" s="6">
        <v>1.00728</v>
      </c>
      <c r="E430" s="6">
        <v>21978.9</v>
      </c>
      <c r="F430" s="6">
        <v>22087.47</v>
      </c>
      <c r="G430" s="6">
        <v>22167</v>
      </c>
      <c r="H430" s="6">
        <v>21994.240000000002</v>
      </c>
      <c r="I430" s="5">
        <v>44997</v>
      </c>
      <c r="J430" s="7">
        <f t="shared" si="38"/>
        <v>-6.9745533376011832E-4</v>
      </c>
      <c r="K430" s="5">
        <v>44997</v>
      </c>
      <c r="L430" s="8">
        <f t="shared" si="39"/>
        <v>-3.5877655975097593E-3</v>
      </c>
      <c r="M430" s="5">
        <v>44997</v>
      </c>
      <c r="N430" s="9">
        <f t="shared" si="36"/>
        <v>-4.2852209312698774E-3</v>
      </c>
      <c r="O430" s="5">
        <v>44997</v>
      </c>
      <c r="P430">
        <f t="shared" si="37"/>
        <v>0.99220643298597022</v>
      </c>
      <c r="Q430" s="6">
        <f t="shared" si="40"/>
        <v>0.99277261536017791</v>
      </c>
      <c r="R430">
        <f t="shared" si="41"/>
        <v>-5.7046686717824907E-4</v>
      </c>
      <c r="T430" s="5">
        <v>44997</v>
      </c>
      <c r="U430" s="1">
        <v>-5.7046686717824907E-4</v>
      </c>
    </row>
    <row r="431" spans="3:21" x14ac:dyDescent="0.2">
      <c r="C431" s="5">
        <v>44998</v>
      </c>
      <c r="D431" s="6">
        <v>1.00403</v>
      </c>
      <c r="E431" s="6">
        <v>24112.2</v>
      </c>
      <c r="F431" s="6">
        <v>24018.61</v>
      </c>
      <c r="G431" s="6">
        <v>24175</v>
      </c>
      <c r="H431" s="6">
        <v>24104.02</v>
      </c>
      <c r="I431" s="5">
        <v>44998</v>
      </c>
      <c r="J431" s="7">
        <f t="shared" si="38"/>
        <v>3.393624797855416E-4</v>
      </c>
      <c r="K431" s="5">
        <v>44998</v>
      </c>
      <c r="L431" s="8">
        <f t="shared" si="39"/>
        <v>-6.4690796277145574E-3</v>
      </c>
      <c r="M431" s="5">
        <v>44998</v>
      </c>
      <c r="N431" s="9">
        <f t="shared" si="36"/>
        <v>-6.1297171479290161E-3</v>
      </c>
      <c r="O431" s="5">
        <v>44998</v>
      </c>
      <c r="P431">
        <f t="shared" si="37"/>
        <v>0.99706390899689756</v>
      </c>
      <c r="Q431" s="6">
        <f t="shared" si="40"/>
        <v>0.99598617571188119</v>
      </c>
      <c r="R431">
        <f t="shared" si="41"/>
        <v>1.0814915273130103E-3</v>
      </c>
      <c r="T431" s="5">
        <v>44998</v>
      </c>
      <c r="U431" s="1">
        <v>1.0814915273130103E-3</v>
      </c>
    </row>
    <row r="432" spans="3:21" x14ac:dyDescent="0.2">
      <c r="C432" s="5">
        <v>44999</v>
      </c>
      <c r="D432" s="6">
        <v>1.0015099999999999</v>
      </c>
      <c r="E432" s="6">
        <v>24684.7</v>
      </c>
      <c r="F432" s="6">
        <v>24655.53</v>
      </c>
      <c r="G432" s="6">
        <v>24740.5</v>
      </c>
      <c r="H432" s="6">
        <v>24674.98</v>
      </c>
      <c r="I432" s="5">
        <v>44999</v>
      </c>
      <c r="J432" s="7">
        <f t="shared" si="38"/>
        <v>3.9392129193219872E-4</v>
      </c>
      <c r="K432" s="5">
        <v>44999</v>
      </c>
      <c r="L432" s="8">
        <f t="shared" si="39"/>
        <v>-3.4344495867100972E-3</v>
      </c>
      <c r="M432" s="5">
        <v>44999</v>
      </c>
      <c r="N432" s="9">
        <f t="shared" si="36"/>
        <v>-3.0405282947778985E-3</v>
      </c>
      <c r="O432" s="5">
        <v>44999</v>
      </c>
      <c r="P432">
        <f t="shared" si="37"/>
        <v>0.99735171075766449</v>
      </c>
      <c r="Q432" s="6">
        <f t="shared" si="40"/>
        <v>0.99849227666224016</v>
      </c>
      <c r="R432">
        <f t="shared" si="41"/>
        <v>-1.1429410674644587E-3</v>
      </c>
      <c r="T432" s="5">
        <v>44999</v>
      </c>
      <c r="U432" s="1">
        <v>-1.1429410674644587E-3</v>
      </c>
    </row>
    <row r="433" spans="3:21" x14ac:dyDescent="0.2">
      <c r="C433" s="5">
        <v>45000</v>
      </c>
      <c r="D433" s="6">
        <v>1.0035700000000001</v>
      </c>
      <c r="E433" s="6">
        <v>24284.9</v>
      </c>
      <c r="F433" s="6">
        <v>24365.81</v>
      </c>
      <c r="G433" s="6">
        <v>24366</v>
      </c>
      <c r="H433" s="6">
        <v>24276.58</v>
      </c>
      <c r="I433" s="5">
        <v>45000</v>
      </c>
      <c r="J433" s="7">
        <f t="shared" si="38"/>
        <v>3.4271713725737764E-4</v>
      </c>
      <c r="K433" s="5">
        <v>45000</v>
      </c>
      <c r="L433" s="8">
        <f t="shared" si="39"/>
        <v>-7.7977509644049221E-6</v>
      </c>
      <c r="M433" s="5">
        <v>45000</v>
      </c>
      <c r="N433" s="9">
        <f t="shared" si="36"/>
        <v>3.3491938629297274E-4</v>
      </c>
      <c r="O433" s="5">
        <v>45000</v>
      </c>
      <c r="P433">
        <f t="shared" si="37"/>
        <v>0.99633013215135846</v>
      </c>
      <c r="Q433" s="6">
        <f t="shared" si="40"/>
        <v>0.9964426995625616</v>
      </c>
      <c r="R433">
        <f t="shared" si="41"/>
        <v>-1.1297565837047937E-4</v>
      </c>
      <c r="T433" s="5">
        <v>45000</v>
      </c>
      <c r="U433" s="1">
        <v>-1.1297565837047937E-4</v>
      </c>
    </row>
    <row r="434" spans="3:21" x14ac:dyDescent="0.2">
      <c r="C434" s="5">
        <v>45001</v>
      </c>
      <c r="D434" s="6">
        <v>1.0020100000000001</v>
      </c>
      <c r="E434" s="6">
        <v>24989.200000000001</v>
      </c>
      <c r="F434" s="6">
        <v>25117.86</v>
      </c>
      <c r="G434" s="6">
        <v>25056</v>
      </c>
      <c r="H434" s="6">
        <v>24997.48</v>
      </c>
      <c r="I434" s="5">
        <v>45001</v>
      </c>
      <c r="J434" s="7">
        <f t="shared" si="38"/>
        <v>-3.3123338832549665E-4</v>
      </c>
      <c r="K434" s="5">
        <v>45001</v>
      </c>
      <c r="L434" s="8">
        <f t="shared" si="39"/>
        <v>2.4688697318007895E-3</v>
      </c>
      <c r="M434" s="5">
        <v>45001</v>
      </c>
      <c r="N434" s="9">
        <f t="shared" si="36"/>
        <v>2.137636343475293E-3</v>
      </c>
      <c r="O434" s="5">
        <v>45001</v>
      </c>
      <c r="P434">
        <f t="shared" si="37"/>
        <v>0.99766443167305241</v>
      </c>
      <c r="Q434" s="6">
        <f t="shared" si="40"/>
        <v>0.99799403199568859</v>
      </c>
      <c r="R434">
        <f t="shared" si="41"/>
        <v>-3.3031736806024103E-4</v>
      </c>
      <c r="T434" s="5">
        <v>45001</v>
      </c>
      <c r="U434" s="1">
        <v>-3.3031736806024103E-4</v>
      </c>
    </row>
    <row r="435" spans="3:21" x14ac:dyDescent="0.2">
      <c r="C435" s="5">
        <v>45002</v>
      </c>
      <c r="D435" s="6">
        <v>1.0023299999999999</v>
      </c>
      <c r="E435" s="6">
        <v>27382.2</v>
      </c>
      <c r="F435" s="6">
        <v>27501.95</v>
      </c>
      <c r="G435" s="6">
        <v>27460</v>
      </c>
      <c r="H435" s="6">
        <v>27387.69</v>
      </c>
      <c r="I435" s="5">
        <v>45002</v>
      </c>
      <c r="J435" s="7">
        <f t="shared" si="38"/>
        <v>-2.004550219459167E-4</v>
      </c>
      <c r="K435" s="5">
        <v>45002</v>
      </c>
      <c r="L435" s="8">
        <f t="shared" si="39"/>
        <v>1.5276766205389923E-3</v>
      </c>
      <c r="M435" s="5">
        <v>45002</v>
      </c>
      <c r="N435" s="9">
        <f t="shared" si="36"/>
        <v>1.3272215985930757E-3</v>
      </c>
      <c r="O435" s="5">
        <v>45002</v>
      </c>
      <c r="P435">
        <f t="shared" si="37"/>
        <v>0.99736671522214115</v>
      </c>
      <c r="Q435" s="6">
        <f t="shared" si="40"/>
        <v>0.99767541628006751</v>
      </c>
      <c r="R435">
        <f t="shared" si="41"/>
        <v>-3.094682117391261E-4</v>
      </c>
      <c r="T435" s="5">
        <v>45002</v>
      </c>
      <c r="U435" s="1">
        <v>-3.094682117391261E-4</v>
      </c>
    </row>
    <row r="436" spans="3:21" x14ac:dyDescent="0.2">
      <c r="C436" s="5">
        <v>45003</v>
      </c>
      <c r="D436" s="6">
        <v>1.00284</v>
      </c>
      <c r="E436" s="6">
        <v>26898.2</v>
      </c>
      <c r="F436" s="6">
        <v>27058.14</v>
      </c>
      <c r="G436" s="6">
        <v>26987.5</v>
      </c>
      <c r="H436" s="6">
        <v>26902.45</v>
      </c>
      <c r="I436" s="5">
        <v>45003</v>
      </c>
      <c r="J436" s="7">
        <f t="shared" si="38"/>
        <v>-1.5797817670881275E-4</v>
      </c>
      <c r="K436" s="5">
        <v>45003</v>
      </c>
      <c r="L436" s="8">
        <f t="shared" si="39"/>
        <v>2.6175081056044251E-3</v>
      </c>
      <c r="M436" s="5">
        <v>45003</v>
      </c>
      <c r="N436" s="9">
        <f t="shared" si="36"/>
        <v>2.4595299288956126E-3</v>
      </c>
      <c r="O436" s="5">
        <v>45003</v>
      </c>
      <c r="P436">
        <f t="shared" si="37"/>
        <v>0.99684854099119968</v>
      </c>
      <c r="Q436" s="6">
        <f t="shared" si="40"/>
        <v>0.99716804275856574</v>
      </c>
      <c r="R436">
        <f t="shared" si="41"/>
        <v>-3.2046049436512274E-4</v>
      </c>
      <c r="T436" s="5">
        <v>45003</v>
      </c>
      <c r="U436" s="1">
        <v>-3.2046049436512274E-4</v>
      </c>
    </row>
    <row r="437" spans="3:21" x14ac:dyDescent="0.2">
      <c r="C437" s="5">
        <v>45004</v>
      </c>
      <c r="D437" s="6">
        <v>1.0030699999999999</v>
      </c>
      <c r="E437" s="6">
        <v>27962.1</v>
      </c>
      <c r="F437" s="6">
        <v>28275.23</v>
      </c>
      <c r="G437" s="6">
        <v>28048</v>
      </c>
      <c r="H437" s="6">
        <v>27964.68</v>
      </c>
      <c r="I437" s="5">
        <v>45004</v>
      </c>
      <c r="J437" s="7">
        <f t="shared" si="38"/>
        <v>-9.2259235578656584E-5</v>
      </c>
      <c r="K437" s="5">
        <v>45004</v>
      </c>
      <c r="L437" s="8">
        <f t="shared" si="39"/>
        <v>8.1014689104392315E-3</v>
      </c>
      <c r="M437" s="5">
        <v>45004</v>
      </c>
      <c r="N437" s="9">
        <f t="shared" si="36"/>
        <v>8.0092096748605752E-3</v>
      </c>
      <c r="O437" s="5">
        <v>45004</v>
      </c>
      <c r="P437">
        <f t="shared" si="37"/>
        <v>0.9970293782087849</v>
      </c>
      <c r="Q437" s="6">
        <f t="shared" si="40"/>
        <v>0.99693939605411397</v>
      </c>
      <c r="R437">
        <f t="shared" si="41"/>
        <v>9.0254326841563857E-5</v>
      </c>
      <c r="T437" s="5">
        <v>45004</v>
      </c>
      <c r="U437" s="1">
        <v>9.0254326841563857E-5</v>
      </c>
    </row>
    <row r="438" spans="3:21" x14ac:dyDescent="0.2">
      <c r="C438" s="5">
        <v>45005</v>
      </c>
      <c r="D438" s="6">
        <v>1.00369</v>
      </c>
      <c r="E438" s="6">
        <v>27703.599999999999</v>
      </c>
      <c r="F438" s="6">
        <v>27956.82</v>
      </c>
      <c r="G438" s="6">
        <v>27805</v>
      </c>
      <c r="H438" s="6">
        <v>27720.49</v>
      </c>
      <c r="I438" s="5">
        <v>45005</v>
      </c>
      <c r="J438" s="7">
        <f t="shared" si="38"/>
        <v>-6.0929658891322109E-4</v>
      </c>
      <c r="K438" s="5">
        <v>45005</v>
      </c>
      <c r="L438" s="8">
        <f t="shared" si="39"/>
        <v>5.4601690343463304E-3</v>
      </c>
      <c r="M438" s="5">
        <v>45005</v>
      </c>
      <c r="N438" s="9">
        <f t="shared" si="36"/>
        <v>4.8508724454331097E-3</v>
      </c>
      <c r="O438" s="5">
        <v>45005</v>
      </c>
      <c r="P438">
        <f t="shared" si="37"/>
        <v>0.99696061859377827</v>
      </c>
      <c r="Q438" s="6">
        <f t="shared" si="40"/>
        <v>0.99632356604130756</v>
      </c>
      <c r="R438">
        <f t="shared" si="41"/>
        <v>6.391989452096767E-4</v>
      </c>
      <c r="T438" s="5">
        <v>45005</v>
      </c>
      <c r="U438" s="1">
        <v>6.391989452096767E-4</v>
      </c>
    </row>
    <row r="439" spans="3:21" x14ac:dyDescent="0.2">
      <c r="C439" s="5">
        <v>45006</v>
      </c>
      <c r="D439" s="6">
        <v>1.0027900000000001</v>
      </c>
      <c r="E439" s="6">
        <v>28090</v>
      </c>
      <c r="F439" s="6">
        <v>28358.59</v>
      </c>
      <c r="G439" s="6">
        <v>28168.5</v>
      </c>
      <c r="H439" s="6">
        <v>28104.57</v>
      </c>
      <c r="I439" s="5">
        <v>45006</v>
      </c>
      <c r="J439" s="7">
        <f t="shared" si="38"/>
        <v>-5.1842102547734086E-4</v>
      </c>
      <c r="K439" s="5">
        <v>45006</v>
      </c>
      <c r="L439" s="8">
        <f t="shared" si="39"/>
        <v>6.748318156806367E-3</v>
      </c>
      <c r="M439" s="5">
        <v>45006</v>
      </c>
      <c r="N439" s="9">
        <f t="shared" si="36"/>
        <v>6.2298971313290265E-3</v>
      </c>
      <c r="O439" s="5">
        <v>45006</v>
      </c>
      <c r="P439">
        <f t="shared" si="37"/>
        <v>0.99773044358059526</v>
      </c>
      <c r="Q439" s="6">
        <f t="shared" si="40"/>
        <v>0.99721776244278459</v>
      </c>
      <c r="R439">
        <f t="shared" si="41"/>
        <v>5.1397940813628336E-4</v>
      </c>
      <c r="T439" s="5">
        <v>45006</v>
      </c>
      <c r="U439" s="1">
        <v>5.1397940813628336E-4</v>
      </c>
    </row>
    <row r="440" spans="3:21" x14ac:dyDescent="0.2">
      <c r="C440" s="5">
        <v>45007</v>
      </c>
      <c r="D440" s="6">
        <v>1.00258</v>
      </c>
      <c r="E440" s="6">
        <v>27233.8</v>
      </c>
      <c r="F440" s="6">
        <v>27544.71</v>
      </c>
      <c r="G440" s="6">
        <v>27300</v>
      </c>
      <c r="H440" s="6">
        <v>27247.89</v>
      </c>
      <c r="I440" s="5">
        <v>45007</v>
      </c>
      <c r="J440" s="7">
        <f t="shared" si="38"/>
        <v>-5.1710426018308742E-4</v>
      </c>
      <c r="K440" s="5">
        <v>45007</v>
      </c>
      <c r="L440" s="8">
        <f t="shared" si="39"/>
        <v>8.9637362637362324E-3</v>
      </c>
      <c r="M440" s="5">
        <v>45007</v>
      </c>
      <c r="N440" s="9">
        <f t="shared" si="36"/>
        <v>8.4466320035531447E-3</v>
      </c>
      <c r="O440" s="5">
        <v>45007</v>
      </c>
      <c r="P440">
        <f t="shared" si="37"/>
        <v>0.99809120879120872</v>
      </c>
      <c r="Q440" s="6">
        <f t="shared" si="40"/>
        <v>0.99742663927068165</v>
      </c>
      <c r="R440">
        <f t="shared" si="41"/>
        <v>6.6606224117882911E-4</v>
      </c>
      <c r="T440" s="5">
        <v>45007</v>
      </c>
      <c r="U440" s="1">
        <v>6.6606224117882911E-4</v>
      </c>
    </row>
    <row r="441" spans="3:21" x14ac:dyDescent="0.2">
      <c r="C441" s="5">
        <v>45008</v>
      </c>
      <c r="D441" s="6">
        <v>1.00183</v>
      </c>
      <c r="E441" s="6">
        <v>28278</v>
      </c>
      <c r="F441" s="6">
        <v>28450.83</v>
      </c>
      <c r="G441" s="6">
        <v>28332</v>
      </c>
      <c r="H441" s="6">
        <v>28293.9</v>
      </c>
      <c r="I441" s="5">
        <v>45008</v>
      </c>
      <c r="J441" s="7">
        <f t="shared" si="38"/>
        <v>-5.619585847126573E-4</v>
      </c>
      <c r="K441" s="5">
        <v>45008</v>
      </c>
      <c r="L441" s="8">
        <f t="shared" si="39"/>
        <v>4.1941973739941319E-3</v>
      </c>
      <c r="M441" s="5">
        <v>45008</v>
      </c>
      <c r="N441" s="9">
        <f t="shared" si="36"/>
        <v>3.6322387892814747E-3</v>
      </c>
      <c r="O441" s="5">
        <v>45008</v>
      </c>
      <c r="P441">
        <f t="shared" si="37"/>
        <v>0.99865523083439234</v>
      </c>
      <c r="Q441" s="6">
        <f t="shared" si="40"/>
        <v>0.99817334278270764</v>
      </c>
      <c r="R441">
        <f t="shared" si="41"/>
        <v>4.8265341092011677E-4</v>
      </c>
      <c r="T441" s="5">
        <v>45008</v>
      </c>
      <c r="U441" s="1">
        <v>4.8265341092011677E-4</v>
      </c>
    </row>
    <row r="442" spans="3:21" x14ac:dyDescent="0.2">
      <c r="C442" s="5">
        <v>45009</v>
      </c>
      <c r="D442" s="6">
        <v>1.0012700000000001</v>
      </c>
      <c r="E442" s="6">
        <v>27437.200000000001</v>
      </c>
      <c r="F442" s="6">
        <v>27700.22</v>
      </c>
      <c r="G442" s="6">
        <v>27468</v>
      </c>
      <c r="H442" s="6">
        <v>27453.55</v>
      </c>
      <c r="I442" s="5">
        <v>45009</v>
      </c>
      <c r="J442" s="7">
        <f t="shared" si="38"/>
        <v>-5.9555139499258003E-4</v>
      </c>
      <c r="K442" s="5">
        <v>45009</v>
      </c>
      <c r="L442" s="8">
        <f t="shared" si="39"/>
        <v>8.454201252366433E-3</v>
      </c>
      <c r="M442" s="5">
        <v>45009</v>
      </c>
      <c r="N442" s="9">
        <f t="shared" si="36"/>
        <v>7.858649857373853E-3</v>
      </c>
      <c r="O442" s="5">
        <v>45009</v>
      </c>
      <c r="P442">
        <f t="shared" si="37"/>
        <v>0.99947393330420842</v>
      </c>
      <c r="Q442" s="6">
        <f t="shared" si="40"/>
        <v>0.99873161085421502</v>
      </c>
      <c r="R442">
        <f t="shared" si="41"/>
        <v>7.429891147209015E-4</v>
      </c>
      <c r="T442" s="5">
        <v>45009</v>
      </c>
      <c r="U442" s="1">
        <v>7.429891147209015E-4</v>
      </c>
    </row>
    <row r="443" spans="3:21" x14ac:dyDescent="0.2">
      <c r="C443" s="5">
        <v>45010</v>
      </c>
      <c r="D443" s="6">
        <v>1.00101</v>
      </c>
      <c r="E443" s="6">
        <v>27444.9</v>
      </c>
      <c r="F443" s="6">
        <v>27687.9</v>
      </c>
      <c r="G443" s="6">
        <v>27479.5</v>
      </c>
      <c r="H443" s="6">
        <v>27459.9</v>
      </c>
      <c r="I443" s="5">
        <v>45010</v>
      </c>
      <c r="J443" s="7">
        <f t="shared" si="38"/>
        <v>-5.4625107884588066E-4</v>
      </c>
      <c r="K443" s="5">
        <v>45010</v>
      </c>
      <c r="L443" s="8">
        <f t="shared" si="39"/>
        <v>7.5838352226205519E-3</v>
      </c>
      <c r="M443" s="5">
        <v>45010</v>
      </c>
      <c r="N443" s="9">
        <f t="shared" si="36"/>
        <v>7.0375841437746714E-3</v>
      </c>
      <c r="O443" s="5">
        <v>45010</v>
      </c>
      <c r="P443">
        <f t="shared" si="37"/>
        <v>0.99928674102512793</v>
      </c>
      <c r="Q443" s="6">
        <f t="shared" si="40"/>
        <v>0.99899101907073862</v>
      </c>
      <c r="R443">
        <f t="shared" si="41"/>
        <v>2.9597682810007418E-4</v>
      </c>
      <c r="T443" s="5">
        <v>45010</v>
      </c>
      <c r="U443" s="1">
        <v>2.9597682810007418E-4</v>
      </c>
    </row>
    <row r="444" spans="3:21" x14ac:dyDescent="0.2">
      <c r="C444" s="5">
        <v>45011</v>
      </c>
      <c r="D444" s="6">
        <v>1.0009300000000001</v>
      </c>
      <c r="E444" s="6">
        <v>27951.599999999999</v>
      </c>
      <c r="F444" s="6">
        <v>28102.6</v>
      </c>
      <c r="G444" s="6">
        <v>27984.5</v>
      </c>
      <c r="H444" s="6">
        <v>27970.73</v>
      </c>
      <c r="I444" s="5">
        <v>45011</v>
      </c>
      <c r="J444" s="7">
        <f t="shared" si="38"/>
        <v>-6.8392923602641109E-4</v>
      </c>
      <c r="K444" s="5">
        <v>45011</v>
      </c>
      <c r="L444" s="8">
        <f t="shared" si="39"/>
        <v>4.2201933213028122E-3</v>
      </c>
      <c r="M444" s="5">
        <v>45011</v>
      </c>
      <c r="N444" s="9">
        <f t="shared" si="36"/>
        <v>3.5362640852764013E-3</v>
      </c>
      <c r="O444" s="5">
        <v>45011</v>
      </c>
      <c r="P444">
        <f t="shared" si="37"/>
        <v>0.9995079418964069</v>
      </c>
      <c r="Q444" s="6">
        <f t="shared" si="40"/>
        <v>0.99907086409639023</v>
      </c>
      <c r="R444">
        <f t="shared" si="41"/>
        <v>4.3738861402325822E-4</v>
      </c>
      <c r="T444" s="5">
        <v>45011</v>
      </c>
      <c r="U444" s="1">
        <v>4.3738861402325822E-4</v>
      </c>
    </row>
    <row r="445" spans="3:21" x14ac:dyDescent="0.2">
      <c r="C445" s="5">
        <v>45012</v>
      </c>
      <c r="D445" s="6">
        <v>1.00038</v>
      </c>
      <c r="E445" s="6">
        <v>27108.3</v>
      </c>
      <c r="F445" s="6">
        <v>27303.33</v>
      </c>
      <c r="G445" s="6">
        <v>27115</v>
      </c>
      <c r="H445" s="6">
        <v>27123.67</v>
      </c>
      <c r="I445" s="5">
        <v>45012</v>
      </c>
      <c r="J445" s="7">
        <f t="shared" si="38"/>
        <v>-5.6666372950264408E-4</v>
      </c>
      <c r="K445" s="5">
        <v>45012</v>
      </c>
      <c r="L445" s="8">
        <f t="shared" si="39"/>
        <v>6.9456020652775858E-3</v>
      </c>
      <c r="M445" s="5">
        <v>45012</v>
      </c>
      <c r="N445" s="9">
        <f t="shared" si="36"/>
        <v>6.3789383357749415E-3</v>
      </c>
      <c r="O445" s="5">
        <v>45012</v>
      </c>
      <c r="P445">
        <f t="shared" si="37"/>
        <v>1.000319749216301</v>
      </c>
      <c r="Q445" s="6">
        <f t="shared" si="40"/>
        <v>0.99962014434514879</v>
      </c>
      <c r="R445">
        <f t="shared" si="41"/>
        <v>6.9962592570029631E-4</v>
      </c>
      <c r="T445" s="5">
        <v>45012</v>
      </c>
      <c r="U445" s="1">
        <v>6.9962592570029631E-4</v>
      </c>
    </row>
    <row r="446" spans="3:21" x14ac:dyDescent="0.2">
      <c r="C446" s="5">
        <v>45013</v>
      </c>
      <c r="D446" s="6">
        <v>1.0007999999999999</v>
      </c>
      <c r="E446" s="6">
        <v>27243.5</v>
      </c>
      <c r="F446" s="6">
        <v>27301.96</v>
      </c>
      <c r="G446" s="6">
        <v>27254</v>
      </c>
      <c r="H446" s="6">
        <v>27262</v>
      </c>
      <c r="I446" s="5">
        <v>45013</v>
      </c>
      <c r="J446" s="7">
        <f t="shared" si="38"/>
        <v>-6.7860024943144307E-4</v>
      </c>
      <c r="K446" s="5">
        <v>45013</v>
      </c>
      <c r="L446" s="8">
        <f t="shared" si="39"/>
        <v>1.7597416892932826E-3</v>
      </c>
      <c r="M446" s="5">
        <v>45013</v>
      </c>
      <c r="N446" s="9">
        <f t="shared" si="36"/>
        <v>1.0811414398618395E-3</v>
      </c>
      <c r="O446" s="5">
        <v>45013</v>
      </c>
      <c r="P446">
        <f t="shared" si="37"/>
        <v>1.0002935348939606</v>
      </c>
      <c r="Q446" s="6">
        <f t="shared" si="40"/>
        <v>0.99920063948840931</v>
      </c>
      <c r="R446">
        <f t="shared" si="41"/>
        <v>1.0931719915864932E-3</v>
      </c>
      <c r="T446" s="5">
        <v>45013</v>
      </c>
      <c r="U446" s="1">
        <v>1.0931719915864932E-3</v>
      </c>
    </row>
    <row r="447" spans="3:21" x14ac:dyDescent="0.2">
      <c r="C447" s="5">
        <v>45014</v>
      </c>
      <c r="D447" s="6">
        <v>1.0002500000000001</v>
      </c>
      <c r="E447" s="6">
        <v>28330</v>
      </c>
      <c r="F447" s="6">
        <v>28394.9</v>
      </c>
      <c r="G447" s="6">
        <v>28338</v>
      </c>
      <c r="H447" s="6">
        <v>28349.07</v>
      </c>
      <c r="I447" s="5">
        <v>45014</v>
      </c>
      <c r="J447" s="7">
        <f t="shared" si="38"/>
        <v>-6.7268520625190554E-4</v>
      </c>
      <c r="K447" s="5">
        <v>45014</v>
      </c>
      <c r="L447" s="8">
        <f t="shared" si="39"/>
        <v>2.0079045804220993E-3</v>
      </c>
      <c r="M447" s="5">
        <v>45014</v>
      </c>
      <c r="N447" s="9">
        <f t="shared" si="36"/>
        <v>1.3352193741701939E-3</v>
      </c>
      <c r="O447" s="5">
        <v>45014</v>
      </c>
      <c r="P447">
        <f t="shared" si="37"/>
        <v>1.000390641541393</v>
      </c>
      <c r="Q447" s="6">
        <f t="shared" si="40"/>
        <v>0.99975006248437881</v>
      </c>
      <c r="R447">
        <f t="shared" si="41"/>
        <v>6.4053401605842543E-4</v>
      </c>
      <c r="T447" s="5">
        <v>45014</v>
      </c>
      <c r="U447" s="1">
        <v>6.4053401605842543E-4</v>
      </c>
    </row>
    <row r="448" spans="3:21" x14ac:dyDescent="0.2">
      <c r="C448" s="5">
        <v>45015</v>
      </c>
      <c r="D448" s="6">
        <v>1.0004</v>
      </c>
      <c r="E448" s="6">
        <v>28008.1</v>
      </c>
      <c r="F448" s="6">
        <v>28131.03</v>
      </c>
      <c r="G448" s="6">
        <v>28028.5</v>
      </c>
      <c r="H448" s="6">
        <v>28028.47</v>
      </c>
      <c r="I448" s="5">
        <v>45015</v>
      </c>
      <c r="J448" s="7">
        <f t="shared" si="38"/>
        <v>-7.2676103975716905E-4</v>
      </c>
      <c r="K448" s="5">
        <v>45015</v>
      </c>
      <c r="L448" s="8">
        <f t="shared" si="39"/>
        <v>3.6580623294146615E-3</v>
      </c>
      <c r="M448" s="5">
        <v>45015</v>
      </c>
      <c r="N448" s="9">
        <f t="shared" si="36"/>
        <v>2.9313012896574923E-3</v>
      </c>
      <c r="O448" s="5">
        <v>45015</v>
      </c>
      <c r="P448">
        <f t="shared" si="37"/>
        <v>0.999998929660881</v>
      </c>
      <c r="Q448" s="6">
        <f t="shared" si="40"/>
        <v>0.99960015993602558</v>
      </c>
      <c r="R448">
        <f t="shared" si="41"/>
        <v>3.9884968163508502E-4</v>
      </c>
      <c r="T448" s="5">
        <v>45015</v>
      </c>
      <c r="U448" s="1">
        <v>3.9884968163508502E-4</v>
      </c>
    </row>
    <row r="449" spans="3:21" x14ac:dyDescent="0.2">
      <c r="C449" s="5">
        <v>45016</v>
      </c>
      <c r="D449" s="6">
        <v>1.00024</v>
      </c>
      <c r="E449" s="6">
        <v>28452.1</v>
      </c>
      <c r="F449" s="6">
        <v>28539.72</v>
      </c>
      <c r="G449" s="6">
        <v>28465.5</v>
      </c>
      <c r="H449" s="6">
        <v>28466.639999999999</v>
      </c>
      <c r="I449" s="5">
        <v>45016</v>
      </c>
      <c r="J449" s="7">
        <f t="shared" si="38"/>
        <v>-5.1077331219985479E-4</v>
      </c>
      <c r="K449" s="5">
        <v>45016</v>
      </c>
      <c r="L449" s="8">
        <f t="shared" si="39"/>
        <v>2.6073668124572259E-3</v>
      </c>
      <c r="M449" s="5">
        <v>45016</v>
      </c>
      <c r="N449" s="9">
        <f t="shared" si="36"/>
        <v>2.096593500257371E-3</v>
      </c>
      <c r="O449" s="5">
        <v>45016</v>
      </c>
      <c r="P449">
        <f t="shared" si="37"/>
        <v>1.0000400484797387</v>
      </c>
      <c r="Q449" s="6">
        <f t="shared" si="40"/>
        <v>0.99976005758617925</v>
      </c>
      <c r="R449">
        <f t="shared" si="41"/>
        <v>2.8001888242707048E-4</v>
      </c>
      <c r="T449" s="5">
        <v>45016</v>
      </c>
      <c r="U449" s="1">
        <v>2.8001888242707048E-4</v>
      </c>
    </row>
    <row r="450" spans="3:21" x14ac:dyDescent="0.2">
      <c r="C450" s="5">
        <v>45017</v>
      </c>
      <c r="D450" s="6">
        <v>1.0005200000000001</v>
      </c>
      <c r="E450" s="6">
        <v>28435.1</v>
      </c>
      <c r="F450" s="6">
        <v>28521.23</v>
      </c>
      <c r="G450" s="6">
        <v>28437.5</v>
      </c>
      <c r="H450" s="6">
        <v>28455.06</v>
      </c>
      <c r="I450" s="5">
        <v>45017</v>
      </c>
      <c r="J450" s="7">
        <f t="shared" si="38"/>
        <v>-7.0145696406905358E-4</v>
      </c>
      <c r="K450" s="5">
        <v>45017</v>
      </c>
      <c r="L450" s="8">
        <f t="shared" si="39"/>
        <v>2.9443516483516328E-3</v>
      </c>
      <c r="M450" s="5">
        <v>45017</v>
      </c>
      <c r="N450" s="9">
        <f t="shared" si="36"/>
        <v>2.242894684282579E-3</v>
      </c>
      <c r="O450" s="5">
        <v>45017</v>
      </c>
      <c r="P450">
        <f t="shared" si="37"/>
        <v>1.0006174945054946</v>
      </c>
      <c r="Q450" s="6">
        <f t="shared" si="40"/>
        <v>0.99948027025946495</v>
      </c>
      <c r="R450">
        <f t="shared" si="41"/>
        <v>1.1371687810607515E-3</v>
      </c>
      <c r="T450" s="5">
        <v>45017</v>
      </c>
      <c r="U450" s="1">
        <v>1.1371687810607515E-3</v>
      </c>
    </row>
    <row r="451" spans="3:21" x14ac:dyDescent="0.2">
      <c r="C451" s="5">
        <v>45018</v>
      </c>
      <c r="D451" s="6">
        <v>1.00041</v>
      </c>
      <c r="E451" s="6">
        <v>28155.9</v>
      </c>
      <c r="F451" s="6">
        <v>28284.73</v>
      </c>
      <c r="G451" s="6">
        <v>28178.5</v>
      </c>
      <c r="H451" s="6">
        <v>28170.11</v>
      </c>
      <c r="I451" s="5">
        <v>45018</v>
      </c>
      <c r="J451" s="7">
        <f t="shared" si="38"/>
        <v>-5.0443537494170693E-4</v>
      </c>
      <c r="K451" s="5">
        <v>45018</v>
      </c>
      <c r="L451" s="8">
        <f t="shared" si="39"/>
        <v>3.7698954876945034E-3</v>
      </c>
      <c r="M451" s="5">
        <v>45018</v>
      </c>
      <c r="N451" s="9">
        <f t="shared" si="36"/>
        <v>3.2654601127527962E-3</v>
      </c>
      <c r="O451" s="5">
        <v>45018</v>
      </c>
      <c r="P451">
        <f t="shared" si="37"/>
        <v>0.99970225526553935</v>
      </c>
      <c r="Q451" s="6">
        <f t="shared" si="40"/>
        <v>0.99959016803110723</v>
      </c>
      <c r="R451">
        <f t="shared" si="41"/>
        <v>1.1212690374208631E-4</v>
      </c>
      <c r="T451" s="5">
        <v>45018</v>
      </c>
      <c r="U451" s="1">
        <v>1.1212690374208631E-4</v>
      </c>
    </row>
    <row r="452" spans="3:21" x14ac:dyDescent="0.2">
      <c r="C452" s="5">
        <v>45019</v>
      </c>
      <c r="D452" s="6">
        <v>1.00038</v>
      </c>
      <c r="E452" s="6">
        <v>27788.7</v>
      </c>
      <c r="F452" s="6">
        <v>27988.61</v>
      </c>
      <c r="G452" s="6">
        <v>27798</v>
      </c>
      <c r="H452" s="6">
        <v>27805.45</v>
      </c>
      <c r="I452" s="5">
        <v>45019</v>
      </c>
      <c r="J452" s="7">
        <f t="shared" si="38"/>
        <v>-6.0239988923034874E-4</v>
      </c>
      <c r="K452" s="5">
        <v>45019</v>
      </c>
      <c r="L452" s="8">
        <f t="shared" si="39"/>
        <v>6.8569681272034168E-3</v>
      </c>
      <c r="M452" s="5">
        <v>45019</v>
      </c>
      <c r="N452" s="9">
        <f t="shared" si="36"/>
        <v>6.2545682379730677E-3</v>
      </c>
      <c r="O452" s="5">
        <v>45019</v>
      </c>
      <c r="P452">
        <f t="shared" si="37"/>
        <v>1.0002680048924384</v>
      </c>
      <c r="Q452" s="6">
        <f t="shared" si="40"/>
        <v>0.99962014434514879</v>
      </c>
      <c r="R452">
        <f t="shared" si="41"/>
        <v>6.478968038280869E-4</v>
      </c>
      <c r="T452" s="5">
        <v>45019</v>
      </c>
      <c r="U452" s="1">
        <v>6.478968038280869E-4</v>
      </c>
    </row>
    <row r="453" spans="3:21" x14ac:dyDescent="0.2">
      <c r="C453" s="5">
        <v>45020</v>
      </c>
      <c r="D453" s="6">
        <v>1.00038</v>
      </c>
      <c r="E453" s="6">
        <v>28149.7</v>
      </c>
      <c r="F453" s="6">
        <v>28265.439999999999</v>
      </c>
      <c r="G453" s="6">
        <v>28169</v>
      </c>
      <c r="H453" s="6">
        <v>28165.08</v>
      </c>
      <c r="I453" s="5">
        <v>45020</v>
      </c>
      <c r="J453" s="7">
        <f t="shared" si="38"/>
        <v>-5.4606626361441252E-4</v>
      </c>
      <c r="K453" s="5">
        <v>45020</v>
      </c>
      <c r="L453" s="8">
        <f t="shared" si="39"/>
        <v>3.4236217118108095E-3</v>
      </c>
      <c r="M453" s="5">
        <v>45020</v>
      </c>
      <c r="N453" s="9">
        <f t="shared" si="36"/>
        <v>2.8775554481963971E-3</v>
      </c>
      <c r="O453" s="5">
        <v>45020</v>
      </c>
      <c r="P453">
        <f t="shared" si="37"/>
        <v>0.99986083993042008</v>
      </c>
      <c r="Q453" s="6">
        <f t="shared" si="40"/>
        <v>0.99962014434514879</v>
      </c>
      <c r="R453">
        <f t="shared" si="41"/>
        <v>2.4075806504475473E-4</v>
      </c>
      <c r="T453" s="5">
        <v>45020</v>
      </c>
      <c r="U453" s="1">
        <v>2.4075806504475473E-4</v>
      </c>
    </row>
    <row r="454" spans="3:21" x14ac:dyDescent="0.2">
      <c r="C454" s="5">
        <v>45021</v>
      </c>
      <c r="D454" s="6">
        <v>1.00017</v>
      </c>
      <c r="E454" s="6">
        <v>28154.7</v>
      </c>
      <c r="F454" s="6">
        <v>28265.7</v>
      </c>
      <c r="G454" s="6">
        <v>28164.5</v>
      </c>
      <c r="H454" s="6">
        <v>28171.82</v>
      </c>
      <c r="I454" s="5">
        <v>45021</v>
      </c>
      <c r="J454" s="7">
        <f t="shared" si="38"/>
        <v>-6.0769946705605037E-4</v>
      </c>
      <c r="K454" s="5">
        <v>45021</v>
      </c>
      <c r="L454" s="8">
        <f t="shared" si="39"/>
        <v>3.5931758064230053E-3</v>
      </c>
      <c r="M454" s="5">
        <v>45021</v>
      </c>
      <c r="N454" s="9">
        <f t="shared" si="36"/>
        <v>2.985476339366955E-3</v>
      </c>
      <c r="O454" s="5">
        <v>45021</v>
      </c>
      <c r="P454">
        <f t="shared" si="37"/>
        <v>1.0002599016492393</v>
      </c>
      <c r="Q454" s="6">
        <f t="shared" si="40"/>
        <v>0.99983002889508787</v>
      </c>
      <c r="R454">
        <f t="shared" si="41"/>
        <v>4.2985343229398024E-4</v>
      </c>
      <c r="T454" s="5">
        <v>45021</v>
      </c>
      <c r="U454" s="1">
        <v>4.2985343229398024E-4</v>
      </c>
    </row>
    <row r="455" spans="3:21" x14ac:dyDescent="0.2">
      <c r="C455" s="5">
        <v>45022</v>
      </c>
      <c r="D455" s="6">
        <v>1.00054</v>
      </c>
      <c r="E455" s="6">
        <v>28022.1</v>
      </c>
      <c r="F455" s="6">
        <v>28158.19</v>
      </c>
      <c r="G455" s="6">
        <v>28036.5</v>
      </c>
      <c r="H455" s="6">
        <v>28035.31</v>
      </c>
      <c r="I455" s="5">
        <v>45022</v>
      </c>
      <c r="J455" s="7">
        <f t="shared" si="38"/>
        <v>-4.7119150813751528E-4</v>
      </c>
      <c r="K455" s="5">
        <v>45022</v>
      </c>
      <c r="L455" s="8">
        <f t="shared" si="39"/>
        <v>4.3404133896883948E-3</v>
      </c>
      <c r="M455" s="5">
        <v>45022</v>
      </c>
      <c r="N455" s="9">
        <f t="shared" si="36"/>
        <v>3.8692218815508795E-3</v>
      </c>
      <c r="O455" s="5">
        <v>45022</v>
      </c>
      <c r="P455">
        <f t="shared" si="37"/>
        <v>0.99995755532965969</v>
      </c>
      <c r="Q455" s="6">
        <f t="shared" si="40"/>
        <v>0.99946029144262105</v>
      </c>
      <c r="R455">
        <f t="shared" si="41"/>
        <v>4.9740868132576346E-4</v>
      </c>
      <c r="T455" s="5">
        <v>45022</v>
      </c>
      <c r="U455" s="1">
        <v>4.9740868132576346E-4</v>
      </c>
    </row>
    <row r="456" spans="3:21" x14ac:dyDescent="0.2">
      <c r="C456" s="5">
        <v>45023</v>
      </c>
      <c r="D456" s="6">
        <v>1.00064</v>
      </c>
      <c r="E456" s="6">
        <v>27884.2</v>
      </c>
      <c r="F456" s="6">
        <v>27995.71</v>
      </c>
      <c r="G456" s="6">
        <v>27905</v>
      </c>
      <c r="H456" s="6">
        <v>27903.08</v>
      </c>
      <c r="I456" s="5">
        <v>45023</v>
      </c>
      <c r="J456" s="7">
        <f t="shared" si="38"/>
        <v>-6.7662781313034318E-4</v>
      </c>
      <c r="K456" s="5">
        <v>45023</v>
      </c>
      <c r="L456" s="8">
        <f t="shared" si="39"/>
        <v>3.2506719225944857E-3</v>
      </c>
      <c r="M456" s="5">
        <v>45023</v>
      </c>
      <c r="N456" s="9">
        <f t="shared" ref="N456:N519" si="42">J456+L456</f>
        <v>2.5740441094641428E-3</v>
      </c>
      <c r="O456" s="5">
        <v>45023</v>
      </c>
      <c r="P456">
        <f t="shared" ref="P456:P519" si="43">(1/G456)*H456</f>
        <v>0.99993119512632156</v>
      </c>
      <c r="Q456" s="6">
        <f t="shared" si="40"/>
        <v>0.99936040933802373</v>
      </c>
      <c r="R456">
        <f t="shared" si="41"/>
        <v>5.7098804649697828E-4</v>
      </c>
      <c r="T456" s="5">
        <v>45023</v>
      </c>
      <c r="U456" s="1">
        <v>5.7098804649697828E-4</v>
      </c>
    </row>
    <row r="457" spans="3:21" x14ac:dyDescent="0.2">
      <c r="C457" s="5">
        <v>45024</v>
      </c>
      <c r="D457" s="6">
        <v>1.00074</v>
      </c>
      <c r="E457" s="6">
        <v>27929.7</v>
      </c>
      <c r="F457" s="6">
        <v>28007.84</v>
      </c>
      <c r="G457" s="6">
        <v>27943</v>
      </c>
      <c r="H457" s="6">
        <v>27943.39</v>
      </c>
      <c r="I457" s="5">
        <v>45024</v>
      </c>
      <c r="J457" s="7">
        <f t="shared" ref="J457:J520" si="44">(E457-H457)/H457</f>
        <v>-4.8991908283134899E-4</v>
      </c>
      <c r="K457" s="5">
        <v>45024</v>
      </c>
      <c r="L457" s="8">
        <f t="shared" ref="L457:L520" si="45">(F457-G457)/G457</f>
        <v>2.3204380345703806E-3</v>
      </c>
      <c r="M457" s="5">
        <v>45024</v>
      </c>
      <c r="N457" s="9">
        <f t="shared" si="42"/>
        <v>1.8305189517390315E-3</v>
      </c>
      <c r="O457" s="5">
        <v>45024</v>
      </c>
      <c r="P457">
        <f t="shared" si="43"/>
        <v>1.00001395698386</v>
      </c>
      <c r="Q457" s="6">
        <f t="shared" ref="Q457:Q520" si="46">1/D457</f>
        <v>0.99926054719507573</v>
      </c>
      <c r="R457">
        <f t="shared" ref="R457:R520" si="47">LN(P457/Q457)</f>
        <v>7.536832214619318E-4</v>
      </c>
      <c r="T457" s="5">
        <v>45024</v>
      </c>
      <c r="U457" s="1">
        <v>7.536832214619318E-4</v>
      </c>
    </row>
    <row r="458" spans="3:21" x14ac:dyDescent="0.2">
      <c r="C458" s="5">
        <v>45025</v>
      </c>
      <c r="D458" s="6">
        <v>1.0007299999999999</v>
      </c>
      <c r="E458" s="6">
        <v>28309.7</v>
      </c>
      <c r="F458" s="6">
        <v>28393.599999999999</v>
      </c>
      <c r="G458" s="6">
        <v>28319</v>
      </c>
      <c r="H458" s="6">
        <v>28320</v>
      </c>
      <c r="I458" s="5">
        <v>45025</v>
      </c>
      <c r="J458" s="7">
        <f t="shared" si="44"/>
        <v>-3.6370056497172571E-4</v>
      </c>
      <c r="K458" s="5">
        <v>45025</v>
      </c>
      <c r="L458" s="8">
        <f t="shared" si="45"/>
        <v>2.6342738091033775E-3</v>
      </c>
      <c r="M458" s="5">
        <v>45025</v>
      </c>
      <c r="N458" s="9">
        <f t="shared" si="42"/>
        <v>2.2705732441316516E-3</v>
      </c>
      <c r="O458" s="5">
        <v>45025</v>
      </c>
      <c r="P458">
        <f t="shared" si="43"/>
        <v>1.0000353119813554</v>
      </c>
      <c r="Q458" s="6">
        <f t="shared" si="46"/>
        <v>0.99927053251126685</v>
      </c>
      <c r="R458">
        <f t="shared" si="47"/>
        <v>7.65045037503356E-4</v>
      </c>
      <c r="T458" s="5">
        <v>45025</v>
      </c>
      <c r="U458" s="1">
        <v>7.65045037503356E-4</v>
      </c>
    </row>
    <row r="459" spans="3:21" x14ac:dyDescent="0.2">
      <c r="C459" s="5">
        <v>45026</v>
      </c>
      <c r="D459" s="6">
        <v>1.0007600000000001</v>
      </c>
      <c r="E459" s="6">
        <v>29628.1</v>
      </c>
      <c r="F459" s="6">
        <v>29638.01</v>
      </c>
      <c r="G459" s="6">
        <v>29658.5</v>
      </c>
      <c r="H459" s="6">
        <v>29639.200000000001</v>
      </c>
      <c r="I459" s="5">
        <v>45026</v>
      </c>
      <c r="J459" s="7">
        <f t="shared" si="44"/>
        <v>-3.7450403519670515E-4</v>
      </c>
      <c r="K459" s="5">
        <v>45026</v>
      </c>
      <c r="L459" s="8">
        <f t="shared" si="45"/>
        <v>-6.9086433905968269E-4</v>
      </c>
      <c r="M459" s="5">
        <v>45026</v>
      </c>
      <c r="N459" s="9">
        <f t="shared" si="42"/>
        <v>-1.0653683742563877E-3</v>
      </c>
      <c r="O459" s="5">
        <v>45026</v>
      </c>
      <c r="P459">
        <f t="shared" si="43"/>
        <v>0.99934925906569794</v>
      </c>
      <c r="Q459" s="6">
        <f t="shared" si="46"/>
        <v>0.99924057716135728</v>
      </c>
      <c r="R459">
        <f t="shared" si="47"/>
        <v>1.08758588158237E-4</v>
      </c>
      <c r="T459" s="5">
        <v>45026</v>
      </c>
      <c r="U459" s="1">
        <v>1.08758588158237E-4</v>
      </c>
    </row>
    <row r="460" spans="3:21" x14ac:dyDescent="0.2">
      <c r="C460" s="5">
        <v>45027</v>
      </c>
      <c r="D460" s="6">
        <v>1.0009600000000001</v>
      </c>
      <c r="E460" s="6">
        <v>30179</v>
      </c>
      <c r="F460" s="6">
        <v>30337.83</v>
      </c>
      <c r="G460" s="6">
        <v>30226</v>
      </c>
      <c r="H460" s="6">
        <v>30201.23</v>
      </c>
      <c r="I460" s="5">
        <v>45027</v>
      </c>
      <c r="J460" s="7">
        <f t="shared" si="44"/>
        <v>-7.3606273651767042E-4</v>
      </c>
      <c r="K460" s="5">
        <v>45027</v>
      </c>
      <c r="L460" s="8">
        <f t="shared" si="45"/>
        <v>3.6997948785814118E-3</v>
      </c>
      <c r="M460" s="5">
        <v>45027</v>
      </c>
      <c r="N460" s="9">
        <f t="shared" si="42"/>
        <v>2.9637321420637412E-3</v>
      </c>
      <c r="O460" s="5">
        <v>45027</v>
      </c>
      <c r="P460">
        <f t="shared" si="43"/>
        <v>0.99918050684840853</v>
      </c>
      <c r="Q460" s="6">
        <f t="shared" si="46"/>
        <v>0.9990409207161125</v>
      </c>
      <c r="R460">
        <f t="shared" si="47"/>
        <v>1.3971037503412726E-4</v>
      </c>
      <c r="T460" s="5">
        <v>45027</v>
      </c>
      <c r="U460" s="1">
        <v>1.3971037503412726E-4</v>
      </c>
    </row>
    <row r="461" spans="3:21" x14ac:dyDescent="0.2">
      <c r="C461" s="5">
        <v>45028</v>
      </c>
      <c r="D461" s="6">
        <v>1.0004999999999999</v>
      </c>
      <c r="E461" s="6">
        <v>29871</v>
      </c>
      <c r="F461" s="6">
        <v>30045.45</v>
      </c>
      <c r="G461" s="6">
        <v>29906</v>
      </c>
      <c r="H461" s="6">
        <v>29883.65</v>
      </c>
      <c r="I461" s="5">
        <v>45028</v>
      </c>
      <c r="J461" s="7">
        <f t="shared" si="44"/>
        <v>-4.2330839773593436E-4</v>
      </c>
      <c r="K461" s="5">
        <v>45028</v>
      </c>
      <c r="L461" s="8">
        <f t="shared" si="45"/>
        <v>4.6629438908580463E-3</v>
      </c>
      <c r="M461" s="5">
        <v>45028</v>
      </c>
      <c r="N461" s="9">
        <f t="shared" si="42"/>
        <v>4.239635493122112E-3</v>
      </c>
      <c r="O461" s="5">
        <v>45028</v>
      </c>
      <c r="P461">
        <f t="shared" si="43"/>
        <v>0.99925265832943222</v>
      </c>
      <c r="Q461" s="6">
        <f t="shared" si="46"/>
        <v>0.99950024987506247</v>
      </c>
      <c r="R461">
        <f t="shared" si="47"/>
        <v>-2.4774602791607757E-4</v>
      </c>
      <c r="T461" s="5">
        <v>45028</v>
      </c>
      <c r="U461" s="1">
        <v>-2.4774602791607757E-4</v>
      </c>
    </row>
    <row r="462" spans="3:21" x14ac:dyDescent="0.2">
      <c r="C462" s="5">
        <v>45029</v>
      </c>
      <c r="D462" s="6">
        <v>1.00119</v>
      </c>
      <c r="E462" s="6">
        <v>30366.2</v>
      </c>
      <c r="F462" s="6">
        <v>30532.12</v>
      </c>
      <c r="G462" s="6">
        <v>30395.5</v>
      </c>
      <c r="H462" s="6">
        <v>30374.7</v>
      </c>
      <c r="I462" s="5">
        <v>45029</v>
      </c>
      <c r="J462" s="7">
        <f t="shared" si="44"/>
        <v>-2.798381547801295E-4</v>
      </c>
      <c r="K462" s="5">
        <v>45029</v>
      </c>
      <c r="L462" s="8">
        <f t="shared" si="45"/>
        <v>4.4947442878057273E-3</v>
      </c>
      <c r="M462" s="5">
        <v>45029</v>
      </c>
      <c r="N462" s="9">
        <f t="shared" si="42"/>
        <v>4.2149061330255975E-3</v>
      </c>
      <c r="O462" s="5">
        <v>45029</v>
      </c>
      <c r="P462">
        <f t="shared" si="43"/>
        <v>0.99931568817752636</v>
      </c>
      <c r="Q462" s="6">
        <f t="shared" si="46"/>
        <v>0.99881141441684396</v>
      </c>
      <c r="R462">
        <f t="shared" si="47"/>
        <v>5.0474644053808738E-4</v>
      </c>
      <c r="T462" s="5">
        <v>45029</v>
      </c>
      <c r="U462" s="1">
        <v>5.0474644053808738E-4</v>
      </c>
    </row>
    <row r="463" spans="3:21" x14ac:dyDescent="0.2">
      <c r="C463" s="5">
        <v>45030</v>
      </c>
      <c r="D463" s="6">
        <v>1.0008900000000001</v>
      </c>
      <c r="E463" s="6">
        <v>30438.2</v>
      </c>
      <c r="F463" s="6">
        <v>30546.75</v>
      </c>
      <c r="G463" s="6">
        <v>30464.5</v>
      </c>
      <c r="H463" s="6">
        <v>30459</v>
      </c>
      <c r="I463" s="5">
        <v>45030</v>
      </c>
      <c r="J463" s="7">
        <f t="shared" si="44"/>
        <v>-6.8288518992741954E-4</v>
      </c>
      <c r="K463" s="5">
        <v>45030</v>
      </c>
      <c r="L463" s="8">
        <f t="shared" si="45"/>
        <v>2.6998637758702754E-3</v>
      </c>
      <c r="M463" s="5">
        <v>45030</v>
      </c>
      <c r="N463" s="9">
        <f t="shared" si="42"/>
        <v>2.0169785859428559E-3</v>
      </c>
      <c r="O463" s="5">
        <v>45030</v>
      </c>
      <c r="P463">
        <f t="shared" si="43"/>
        <v>0.99981946199675031</v>
      </c>
      <c r="Q463" s="6">
        <f t="shared" si="46"/>
        <v>0.99911079139565784</v>
      </c>
      <c r="R463">
        <f t="shared" si="47"/>
        <v>7.0904988263610375E-4</v>
      </c>
      <c r="T463" s="5">
        <v>45030</v>
      </c>
      <c r="U463" s="1">
        <v>7.0904988263610375E-4</v>
      </c>
    </row>
    <row r="464" spans="3:21" x14ac:dyDescent="0.2">
      <c r="C464" s="5">
        <v>45031</v>
      </c>
      <c r="D464" s="6">
        <v>1.0009600000000001</v>
      </c>
      <c r="E464" s="6">
        <v>30293.7</v>
      </c>
      <c r="F464" s="6">
        <v>30418.21</v>
      </c>
      <c r="G464" s="6">
        <v>30321.5</v>
      </c>
      <c r="H464" s="6">
        <v>30293.71</v>
      </c>
      <c r="I464" s="5">
        <v>45031</v>
      </c>
      <c r="J464" s="7">
        <f t="shared" si="44"/>
        <v>-3.3010152927453551E-7</v>
      </c>
      <c r="K464" s="5">
        <v>45031</v>
      </c>
      <c r="L464" s="8">
        <f t="shared" si="45"/>
        <v>3.1894860082779257E-3</v>
      </c>
      <c r="M464" s="5">
        <v>45031</v>
      </c>
      <c r="N464" s="9">
        <f t="shared" si="42"/>
        <v>3.1891559067486514E-3</v>
      </c>
      <c r="O464" s="5">
        <v>45031</v>
      </c>
      <c r="P464">
        <f t="shared" si="43"/>
        <v>0.99908348861369001</v>
      </c>
      <c r="Q464" s="6">
        <f t="shared" si="46"/>
        <v>0.9990409207161125</v>
      </c>
      <c r="R464">
        <f t="shared" si="47"/>
        <v>4.2607855031641417E-5</v>
      </c>
      <c r="T464" s="5">
        <v>45031</v>
      </c>
      <c r="U464" s="1">
        <v>4.2607855031641417E-5</v>
      </c>
    </row>
    <row r="465" spans="3:21" x14ac:dyDescent="0.2">
      <c r="C465" s="5">
        <v>45032</v>
      </c>
      <c r="D465" s="6">
        <v>1.0008999999999999</v>
      </c>
      <c r="E465" s="6">
        <v>30295.9</v>
      </c>
      <c r="F465" s="6">
        <v>30437.97</v>
      </c>
      <c r="G465" s="6">
        <v>30313.5</v>
      </c>
      <c r="H465" s="6">
        <v>30309.89</v>
      </c>
      <c r="I465" s="5">
        <v>45032</v>
      </c>
      <c r="J465" s="7">
        <f t="shared" si="44"/>
        <v>-4.6156551541420848E-4</v>
      </c>
      <c r="K465" s="5">
        <v>45032</v>
      </c>
      <c r="L465" s="8">
        <f t="shared" si="45"/>
        <v>4.1060913454401887E-3</v>
      </c>
      <c r="M465" s="5">
        <v>45032</v>
      </c>
      <c r="N465" s="9">
        <f t="shared" si="42"/>
        <v>3.6445258300259803E-3</v>
      </c>
      <c r="O465" s="5">
        <v>45032</v>
      </c>
      <c r="P465">
        <f t="shared" si="43"/>
        <v>0.99988091114519928</v>
      </c>
      <c r="Q465" s="6">
        <f t="shared" si="46"/>
        <v>0.99910080927165557</v>
      </c>
      <c r="R465">
        <f t="shared" si="47"/>
        <v>7.8049929639466373E-4</v>
      </c>
      <c r="T465" s="5">
        <v>45032</v>
      </c>
      <c r="U465" s="1">
        <v>7.8049929639466373E-4</v>
      </c>
    </row>
    <row r="466" spans="3:21" x14ac:dyDescent="0.2">
      <c r="C466" s="5">
        <v>45033</v>
      </c>
      <c r="D466" s="6">
        <v>1.00054</v>
      </c>
      <c r="E466" s="6">
        <v>29421.8</v>
      </c>
      <c r="F466" s="6">
        <v>29501.78</v>
      </c>
      <c r="G466" s="6">
        <v>29430</v>
      </c>
      <c r="H466" s="6">
        <v>29430</v>
      </c>
      <c r="I466" s="5">
        <v>45033</v>
      </c>
      <c r="J466" s="7">
        <f t="shared" si="44"/>
        <v>-2.7862725110434005E-4</v>
      </c>
      <c r="K466" s="5">
        <v>45033</v>
      </c>
      <c r="L466" s="8">
        <f t="shared" si="45"/>
        <v>2.4390078151545645E-3</v>
      </c>
      <c r="M466" s="5">
        <v>45033</v>
      </c>
      <c r="N466" s="9">
        <f t="shared" si="42"/>
        <v>2.1603805640502244E-3</v>
      </c>
      <c r="O466" s="5">
        <v>45033</v>
      </c>
      <c r="P466">
        <f t="shared" si="43"/>
        <v>1</v>
      </c>
      <c r="Q466" s="6">
        <f t="shared" si="46"/>
        <v>0.99946029144262105</v>
      </c>
      <c r="R466">
        <f t="shared" si="47"/>
        <v>5.3985425246673652E-4</v>
      </c>
      <c r="T466" s="5">
        <v>45033</v>
      </c>
      <c r="U466" s="1">
        <v>5.3985425246673652E-4</v>
      </c>
    </row>
    <row r="467" spans="3:21" x14ac:dyDescent="0.2">
      <c r="C467" s="5">
        <v>45034</v>
      </c>
      <c r="D467" s="6">
        <v>1.00037</v>
      </c>
      <c r="E467" s="6">
        <v>30382.5</v>
      </c>
      <c r="F467" s="6">
        <v>30481.32</v>
      </c>
      <c r="G467" s="6">
        <v>30387</v>
      </c>
      <c r="H467" s="6">
        <v>30380.3</v>
      </c>
      <c r="I467" s="5">
        <v>45034</v>
      </c>
      <c r="J467" s="7">
        <f t="shared" si="44"/>
        <v>7.2415348103893899E-5</v>
      </c>
      <c r="K467" s="5">
        <v>45034</v>
      </c>
      <c r="L467" s="8">
        <f t="shared" si="45"/>
        <v>3.1039589298054995E-3</v>
      </c>
      <c r="M467" s="5">
        <v>45034</v>
      </c>
      <c r="N467" s="9">
        <f t="shared" si="42"/>
        <v>3.1763742779093935E-3</v>
      </c>
      <c r="O467" s="5">
        <v>45034</v>
      </c>
      <c r="P467">
        <f t="shared" si="43"/>
        <v>0.99977951097508799</v>
      </c>
      <c r="Q467" s="6">
        <f t="shared" si="46"/>
        <v>0.99963013684936575</v>
      </c>
      <c r="R467">
        <f t="shared" si="47"/>
        <v>1.494182306890266E-4</v>
      </c>
      <c r="T467" s="5">
        <v>45034</v>
      </c>
      <c r="U467" s="1">
        <v>1.494182306890266E-4</v>
      </c>
    </row>
    <row r="468" spans="3:21" x14ac:dyDescent="0.2">
      <c r="C468" s="5">
        <v>45035</v>
      </c>
      <c r="D468" s="6">
        <v>1.00051</v>
      </c>
      <c r="E468" s="6">
        <v>28797.1</v>
      </c>
      <c r="F468" s="6">
        <v>28924.959999999999</v>
      </c>
      <c r="G468" s="6">
        <v>28801.5</v>
      </c>
      <c r="H468" s="6">
        <v>28800</v>
      </c>
      <c r="I468" s="5">
        <v>45035</v>
      </c>
      <c r="J468" s="7">
        <f t="shared" si="44"/>
        <v>-1.0069444444449497E-4</v>
      </c>
      <c r="K468" s="5">
        <v>45035</v>
      </c>
      <c r="L468" s="8">
        <f t="shared" si="45"/>
        <v>4.2865822960609385E-3</v>
      </c>
      <c r="M468" s="5">
        <v>45035</v>
      </c>
      <c r="N468" s="9">
        <f t="shared" si="42"/>
        <v>4.1858878516164433E-3</v>
      </c>
      <c r="O468" s="5">
        <v>45035</v>
      </c>
      <c r="P468">
        <f t="shared" si="43"/>
        <v>0.99994791937919902</v>
      </c>
      <c r="Q468" s="6">
        <f t="shared" si="46"/>
        <v>0.99949025996741658</v>
      </c>
      <c r="R468">
        <f t="shared" si="47"/>
        <v>4.5778801715658728E-4</v>
      </c>
      <c r="T468" s="5">
        <v>45035</v>
      </c>
      <c r="U468" s="1">
        <v>4.5778801715658728E-4</v>
      </c>
    </row>
    <row r="469" spans="3:21" x14ac:dyDescent="0.2">
      <c r="C469" s="5">
        <v>45036</v>
      </c>
      <c r="D469" s="6">
        <v>1</v>
      </c>
      <c r="E469" s="6">
        <v>28235.599999999999</v>
      </c>
      <c r="F469" s="6">
        <v>28337.47</v>
      </c>
      <c r="G469" s="6">
        <v>28248</v>
      </c>
      <c r="H469" s="6">
        <v>28240</v>
      </c>
      <c r="I469" s="5">
        <v>45036</v>
      </c>
      <c r="J469" s="7">
        <f t="shared" si="44"/>
        <v>-1.55807365439145E-4</v>
      </c>
      <c r="K469" s="5">
        <v>45036</v>
      </c>
      <c r="L469" s="8">
        <f t="shared" si="45"/>
        <v>3.1673038799207437E-3</v>
      </c>
      <c r="M469" s="5">
        <v>45036</v>
      </c>
      <c r="N469" s="9">
        <f t="shared" si="42"/>
        <v>3.0114965144815986E-3</v>
      </c>
      <c r="O469" s="5">
        <v>45036</v>
      </c>
      <c r="P469">
        <f t="shared" si="43"/>
        <v>0.99971679410931746</v>
      </c>
      <c r="Q469" s="6">
        <f t="shared" si="46"/>
        <v>1</v>
      </c>
      <c r="R469">
        <f t="shared" si="47"/>
        <v>-2.8324600104396745E-4</v>
      </c>
      <c r="T469" s="5">
        <v>45036</v>
      </c>
      <c r="U469" s="1">
        <v>-2.8324600104396745E-4</v>
      </c>
    </row>
    <row r="470" spans="3:21" x14ac:dyDescent="0.2">
      <c r="C470" s="5">
        <v>45037</v>
      </c>
      <c r="D470" s="6">
        <v>0.99978</v>
      </c>
      <c r="E470" s="6">
        <v>27253.200000000001</v>
      </c>
      <c r="F470" s="6">
        <v>27362.38</v>
      </c>
      <c r="G470" s="6">
        <v>27249</v>
      </c>
      <c r="H470" s="6">
        <v>27260</v>
      </c>
      <c r="I470" s="5">
        <v>45037</v>
      </c>
      <c r="J470" s="7">
        <f t="shared" si="44"/>
        <v>-2.4944974321347292E-4</v>
      </c>
      <c r="K470" s="5">
        <v>45037</v>
      </c>
      <c r="L470" s="8">
        <f t="shared" si="45"/>
        <v>4.1608866380418007E-3</v>
      </c>
      <c r="M470" s="5">
        <v>45037</v>
      </c>
      <c r="N470" s="9">
        <f t="shared" si="42"/>
        <v>3.9114368948283277E-3</v>
      </c>
      <c r="O470" s="5">
        <v>45037</v>
      </c>
      <c r="P470">
        <f t="shared" si="43"/>
        <v>1.0004036845388822</v>
      </c>
      <c r="Q470" s="6">
        <f t="shared" si="46"/>
        <v>1.0002200484106503</v>
      </c>
      <c r="R470">
        <f t="shared" si="47"/>
        <v>1.8357887665047481E-4</v>
      </c>
      <c r="T470" s="5">
        <v>45037</v>
      </c>
      <c r="U470" s="1">
        <v>1.8357887665047481E-4</v>
      </c>
    </row>
    <row r="471" spans="3:21" x14ac:dyDescent="0.2">
      <c r="C471" s="5">
        <v>45038</v>
      </c>
      <c r="D471" s="6">
        <v>1.0001100000000001</v>
      </c>
      <c r="E471" s="6">
        <v>27799.200000000001</v>
      </c>
      <c r="F471" s="6">
        <v>27889.15</v>
      </c>
      <c r="G471" s="6">
        <v>27791.5</v>
      </c>
      <c r="H471" s="6">
        <v>27814.31</v>
      </c>
      <c r="I471" s="5">
        <v>45038</v>
      </c>
      <c r="J471" s="7">
        <f t="shared" si="44"/>
        <v>-5.4324554518881036E-4</v>
      </c>
      <c r="K471" s="5">
        <v>45038</v>
      </c>
      <c r="L471" s="8">
        <f t="shared" si="45"/>
        <v>3.5136642498606215E-3</v>
      </c>
      <c r="M471" s="5">
        <v>45038</v>
      </c>
      <c r="N471" s="9">
        <f t="shared" si="42"/>
        <v>2.9704187046718112E-3</v>
      </c>
      <c r="O471" s="5">
        <v>45038</v>
      </c>
      <c r="P471">
        <f t="shared" si="43"/>
        <v>1.0008207545472536</v>
      </c>
      <c r="Q471" s="6">
        <f t="shared" si="46"/>
        <v>0.99989001209866912</v>
      </c>
      <c r="R471">
        <f t="shared" si="47"/>
        <v>9.3041186286765061E-4</v>
      </c>
      <c r="T471" s="5">
        <v>45038</v>
      </c>
      <c r="U471" s="1">
        <v>9.3041186286765061E-4</v>
      </c>
    </row>
    <row r="472" spans="3:21" x14ac:dyDescent="0.2">
      <c r="C472" s="5">
        <v>45039</v>
      </c>
      <c r="D472" s="6">
        <v>1.00014</v>
      </c>
      <c r="E472" s="6">
        <v>27572.799999999999</v>
      </c>
      <c r="F472" s="6">
        <v>27682.42</v>
      </c>
      <c r="G472" s="6">
        <v>27573</v>
      </c>
      <c r="H472" s="6">
        <v>27589.68</v>
      </c>
      <c r="I472" s="5">
        <v>45039</v>
      </c>
      <c r="J472" s="7">
        <f t="shared" si="44"/>
        <v>-6.118229714879266E-4</v>
      </c>
      <c r="K472" s="5">
        <v>45039</v>
      </c>
      <c r="L472" s="8">
        <f t="shared" si="45"/>
        <v>3.9683748594639048E-3</v>
      </c>
      <c r="M472" s="5">
        <v>45039</v>
      </c>
      <c r="N472" s="9">
        <f t="shared" si="42"/>
        <v>3.3565518879759781E-3</v>
      </c>
      <c r="O472" s="5">
        <v>45039</v>
      </c>
      <c r="P472">
        <f t="shared" si="43"/>
        <v>1.0006049396148406</v>
      </c>
      <c r="Q472" s="6">
        <f t="shared" si="46"/>
        <v>0.99986001959725634</v>
      </c>
      <c r="R472">
        <f t="shared" si="47"/>
        <v>7.4474691354584543E-4</v>
      </c>
      <c r="T472" s="5">
        <v>45039</v>
      </c>
      <c r="U472" s="1">
        <v>7.4474691354584543E-4</v>
      </c>
    </row>
    <row r="473" spans="3:21" x14ac:dyDescent="0.2">
      <c r="C473" s="5">
        <v>45040</v>
      </c>
      <c r="D473" s="6">
        <v>0.99995999999999996</v>
      </c>
      <c r="E473" s="6">
        <v>27493.1</v>
      </c>
      <c r="F473" s="6">
        <v>27614.66</v>
      </c>
      <c r="G473" s="6">
        <v>27495</v>
      </c>
      <c r="H473" s="6">
        <v>27510</v>
      </c>
      <c r="I473" s="5">
        <v>45040</v>
      </c>
      <c r="J473" s="7">
        <f t="shared" si="44"/>
        <v>-6.1432206470379694E-4</v>
      </c>
      <c r="K473" s="5">
        <v>45040</v>
      </c>
      <c r="L473" s="8">
        <f t="shared" si="45"/>
        <v>4.3520640116384741E-3</v>
      </c>
      <c r="M473" s="5">
        <v>45040</v>
      </c>
      <c r="N473" s="9">
        <f t="shared" si="42"/>
        <v>3.7377419469346771E-3</v>
      </c>
      <c r="O473" s="5">
        <v>45040</v>
      </c>
      <c r="P473">
        <f t="shared" si="43"/>
        <v>1.0005455537370431</v>
      </c>
      <c r="Q473" s="6">
        <f t="shared" si="46"/>
        <v>1.0000400016000641</v>
      </c>
      <c r="R473">
        <f t="shared" si="47"/>
        <v>5.0540417668363581E-4</v>
      </c>
      <c r="T473" s="5">
        <v>45040</v>
      </c>
      <c r="U473" s="1">
        <v>5.0540417668363581E-4</v>
      </c>
    </row>
    <row r="474" spans="3:21" x14ac:dyDescent="0.2">
      <c r="C474" s="5">
        <v>45041</v>
      </c>
      <c r="D474" s="6">
        <v>0.99997999999999998</v>
      </c>
      <c r="E474" s="6">
        <v>28277.3</v>
      </c>
      <c r="F474" s="6">
        <v>28377.86</v>
      </c>
      <c r="G474" s="6">
        <v>28279</v>
      </c>
      <c r="H474" s="6">
        <v>28296.63</v>
      </c>
      <c r="I474" s="5">
        <v>45041</v>
      </c>
      <c r="J474" s="7">
        <f t="shared" si="44"/>
        <v>-6.8312021608233015E-4</v>
      </c>
      <c r="K474" s="5">
        <v>45041</v>
      </c>
      <c r="L474" s="8">
        <f t="shared" si="45"/>
        <v>3.4958803352311109E-3</v>
      </c>
      <c r="M474" s="5">
        <v>45041</v>
      </c>
      <c r="N474" s="9">
        <f t="shared" si="42"/>
        <v>2.8127601191487808E-3</v>
      </c>
      <c r="O474" s="5">
        <v>45041</v>
      </c>
      <c r="P474">
        <f t="shared" si="43"/>
        <v>1.0006234308143853</v>
      </c>
      <c r="Q474" s="6">
        <f t="shared" si="46"/>
        <v>1.0000200004000079</v>
      </c>
      <c r="R474">
        <f t="shared" si="47"/>
        <v>6.032363621235416E-4</v>
      </c>
      <c r="T474" s="5">
        <v>45041</v>
      </c>
      <c r="U474" s="1">
        <v>6.032363621235416E-4</v>
      </c>
    </row>
    <row r="475" spans="3:21" x14ac:dyDescent="0.2">
      <c r="C475" s="5">
        <v>45042</v>
      </c>
      <c r="D475" s="6">
        <v>1.0003</v>
      </c>
      <c r="E475" s="6">
        <v>28401.9</v>
      </c>
      <c r="F475" s="6">
        <v>28504.84</v>
      </c>
      <c r="G475" s="6">
        <v>28418.5</v>
      </c>
      <c r="H475" s="6">
        <v>28417.26</v>
      </c>
      <c r="I475" s="5">
        <v>45042</v>
      </c>
      <c r="J475" s="7">
        <f t="shared" si="44"/>
        <v>-5.4051657337818445E-4</v>
      </c>
      <c r="K475" s="5">
        <v>45042</v>
      </c>
      <c r="L475" s="8">
        <f t="shared" si="45"/>
        <v>3.03816176082482E-3</v>
      </c>
      <c r="M475" s="5">
        <v>45042</v>
      </c>
      <c r="N475" s="9">
        <f t="shared" si="42"/>
        <v>2.4976451874466356E-3</v>
      </c>
      <c r="O475" s="5">
        <v>45042</v>
      </c>
      <c r="P475">
        <f t="shared" si="43"/>
        <v>0.99995636645143127</v>
      </c>
      <c r="Q475" s="6">
        <f t="shared" si="46"/>
        <v>0.99970008997300808</v>
      </c>
      <c r="R475">
        <f t="shared" si="47"/>
        <v>2.5632050845821952E-4</v>
      </c>
      <c r="T475" s="5">
        <v>45042</v>
      </c>
      <c r="U475" s="1">
        <v>2.5632050845821952E-4</v>
      </c>
    </row>
    <row r="476" spans="3:21" x14ac:dyDescent="0.2">
      <c r="C476" s="5">
        <v>45043</v>
      </c>
      <c r="D476" s="6">
        <v>1.0004</v>
      </c>
      <c r="E476" s="6">
        <v>29458.2</v>
      </c>
      <c r="F476" s="6">
        <v>29537.32</v>
      </c>
      <c r="G476" s="6">
        <v>29473.5</v>
      </c>
      <c r="H476" s="6">
        <v>29475.17</v>
      </c>
      <c r="I476" s="5">
        <v>45043</v>
      </c>
      <c r="J476" s="7">
        <f t="shared" si="44"/>
        <v>-5.757388337369225E-4</v>
      </c>
      <c r="K476" s="5">
        <v>45043</v>
      </c>
      <c r="L476" s="8">
        <f t="shared" si="45"/>
        <v>2.1653349619149306E-3</v>
      </c>
      <c r="M476" s="5">
        <v>45043</v>
      </c>
      <c r="N476" s="9">
        <f t="shared" si="42"/>
        <v>1.5895961281780081E-3</v>
      </c>
      <c r="O476" s="5">
        <v>45043</v>
      </c>
      <c r="P476">
        <f t="shared" si="43"/>
        <v>1.0000566610684172</v>
      </c>
      <c r="Q476" s="6">
        <f t="shared" si="46"/>
        <v>0.99960015993602558</v>
      </c>
      <c r="R476">
        <f t="shared" si="47"/>
        <v>4.5657948456644126E-4</v>
      </c>
      <c r="T476" s="5">
        <v>45043</v>
      </c>
      <c r="U476" s="1">
        <v>4.5657948456644126E-4</v>
      </c>
    </row>
    <row r="477" spans="3:21" x14ac:dyDescent="0.2">
      <c r="C477" s="5">
        <v>45044</v>
      </c>
      <c r="D477" s="6">
        <v>1.00074</v>
      </c>
      <c r="E477" s="6">
        <v>29296.1</v>
      </c>
      <c r="F477" s="6">
        <v>29358.87</v>
      </c>
      <c r="G477" s="6">
        <v>29319</v>
      </c>
      <c r="H477" s="6">
        <v>29313.53</v>
      </c>
      <c r="I477" s="5">
        <v>45044</v>
      </c>
      <c r="J477" s="7">
        <f t="shared" si="44"/>
        <v>-5.9460597205455263E-4</v>
      </c>
      <c r="K477" s="5">
        <v>45044</v>
      </c>
      <c r="L477" s="8">
        <f t="shared" si="45"/>
        <v>1.3598690269108421E-3</v>
      </c>
      <c r="M477" s="5">
        <v>45044</v>
      </c>
      <c r="N477" s="9">
        <f t="shared" si="42"/>
        <v>7.6526305485628951E-4</v>
      </c>
      <c r="O477" s="5">
        <v>45044</v>
      </c>
      <c r="P477">
        <f t="shared" si="43"/>
        <v>0.99981343156315006</v>
      </c>
      <c r="Q477" s="6">
        <f t="shared" si="46"/>
        <v>0.99926054719507573</v>
      </c>
      <c r="R477">
        <f t="shared" si="47"/>
        <v>5.5314049209398712E-4</v>
      </c>
      <c r="T477" s="5">
        <v>45044</v>
      </c>
      <c r="U477" s="1">
        <v>5.5314049209398712E-4</v>
      </c>
    </row>
    <row r="478" spans="3:21" x14ac:dyDescent="0.2">
      <c r="C478" s="5">
        <v>45045</v>
      </c>
      <c r="D478" s="6">
        <v>1.0006699999999999</v>
      </c>
      <c r="E478" s="6">
        <v>29211.9</v>
      </c>
      <c r="F478" s="6">
        <v>29206.33</v>
      </c>
      <c r="G478" s="6">
        <v>29232.5</v>
      </c>
      <c r="H478" s="6">
        <v>29227.24</v>
      </c>
      <c r="I478" s="5">
        <v>45045</v>
      </c>
      <c r="J478" s="7">
        <f t="shared" si="44"/>
        <v>-5.2485284275902014E-4</v>
      </c>
      <c r="K478" s="5">
        <v>45045</v>
      </c>
      <c r="L478" s="8">
        <f t="shared" si="45"/>
        <v>-8.9523646626180639E-4</v>
      </c>
      <c r="M478" s="5">
        <v>45045</v>
      </c>
      <c r="N478" s="9">
        <f t="shared" si="42"/>
        <v>-1.4200893090208265E-3</v>
      </c>
      <c r="O478" s="5">
        <v>45045</v>
      </c>
      <c r="P478">
        <f t="shared" si="43"/>
        <v>0.99982006328572659</v>
      </c>
      <c r="Q478" s="6">
        <f t="shared" si="46"/>
        <v>0.99933044859943843</v>
      </c>
      <c r="R478">
        <f t="shared" si="47"/>
        <v>4.8982274537772937E-4</v>
      </c>
      <c r="T478" s="5">
        <v>45045</v>
      </c>
      <c r="U478" s="1">
        <v>4.8982274537772937E-4</v>
      </c>
    </row>
    <row r="479" spans="3:21" x14ac:dyDescent="0.2">
      <c r="C479" s="5">
        <v>45046</v>
      </c>
      <c r="D479" s="6">
        <v>1.00051</v>
      </c>
      <c r="E479" s="6">
        <v>29217</v>
      </c>
      <c r="F479" s="6">
        <v>29302.15</v>
      </c>
      <c r="G479" s="6">
        <v>29237</v>
      </c>
      <c r="H479" s="6">
        <v>29233.200000000001</v>
      </c>
      <c r="I479" s="5">
        <v>45046</v>
      </c>
      <c r="J479" s="7">
        <f t="shared" si="44"/>
        <v>-5.5416444316738257E-4</v>
      </c>
      <c r="K479" s="5">
        <v>45046</v>
      </c>
      <c r="L479" s="8">
        <f t="shared" si="45"/>
        <v>2.2283408010398283E-3</v>
      </c>
      <c r="M479" s="5">
        <v>45046</v>
      </c>
      <c r="N479" s="9">
        <f t="shared" si="42"/>
        <v>1.6741763578724457E-3</v>
      </c>
      <c r="O479" s="5">
        <v>45046</v>
      </c>
      <c r="P479">
        <f t="shared" si="43"/>
        <v>0.99987002770462097</v>
      </c>
      <c r="Q479" s="6">
        <f t="shared" si="46"/>
        <v>0.99949025996741658</v>
      </c>
      <c r="R479">
        <f t="shared" si="47"/>
        <v>3.79889251690314E-4</v>
      </c>
      <c r="T479" s="5">
        <v>45046</v>
      </c>
      <c r="U479" s="1">
        <v>3.79889251690314E-4</v>
      </c>
    </row>
    <row r="480" spans="3:21" x14ac:dyDescent="0.2">
      <c r="C480" s="5">
        <v>45047</v>
      </c>
      <c r="D480" s="6">
        <v>1.0001100000000001</v>
      </c>
      <c r="E480" s="6">
        <v>28051.200000000001</v>
      </c>
      <c r="F480" s="6">
        <v>28178.65</v>
      </c>
      <c r="G480" s="6">
        <v>28068</v>
      </c>
      <c r="H480" s="6">
        <v>28071.98</v>
      </c>
      <c r="I480" s="5">
        <v>45047</v>
      </c>
      <c r="J480" s="7">
        <f t="shared" si="44"/>
        <v>-7.4023991182662697E-4</v>
      </c>
      <c r="K480" s="5">
        <v>45047</v>
      </c>
      <c r="L480" s="8">
        <f t="shared" si="45"/>
        <v>3.9422117714123361E-3</v>
      </c>
      <c r="M480" s="5">
        <v>45047</v>
      </c>
      <c r="N480" s="9">
        <f t="shared" si="42"/>
        <v>3.2019718595857091E-3</v>
      </c>
      <c r="O480" s="5">
        <v>45047</v>
      </c>
      <c r="P480">
        <f t="shared" si="43"/>
        <v>1.0001417984893828</v>
      </c>
      <c r="Q480" s="6">
        <f t="shared" si="46"/>
        <v>0.99989001209866912</v>
      </c>
      <c r="R480">
        <f t="shared" si="47"/>
        <v>2.5178238737080181E-4</v>
      </c>
      <c r="T480" s="5">
        <v>45047</v>
      </c>
      <c r="U480" s="1">
        <v>2.5178238737080181E-4</v>
      </c>
    </row>
    <row r="481" spans="3:21" x14ac:dyDescent="0.2">
      <c r="C481" s="5">
        <v>45048</v>
      </c>
      <c r="D481" s="6">
        <v>1.0005299999999999</v>
      </c>
      <c r="E481" s="6">
        <v>28655.1</v>
      </c>
      <c r="F481" s="6">
        <v>28771.82</v>
      </c>
      <c r="G481" s="6">
        <v>28665</v>
      </c>
      <c r="H481" s="6">
        <v>28664</v>
      </c>
      <c r="I481" s="5">
        <v>45048</v>
      </c>
      <c r="J481" s="7">
        <f t="shared" si="44"/>
        <v>-3.1049399944185931E-4</v>
      </c>
      <c r="K481" s="5">
        <v>45048</v>
      </c>
      <c r="L481" s="8">
        <f t="shared" si="45"/>
        <v>3.7264957264957163E-3</v>
      </c>
      <c r="M481" s="5">
        <v>45048</v>
      </c>
      <c r="N481" s="9">
        <f t="shared" si="42"/>
        <v>3.4160017270538569E-3</v>
      </c>
      <c r="O481" s="5">
        <v>45048</v>
      </c>
      <c r="P481">
        <f t="shared" si="43"/>
        <v>0.99996511425082846</v>
      </c>
      <c r="Q481" s="6">
        <f t="shared" si="46"/>
        <v>0.99947028075120192</v>
      </c>
      <c r="R481">
        <f t="shared" si="47"/>
        <v>4.9497324191251292E-4</v>
      </c>
      <c r="T481" s="5">
        <v>45048</v>
      </c>
      <c r="U481" s="1">
        <v>4.9497324191251292E-4</v>
      </c>
    </row>
    <row r="482" spans="3:21" x14ac:dyDescent="0.2">
      <c r="C482" s="5">
        <v>45049</v>
      </c>
      <c r="D482" s="6">
        <v>1.00014</v>
      </c>
      <c r="E482" s="6">
        <v>29014</v>
      </c>
      <c r="F482" s="6">
        <v>29097.18</v>
      </c>
      <c r="G482" s="6">
        <v>29036</v>
      </c>
      <c r="H482" s="6">
        <v>29026.18</v>
      </c>
      <c r="I482" s="5">
        <v>45049</v>
      </c>
      <c r="J482" s="7">
        <f t="shared" si="44"/>
        <v>-4.1962118335930844E-4</v>
      </c>
      <c r="K482" s="5">
        <v>45049</v>
      </c>
      <c r="L482" s="8">
        <f t="shared" si="45"/>
        <v>2.1070395371263358E-3</v>
      </c>
      <c r="M482" s="5">
        <v>45049</v>
      </c>
      <c r="N482" s="9">
        <f t="shared" si="42"/>
        <v>1.6874183537670274E-3</v>
      </c>
      <c r="O482" s="5">
        <v>45049</v>
      </c>
      <c r="P482">
        <f t="shared" si="43"/>
        <v>0.99966179914588782</v>
      </c>
      <c r="Q482" s="6">
        <f t="shared" si="46"/>
        <v>0.99986001959725634</v>
      </c>
      <c r="R482">
        <f t="shared" si="47"/>
        <v>-1.9826785600412483E-4</v>
      </c>
      <c r="T482" s="5">
        <v>45049</v>
      </c>
      <c r="U482" s="1">
        <v>-1.9826785600412483E-4</v>
      </c>
    </row>
    <row r="483" spans="3:21" x14ac:dyDescent="0.2">
      <c r="C483" s="5">
        <v>45050</v>
      </c>
      <c r="D483" s="6">
        <v>1.0004500000000001</v>
      </c>
      <c r="E483" s="6">
        <v>28818.9</v>
      </c>
      <c r="F483" s="6">
        <v>28936.04</v>
      </c>
      <c r="G483" s="6">
        <v>28831</v>
      </c>
      <c r="H483" s="6">
        <v>28831.85</v>
      </c>
      <c r="I483" s="5">
        <v>45050</v>
      </c>
      <c r="J483" s="7">
        <f t="shared" si="44"/>
        <v>-4.4915605484896357E-4</v>
      </c>
      <c r="K483" s="5">
        <v>45050</v>
      </c>
      <c r="L483" s="8">
        <f t="shared" si="45"/>
        <v>3.6433006139225442E-3</v>
      </c>
      <c r="M483" s="5">
        <v>45050</v>
      </c>
      <c r="N483" s="9">
        <f t="shared" si="42"/>
        <v>3.1941445590735807E-3</v>
      </c>
      <c r="O483" s="5">
        <v>45050</v>
      </c>
      <c r="P483">
        <f t="shared" si="43"/>
        <v>1.0000294821546252</v>
      </c>
      <c r="Q483" s="6">
        <f t="shared" si="46"/>
        <v>0.9995502024089159</v>
      </c>
      <c r="R483">
        <f t="shared" si="47"/>
        <v>4.7938050039974742E-4</v>
      </c>
      <c r="T483" s="5">
        <v>45050</v>
      </c>
      <c r="U483" s="1">
        <v>4.7938050039974742E-4</v>
      </c>
    </row>
    <row r="484" spans="3:21" x14ac:dyDescent="0.2">
      <c r="C484" s="5">
        <v>45051</v>
      </c>
      <c r="D484" s="6">
        <v>1.0013000000000001</v>
      </c>
      <c r="E484" s="6">
        <v>29495.200000000001</v>
      </c>
      <c r="F484" s="6">
        <v>29482.57</v>
      </c>
      <c r="G484" s="6">
        <v>29519.5</v>
      </c>
      <c r="H484" s="6">
        <v>29506.94</v>
      </c>
      <c r="I484" s="5">
        <v>45051</v>
      </c>
      <c r="J484" s="7">
        <f t="shared" si="44"/>
        <v>-3.9787250050320243E-4</v>
      </c>
      <c r="K484" s="5">
        <v>45051</v>
      </c>
      <c r="L484" s="8">
        <f t="shared" si="45"/>
        <v>-1.2510374498213145E-3</v>
      </c>
      <c r="M484" s="5">
        <v>45051</v>
      </c>
      <c r="N484" s="9">
        <f t="shared" si="42"/>
        <v>-1.648909950324517E-3</v>
      </c>
      <c r="O484" s="5">
        <v>45051</v>
      </c>
      <c r="P484">
        <f t="shared" si="43"/>
        <v>0.99957451853859314</v>
      </c>
      <c r="Q484" s="6">
        <f t="shared" si="46"/>
        <v>0.99870168780585233</v>
      </c>
      <c r="R484">
        <f t="shared" si="47"/>
        <v>8.7358372729254513E-4</v>
      </c>
      <c r="T484" s="5">
        <v>45051</v>
      </c>
      <c r="U484" s="1">
        <v>8.7358372729254513E-4</v>
      </c>
    </row>
    <row r="485" spans="3:21" x14ac:dyDescent="0.2">
      <c r="C485" s="5">
        <v>45052</v>
      </c>
      <c r="D485" s="6">
        <v>1.0018899999999999</v>
      </c>
      <c r="E485" s="6">
        <v>28833.3</v>
      </c>
      <c r="F485" s="6">
        <v>28798.55</v>
      </c>
      <c r="G485" s="6">
        <v>28897.5</v>
      </c>
      <c r="H485" s="6">
        <v>28846.07</v>
      </c>
      <c r="I485" s="5">
        <v>45052</v>
      </c>
      <c r="J485" s="7">
        <f t="shared" si="44"/>
        <v>-4.426946200990442E-4</v>
      </c>
      <c r="K485" s="5">
        <v>45052</v>
      </c>
      <c r="L485" s="8">
        <f t="shared" si="45"/>
        <v>-3.4241716411454529E-3</v>
      </c>
      <c r="M485" s="5">
        <v>45052</v>
      </c>
      <c r="N485" s="9">
        <f t="shared" si="42"/>
        <v>-3.866866261244497E-3</v>
      </c>
      <c r="O485" s="5">
        <v>45052</v>
      </c>
      <c r="P485">
        <f t="shared" si="43"/>
        <v>0.99822026126827579</v>
      </c>
      <c r="Q485" s="6">
        <f t="shared" si="46"/>
        <v>0.99811356536146689</v>
      </c>
      <c r="R485">
        <f t="shared" si="47"/>
        <v>1.068918489355822E-4</v>
      </c>
      <c r="T485" s="5">
        <v>45052</v>
      </c>
      <c r="U485" s="1">
        <v>1.068918489355822E-4</v>
      </c>
    </row>
    <row r="486" spans="3:21" x14ac:dyDescent="0.2">
      <c r="C486" s="5">
        <v>45053</v>
      </c>
      <c r="D486" s="6">
        <v>1.0015499999999999</v>
      </c>
      <c r="E486" s="6">
        <v>28413.9</v>
      </c>
      <c r="F486" s="6">
        <v>28517.31</v>
      </c>
      <c r="G486" s="6">
        <v>28457.5</v>
      </c>
      <c r="H486" s="6">
        <v>28434.04</v>
      </c>
      <c r="I486" s="5">
        <v>45053</v>
      </c>
      <c r="J486" s="7">
        <f t="shared" si="44"/>
        <v>-7.0830596003942524E-4</v>
      </c>
      <c r="K486" s="5">
        <v>45053</v>
      </c>
      <c r="L486" s="8">
        <f t="shared" si="45"/>
        <v>2.101730650970792E-3</v>
      </c>
      <c r="M486" s="5">
        <v>45053</v>
      </c>
      <c r="N486" s="9">
        <f t="shared" si="42"/>
        <v>1.3934246909313667E-3</v>
      </c>
      <c r="O486" s="5">
        <v>45053</v>
      </c>
      <c r="P486">
        <f t="shared" si="43"/>
        <v>0.99917561275586408</v>
      </c>
      <c r="Q486" s="6">
        <f t="shared" si="46"/>
        <v>0.99845239878188818</v>
      </c>
      <c r="R486">
        <f t="shared" si="47"/>
        <v>7.2407275167966228E-4</v>
      </c>
      <c r="T486" s="5">
        <v>45053</v>
      </c>
      <c r="U486" s="1">
        <v>7.2407275167966228E-4</v>
      </c>
    </row>
    <row r="487" spans="3:21" x14ac:dyDescent="0.2">
      <c r="C487" s="5">
        <v>45054</v>
      </c>
      <c r="D487" s="6">
        <v>1.0008699999999999</v>
      </c>
      <c r="E487" s="6">
        <v>27653.4</v>
      </c>
      <c r="F487" s="6">
        <v>27793.98</v>
      </c>
      <c r="G487" s="6">
        <v>27664</v>
      </c>
      <c r="H487" s="6">
        <v>27668.48</v>
      </c>
      <c r="I487" s="5">
        <v>45054</v>
      </c>
      <c r="J487" s="7">
        <f t="shared" si="44"/>
        <v>-5.4502451887483911E-4</v>
      </c>
      <c r="K487" s="5">
        <v>45054</v>
      </c>
      <c r="L487" s="8">
        <f t="shared" si="45"/>
        <v>4.6985251590514589E-3</v>
      </c>
      <c r="M487" s="5">
        <v>45054</v>
      </c>
      <c r="N487" s="9">
        <f t="shared" si="42"/>
        <v>4.1535006401766201E-3</v>
      </c>
      <c r="O487" s="5">
        <v>45054</v>
      </c>
      <c r="P487">
        <f t="shared" si="43"/>
        <v>1.0001619433198379</v>
      </c>
      <c r="Q487" s="6">
        <f t="shared" si="46"/>
        <v>0.99913075624206948</v>
      </c>
      <c r="R487">
        <f t="shared" si="47"/>
        <v>1.0315519777917431E-3</v>
      </c>
      <c r="T487" s="5">
        <v>45054</v>
      </c>
      <c r="U487" s="1">
        <v>1.0315519777917431E-3</v>
      </c>
    </row>
    <row r="488" spans="3:21" x14ac:dyDescent="0.2">
      <c r="C488" s="5">
        <v>45055</v>
      </c>
      <c r="D488" s="6">
        <v>1.00051</v>
      </c>
      <c r="E488" s="6">
        <v>27618.3</v>
      </c>
      <c r="F488" s="6">
        <v>27729.82</v>
      </c>
      <c r="G488" s="6">
        <v>27629</v>
      </c>
      <c r="H488" s="6">
        <v>27631.21</v>
      </c>
      <c r="I488" s="5">
        <v>45055</v>
      </c>
      <c r="J488" s="7">
        <f t="shared" si="44"/>
        <v>-4.6722528618905416E-4</v>
      </c>
      <c r="K488" s="5">
        <v>45055</v>
      </c>
      <c r="L488" s="8">
        <f t="shared" si="45"/>
        <v>3.64906438886676E-3</v>
      </c>
      <c r="M488" s="5">
        <v>45055</v>
      </c>
      <c r="N488" s="9">
        <f t="shared" si="42"/>
        <v>3.1818391026777059E-3</v>
      </c>
      <c r="O488" s="5">
        <v>45055</v>
      </c>
      <c r="P488">
        <f t="shared" si="43"/>
        <v>1.0000799884179665</v>
      </c>
      <c r="Q488" s="6">
        <f t="shared" si="46"/>
        <v>0.99949025996741658</v>
      </c>
      <c r="R488">
        <f t="shared" si="47"/>
        <v>5.8985521326375943E-4</v>
      </c>
      <c r="T488" s="5">
        <v>45055</v>
      </c>
      <c r="U488" s="1">
        <v>5.8985521326375943E-4</v>
      </c>
    </row>
    <row r="489" spans="3:21" x14ac:dyDescent="0.2">
      <c r="C489" s="5">
        <v>45056</v>
      </c>
      <c r="D489" s="6">
        <v>1.0007699999999999</v>
      </c>
      <c r="E489" s="6">
        <v>27577.3</v>
      </c>
      <c r="F489" s="6">
        <v>27721.21</v>
      </c>
      <c r="G489" s="6">
        <v>27595.5</v>
      </c>
      <c r="H489" s="6">
        <v>27594.7</v>
      </c>
      <c r="I489" s="5">
        <v>45056</v>
      </c>
      <c r="J489" s="7">
        <f t="shared" si="44"/>
        <v>-6.3055586761231162E-4</v>
      </c>
      <c r="K489" s="5">
        <v>45056</v>
      </c>
      <c r="L489" s="8">
        <f t="shared" si="45"/>
        <v>4.5554528818104083E-3</v>
      </c>
      <c r="M489" s="5">
        <v>45056</v>
      </c>
      <c r="N489" s="9">
        <f t="shared" si="42"/>
        <v>3.9248970141980968E-3</v>
      </c>
      <c r="O489" s="5">
        <v>45056</v>
      </c>
      <c r="P489">
        <f t="shared" si="43"/>
        <v>0.999971009766085</v>
      </c>
      <c r="Q489" s="6">
        <f t="shared" si="46"/>
        <v>0.99923059244381829</v>
      </c>
      <c r="R489">
        <f t="shared" si="47"/>
        <v>7.4071304794984575E-4</v>
      </c>
      <c r="T489" s="5">
        <v>45056</v>
      </c>
      <c r="U489" s="1">
        <v>7.4071304794984575E-4</v>
      </c>
    </row>
    <row r="490" spans="3:21" x14ac:dyDescent="0.2">
      <c r="C490" s="5">
        <v>45057</v>
      </c>
      <c r="D490" s="6">
        <v>1.0004500000000001</v>
      </c>
      <c r="E490" s="6">
        <v>26955.1</v>
      </c>
      <c r="F490" s="6">
        <v>27059.67</v>
      </c>
      <c r="G490" s="6">
        <v>26975</v>
      </c>
      <c r="H490" s="6">
        <v>26971.09</v>
      </c>
      <c r="I490" s="5">
        <v>45057</v>
      </c>
      <c r="J490" s="7">
        <f t="shared" si="44"/>
        <v>-5.9285701838530068E-4</v>
      </c>
      <c r="K490" s="5">
        <v>45057</v>
      </c>
      <c r="L490" s="8">
        <f t="shared" si="45"/>
        <v>3.1388322520851993E-3</v>
      </c>
      <c r="M490" s="5">
        <v>45057</v>
      </c>
      <c r="N490" s="9">
        <f t="shared" si="42"/>
        <v>2.5459752336998986E-3</v>
      </c>
      <c r="O490" s="5">
        <v>45057</v>
      </c>
      <c r="P490">
        <f t="shared" si="43"/>
        <v>0.99985505097312333</v>
      </c>
      <c r="Q490" s="6">
        <f t="shared" si="46"/>
        <v>0.9995502024089159</v>
      </c>
      <c r="R490">
        <f t="shared" si="47"/>
        <v>3.0493924736270665E-4</v>
      </c>
      <c r="T490" s="5">
        <v>45057</v>
      </c>
      <c r="U490" s="1">
        <v>3.0493924736270665E-4</v>
      </c>
    </row>
    <row r="491" spans="3:21" x14ac:dyDescent="0.2">
      <c r="C491" s="5">
        <v>45058</v>
      </c>
      <c r="D491" s="6">
        <v>1.00044</v>
      </c>
      <c r="E491" s="6">
        <v>26779.3</v>
      </c>
      <c r="F491" s="6">
        <v>26828.11</v>
      </c>
      <c r="G491" s="6">
        <v>26787.5</v>
      </c>
      <c r="H491" s="6">
        <v>26791.53</v>
      </c>
      <c r="I491" s="5">
        <v>45058</v>
      </c>
      <c r="J491" s="7">
        <f t="shared" si="44"/>
        <v>-4.5648755408890659E-4</v>
      </c>
      <c r="K491" s="5">
        <v>45058</v>
      </c>
      <c r="L491" s="8">
        <f t="shared" si="45"/>
        <v>1.5160055996267133E-3</v>
      </c>
      <c r="M491" s="5">
        <v>45058</v>
      </c>
      <c r="N491" s="9">
        <f t="shared" si="42"/>
        <v>1.0595180455378068E-3</v>
      </c>
      <c r="O491" s="5">
        <v>45058</v>
      </c>
      <c r="P491">
        <f t="shared" si="43"/>
        <v>1.0001504433037798</v>
      </c>
      <c r="Q491" s="6">
        <f t="shared" si="46"/>
        <v>0.99956019351485348</v>
      </c>
      <c r="R491">
        <f t="shared" si="47"/>
        <v>5.9033521670612222E-4</v>
      </c>
      <c r="T491" s="5">
        <v>45058</v>
      </c>
      <c r="U491" s="1">
        <v>5.9033521670612222E-4</v>
      </c>
    </row>
    <row r="492" spans="3:21" x14ac:dyDescent="0.2">
      <c r="C492" s="5">
        <v>45059</v>
      </c>
      <c r="D492" s="6">
        <v>1.00054</v>
      </c>
      <c r="E492" s="6">
        <v>26767.1</v>
      </c>
      <c r="F492" s="6">
        <v>26907.75</v>
      </c>
      <c r="G492" s="6">
        <v>26770</v>
      </c>
      <c r="H492" s="6">
        <v>26770.21</v>
      </c>
      <c r="I492" s="5">
        <v>45059</v>
      </c>
      <c r="J492" s="7">
        <f t="shared" si="44"/>
        <v>-1.161739112244761E-4</v>
      </c>
      <c r="K492" s="5">
        <v>45059</v>
      </c>
      <c r="L492" s="8">
        <f t="shared" si="45"/>
        <v>5.1456854688083677E-3</v>
      </c>
      <c r="M492" s="5">
        <v>45059</v>
      </c>
      <c r="N492" s="9">
        <f t="shared" si="42"/>
        <v>5.0295115575838918E-3</v>
      </c>
      <c r="O492" s="5">
        <v>45059</v>
      </c>
      <c r="P492">
        <f t="shared" si="43"/>
        <v>1.0000078446021665</v>
      </c>
      <c r="Q492" s="6">
        <f t="shared" si="46"/>
        <v>0.99946029144262105</v>
      </c>
      <c r="R492">
        <f t="shared" si="47"/>
        <v>5.4769882386439218E-4</v>
      </c>
      <c r="T492" s="5">
        <v>45059</v>
      </c>
      <c r="U492" s="1">
        <v>5.4769882386439218E-4</v>
      </c>
    </row>
    <row r="493" spans="3:21" x14ac:dyDescent="0.2">
      <c r="C493" s="5">
        <v>45060</v>
      </c>
      <c r="D493" s="6">
        <v>1.0000100000000001</v>
      </c>
      <c r="E493" s="6">
        <v>26903</v>
      </c>
      <c r="F493" s="6">
        <v>27016.46</v>
      </c>
      <c r="G493" s="6">
        <v>26909.5</v>
      </c>
      <c r="H493" s="6">
        <v>26915.95</v>
      </c>
      <c r="I493" s="5">
        <v>45060</v>
      </c>
      <c r="J493" s="7">
        <f t="shared" si="44"/>
        <v>-4.811273612858074E-4</v>
      </c>
      <c r="K493" s="5">
        <v>45060</v>
      </c>
      <c r="L493" s="8">
        <f t="shared" si="45"/>
        <v>3.974804437094674E-3</v>
      </c>
      <c r="M493" s="5">
        <v>45060</v>
      </c>
      <c r="N493" s="9">
        <f t="shared" si="42"/>
        <v>3.4936770758088667E-3</v>
      </c>
      <c r="O493" s="5">
        <v>45060</v>
      </c>
      <c r="P493">
        <f t="shared" si="43"/>
        <v>1.0002396923019752</v>
      </c>
      <c r="Q493" s="6">
        <f t="shared" si="46"/>
        <v>0.99999000009999894</v>
      </c>
      <c r="R493">
        <f t="shared" si="47"/>
        <v>2.4966353036532535E-4</v>
      </c>
      <c r="T493" s="5">
        <v>45060</v>
      </c>
      <c r="U493" s="1">
        <v>2.4966353036532535E-4</v>
      </c>
    </row>
    <row r="494" spans="3:21" x14ac:dyDescent="0.2">
      <c r="C494" s="5">
        <v>45061</v>
      </c>
      <c r="D494" s="6">
        <v>1.00021</v>
      </c>
      <c r="E494" s="6">
        <v>27148.400000000001</v>
      </c>
      <c r="F494" s="6">
        <v>27258.28</v>
      </c>
      <c r="G494" s="6">
        <v>27161.5</v>
      </c>
      <c r="H494" s="6">
        <v>27158.95</v>
      </c>
      <c r="I494" s="5">
        <v>45061</v>
      </c>
      <c r="J494" s="7">
        <f t="shared" si="44"/>
        <v>-3.8845389825450808E-4</v>
      </c>
      <c r="K494" s="5">
        <v>45061</v>
      </c>
      <c r="L494" s="8">
        <f t="shared" si="45"/>
        <v>3.5631316385324389E-3</v>
      </c>
      <c r="M494" s="5">
        <v>45061</v>
      </c>
      <c r="N494" s="9">
        <f t="shared" si="42"/>
        <v>3.1746777402779308E-3</v>
      </c>
      <c r="O494" s="5">
        <v>45061</v>
      </c>
      <c r="P494">
        <f t="shared" si="43"/>
        <v>0.99990611711429789</v>
      </c>
      <c r="Q494" s="6">
        <f t="shared" si="46"/>
        <v>0.9997900440907409</v>
      </c>
      <c r="R494">
        <f t="shared" si="47"/>
        <v>1.1609066011039589E-4</v>
      </c>
      <c r="T494" s="5">
        <v>45061</v>
      </c>
      <c r="U494" s="1">
        <v>1.1609066011039589E-4</v>
      </c>
    </row>
    <row r="495" spans="3:21" x14ac:dyDescent="0.2">
      <c r="C495" s="5">
        <v>45062</v>
      </c>
      <c r="D495" s="6">
        <v>1.0000800000000001</v>
      </c>
      <c r="E495" s="6">
        <v>27020.400000000001</v>
      </c>
      <c r="F495" s="6">
        <v>27088.36</v>
      </c>
      <c r="G495" s="6">
        <v>27028.5</v>
      </c>
      <c r="H495" s="6">
        <v>27029.06</v>
      </c>
      <c r="I495" s="5">
        <v>45062</v>
      </c>
      <c r="J495" s="7">
        <f t="shared" si="44"/>
        <v>-3.2039589982041009E-4</v>
      </c>
      <c r="K495" s="5">
        <v>45062</v>
      </c>
      <c r="L495" s="8">
        <f t="shared" si="45"/>
        <v>2.214699298888232E-3</v>
      </c>
      <c r="M495" s="5">
        <v>45062</v>
      </c>
      <c r="N495" s="9">
        <f t="shared" si="42"/>
        <v>1.8943033990678219E-3</v>
      </c>
      <c r="O495" s="5">
        <v>45062</v>
      </c>
      <c r="P495">
        <f t="shared" si="43"/>
        <v>1.0000207188708217</v>
      </c>
      <c r="Q495" s="6">
        <f t="shared" si="46"/>
        <v>0.99992000639948797</v>
      </c>
      <c r="R495">
        <f t="shared" si="47"/>
        <v>1.0071545635958399E-4</v>
      </c>
      <c r="T495" s="5">
        <v>45062</v>
      </c>
      <c r="U495" s="1">
        <v>1.0071545635958399E-4</v>
      </c>
    </row>
    <row r="496" spans="3:21" x14ac:dyDescent="0.2">
      <c r="C496" s="5">
        <v>45063</v>
      </c>
      <c r="D496" s="6">
        <v>1.0000899999999999</v>
      </c>
      <c r="E496" s="6">
        <v>27388.799999999999</v>
      </c>
      <c r="F496" s="6">
        <v>27462.71</v>
      </c>
      <c r="G496" s="6">
        <v>27384.5</v>
      </c>
      <c r="H496" s="6">
        <v>27400.82</v>
      </c>
      <c r="I496" s="5">
        <v>45063</v>
      </c>
      <c r="J496" s="7">
        <f t="shared" si="44"/>
        <v>-4.3867300321670798E-4</v>
      </c>
      <c r="K496" s="5">
        <v>45063</v>
      </c>
      <c r="L496" s="8">
        <f t="shared" si="45"/>
        <v>2.8559951797549389E-3</v>
      </c>
      <c r="M496" s="5">
        <v>45063</v>
      </c>
      <c r="N496" s="9">
        <f t="shared" si="42"/>
        <v>2.417322176538231E-3</v>
      </c>
      <c r="O496" s="5">
        <v>45063</v>
      </c>
      <c r="P496">
        <f t="shared" si="43"/>
        <v>1.000595957567237</v>
      </c>
      <c r="Q496" s="6">
        <f t="shared" si="46"/>
        <v>0.99991000809927111</v>
      </c>
      <c r="R496">
        <f t="shared" si="47"/>
        <v>6.8577600529188068E-4</v>
      </c>
      <c r="T496" s="5">
        <v>45063</v>
      </c>
      <c r="U496" s="1">
        <v>6.8577600529188068E-4</v>
      </c>
    </row>
    <row r="497" spans="3:21" x14ac:dyDescent="0.2">
      <c r="C497" s="5">
        <v>45064</v>
      </c>
      <c r="D497" s="6">
        <v>0.99980000000000002</v>
      </c>
      <c r="E497" s="6">
        <v>26803.599999999999</v>
      </c>
      <c r="F497" s="6">
        <v>26889.47</v>
      </c>
      <c r="G497" s="6">
        <v>26818</v>
      </c>
      <c r="H497" s="6">
        <v>26821.21</v>
      </c>
      <c r="I497" s="5">
        <v>45064</v>
      </c>
      <c r="J497" s="7">
        <f t="shared" si="44"/>
        <v>-6.5656993103594438E-4</v>
      </c>
      <c r="K497" s="5">
        <v>45064</v>
      </c>
      <c r="L497" s="8">
        <f t="shared" si="45"/>
        <v>2.6650011186516954E-3</v>
      </c>
      <c r="M497" s="5">
        <v>45064</v>
      </c>
      <c r="N497" s="9">
        <f t="shared" si="42"/>
        <v>2.0084311876157508E-3</v>
      </c>
      <c r="O497" s="5">
        <v>45064</v>
      </c>
      <c r="P497">
        <f t="shared" si="43"/>
        <v>1.0001196957267506</v>
      </c>
      <c r="Q497" s="6">
        <f t="shared" si="46"/>
        <v>1.0002000400080016</v>
      </c>
      <c r="R497">
        <f t="shared" si="47"/>
        <v>-8.0331438878315323E-5</v>
      </c>
      <c r="T497" s="5">
        <v>45064</v>
      </c>
      <c r="U497" s="1">
        <v>-8.0331438878315323E-5</v>
      </c>
    </row>
    <row r="498" spans="3:21" x14ac:dyDescent="0.2">
      <c r="C498" s="5">
        <v>45065</v>
      </c>
      <c r="D498" s="6">
        <v>1.00023</v>
      </c>
      <c r="E498" s="6">
        <v>26868.799999999999</v>
      </c>
      <c r="F498" s="6">
        <v>26948.81</v>
      </c>
      <c r="G498" s="6">
        <v>26870.5</v>
      </c>
      <c r="H498" s="6">
        <v>26885.02</v>
      </c>
      <c r="I498" s="5">
        <v>45065</v>
      </c>
      <c r="J498" s="7">
        <f t="shared" si="44"/>
        <v>-6.0330994732386899E-4</v>
      </c>
      <c r="K498" s="5">
        <v>45065</v>
      </c>
      <c r="L498" s="8">
        <f t="shared" si="45"/>
        <v>2.9143484490426791E-3</v>
      </c>
      <c r="M498" s="5">
        <v>45065</v>
      </c>
      <c r="N498" s="9">
        <f t="shared" si="42"/>
        <v>2.3110385017188102E-3</v>
      </c>
      <c r="O498" s="5">
        <v>45065</v>
      </c>
      <c r="P498">
        <f t="shared" si="43"/>
        <v>1.0005403695502504</v>
      </c>
      <c r="Q498" s="6">
        <f t="shared" si="46"/>
        <v>0.99977005288783583</v>
      </c>
      <c r="R498">
        <f t="shared" si="47"/>
        <v>7.7019715725437361E-4</v>
      </c>
      <c r="T498" s="5">
        <v>45065</v>
      </c>
      <c r="U498" s="1">
        <v>7.7019715725437361E-4</v>
      </c>
    </row>
    <row r="499" spans="3:21" x14ac:dyDescent="0.2">
      <c r="C499" s="5">
        <v>45066</v>
      </c>
      <c r="D499" s="6">
        <v>1.0003299999999999</v>
      </c>
      <c r="E499" s="6">
        <v>27089.1</v>
      </c>
      <c r="F499" s="6">
        <v>27144.58</v>
      </c>
      <c r="G499" s="6">
        <v>27103</v>
      </c>
      <c r="H499" s="6">
        <v>27105.97</v>
      </c>
      <c r="I499" s="5">
        <v>45066</v>
      </c>
      <c r="J499" s="7">
        <f t="shared" si="44"/>
        <v>-6.2237211949997063E-4</v>
      </c>
      <c r="K499" s="5">
        <v>45066</v>
      </c>
      <c r="L499" s="8">
        <f t="shared" si="45"/>
        <v>1.534147511345672E-3</v>
      </c>
      <c r="M499" s="5">
        <v>45066</v>
      </c>
      <c r="N499" s="9">
        <f t="shared" si="42"/>
        <v>9.1177539184570137E-4</v>
      </c>
      <c r="O499" s="5">
        <v>45066</v>
      </c>
      <c r="P499">
        <f t="shared" si="43"/>
        <v>1.0001095819650963</v>
      </c>
      <c r="Q499" s="6">
        <f t="shared" si="46"/>
        <v>0.99967010886407492</v>
      </c>
      <c r="R499">
        <f t="shared" si="47"/>
        <v>4.395215234072673E-4</v>
      </c>
      <c r="T499" s="5">
        <v>45066</v>
      </c>
      <c r="U499" s="1">
        <v>4.395215234072673E-4</v>
      </c>
    </row>
    <row r="500" spans="3:21" x14ac:dyDescent="0.2">
      <c r="C500" s="5">
        <v>45067</v>
      </c>
      <c r="D500" s="6">
        <v>1.0003</v>
      </c>
      <c r="E500" s="6">
        <v>26734.3</v>
      </c>
      <c r="F500" s="6">
        <v>26808.26</v>
      </c>
      <c r="G500" s="6">
        <v>26749</v>
      </c>
      <c r="H500" s="6">
        <v>26746.01</v>
      </c>
      <c r="I500" s="5">
        <v>45067</v>
      </c>
      <c r="J500" s="7">
        <f t="shared" si="44"/>
        <v>-4.3782231443116663E-4</v>
      </c>
      <c r="K500" s="5">
        <v>45067</v>
      </c>
      <c r="L500" s="8">
        <f t="shared" si="45"/>
        <v>2.2154099218661782E-3</v>
      </c>
      <c r="M500" s="5">
        <v>45067</v>
      </c>
      <c r="N500" s="9">
        <f t="shared" si="42"/>
        <v>1.7775876074350115E-3</v>
      </c>
      <c r="O500" s="5">
        <v>45067</v>
      </c>
      <c r="P500">
        <f t="shared" si="43"/>
        <v>0.99988822012037826</v>
      </c>
      <c r="Q500" s="6">
        <f t="shared" si="46"/>
        <v>0.99970008997300808</v>
      </c>
      <c r="R500">
        <f t="shared" si="47"/>
        <v>1.8816888153992139E-4</v>
      </c>
      <c r="T500" s="5">
        <v>45067</v>
      </c>
      <c r="U500" s="1">
        <v>1.8816888153992139E-4</v>
      </c>
    </row>
    <row r="501" spans="3:21" x14ac:dyDescent="0.2">
      <c r="C501" s="5">
        <v>45068</v>
      </c>
      <c r="D501" s="6">
        <v>1.0001899999999999</v>
      </c>
      <c r="E501" s="6">
        <v>26834.7</v>
      </c>
      <c r="F501" s="6">
        <v>26896.26</v>
      </c>
      <c r="G501" s="6">
        <v>26846</v>
      </c>
      <c r="H501" s="6">
        <v>26848.1</v>
      </c>
      <c r="I501" s="5">
        <v>45068</v>
      </c>
      <c r="J501" s="7">
        <f t="shared" si="44"/>
        <v>-4.9910421966536988E-4</v>
      </c>
      <c r="K501" s="5">
        <v>45068</v>
      </c>
      <c r="L501" s="8">
        <f t="shared" si="45"/>
        <v>1.8721597258436415E-3</v>
      </c>
      <c r="M501" s="5">
        <v>45068</v>
      </c>
      <c r="N501" s="9">
        <f t="shared" si="42"/>
        <v>1.3730555061782716E-3</v>
      </c>
      <c r="O501" s="5">
        <v>45068</v>
      </c>
      <c r="P501">
        <f t="shared" si="43"/>
        <v>1.0000782239439767</v>
      </c>
      <c r="Q501" s="6">
        <f t="shared" si="46"/>
        <v>0.99981003609314234</v>
      </c>
      <c r="R501">
        <f t="shared" si="47"/>
        <v>2.682028369295318E-4</v>
      </c>
      <c r="T501" s="5">
        <v>45068</v>
      </c>
      <c r="U501" s="1">
        <v>2.682028369295318E-4</v>
      </c>
    </row>
    <row r="502" spans="3:21" x14ac:dyDescent="0.2">
      <c r="C502" s="5">
        <v>45069</v>
      </c>
      <c r="D502" s="6">
        <v>1.0001100000000001</v>
      </c>
      <c r="E502" s="6">
        <v>27209.9</v>
      </c>
      <c r="F502" s="6">
        <v>27225.53</v>
      </c>
      <c r="G502" s="6">
        <v>27215</v>
      </c>
      <c r="H502" s="6">
        <v>27220.05</v>
      </c>
      <c r="I502" s="5">
        <v>45069</v>
      </c>
      <c r="J502" s="7">
        <f t="shared" si="44"/>
        <v>-3.7288689770951258E-4</v>
      </c>
      <c r="K502" s="5">
        <v>45069</v>
      </c>
      <c r="L502" s="8">
        <f t="shared" si="45"/>
        <v>3.8691897850445843E-4</v>
      </c>
      <c r="M502" s="5">
        <v>45069</v>
      </c>
      <c r="N502" s="9">
        <f t="shared" si="42"/>
        <v>1.4032080794945851E-5</v>
      </c>
      <c r="O502" s="5">
        <v>45069</v>
      </c>
      <c r="P502">
        <f t="shared" si="43"/>
        <v>1.0001855594341356</v>
      </c>
      <c r="Q502" s="6">
        <f t="shared" si="46"/>
        <v>0.99989001209866912</v>
      </c>
      <c r="R502">
        <f t="shared" si="47"/>
        <v>2.9553617055693711E-4</v>
      </c>
      <c r="T502" s="5">
        <v>45069</v>
      </c>
      <c r="U502" s="1">
        <v>2.9553617055693711E-4</v>
      </c>
    </row>
    <row r="503" spans="3:21" x14ac:dyDescent="0.2">
      <c r="C503" s="5">
        <v>45070</v>
      </c>
      <c r="D503" s="6">
        <v>0.99995999999999996</v>
      </c>
      <c r="E503" s="6">
        <v>26311</v>
      </c>
      <c r="F503" s="6">
        <v>26406.07</v>
      </c>
      <c r="G503" s="6">
        <v>26318.5</v>
      </c>
      <c r="H503" s="6">
        <v>26328.6</v>
      </c>
      <c r="I503" s="5">
        <v>45070</v>
      </c>
      <c r="J503" s="7">
        <f t="shared" si="44"/>
        <v>-6.6847458657120183E-4</v>
      </c>
      <c r="K503" s="5">
        <v>45070</v>
      </c>
      <c r="L503" s="8">
        <f t="shared" si="45"/>
        <v>3.3273172863194978E-3</v>
      </c>
      <c r="M503" s="5">
        <v>45070</v>
      </c>
      <c r="N503" s="9">
        <f t="shared" si="42"/>
        <v>2.658842699748296E-3</v>
      </c>
      <c r="O503" s="5">
        <v>45070</v>
      </c>
      <c r="P503">
        <f t="shared" si="43"/>
        <v>1.0003837604726713</v>
      </c>
      <c r="Q503" s="6">
        <f t="shared" si="46"/>
        <v>1.0000400016000641</v>
      </c>
      <c r="R503">
        <f t="shared" si="47"/>
        <v>3.4368605543335593E-4</v>
      </c>
      <c r="T503" s="5">
        <v>45070</v>
      </c>
      <c r="U503" s="1">
        <v>3.4368605543335593E-4</v>
      </c>
    </row>
    <row r="504" spans="3:21" x14ac:dyDescent="0.2">
      <c r="C504" s="5">
        <v>45071</v>
      </c>
      <c r="D504" s="6">
        <v>1.0000899999999999</v>
      </c>
      <c r="E504" s="6">
        <v>26456.6</v>
      </c>
      <c r="F504" s="6">
        <v>26505.37</v>
      </c>
      <c r="G504" s="6">
        <v>26463</v>
      </c>
      <c r="H504" s="6">
        <v>26474.63</v>
      </c>
      <c r="I504" s="5">
        <v>45071</v>
      </c>
      <c r="J504" s="7">
        <f t="shared" si="44"/>
        <v>-6.8102934771902283E-4</v>
      </c>
      <c r="K504" s="5">
        <v>45071</v>
      </c>
      <c r="L504" s="8">
        <f t="shared" si="45"/>
        <v>1.601103427426935E-3</v>
      </c>
      <c r="M504" s="5">
        <v>45071</v>
      </c>
      <c r="N504" s="9">
        <f t="shared" si="42"/>
        <v>9.2007407970791215E-4</v>
      </c>
      <c r="O504" s="5">
        <v>45071</v>
      </c>
      <c r="P504">
        <f t="shared" si="43"/>
        <v>1.0004394815402637</v>
      </c>
      <c r="Q504" s="6">
        <f t="shared" si="46"/>
        <v>0.99991000809927111</v>
      </c>
      <c r="R504">
        <f t="shared" si="47"/>
        <v>5.2938094677960163E-4</v>
      </c>
      <c r="T504" s="5">
        <v>45071</v>
      </c>
      <c r="U504" s="1">
        <v>5.2938094677960163E-4</v>
      </c>
    </row>
    <row r="505" spans="3:21" x14ac:dyDescent="0.2">
      <c r="C505" s="5">
        <v>45072</v>
      </c>
      <c r="D505" s="6">
        <v>1.0003299999999999</v>
      </c>
      <c r="E505" s="6">
        <v>26695</v>
      </c>
      <c r="F505" s="6">
        <v>26792.87</v>
      </c>
      <c r="G505" s="6">
        <v>26704</v>
      </c>
      <c r="H505" s="6">
        <v>26709.43</v>
      </c>
      <c r="I505" s="5">
        <v>45072</v>
      </c>
      <c r="J505" s="7">
        <f t="shared" si="44"/>
        <v>-5.4025862775807236E-4</v>
      </c>
      <c r="K505" s="5">
        <v>45072</v>
      </c>
      <c r="L505" s="8">
        <f t="shared" si="45"/>
        <v>3.3279658478130238E-3</v>
      </c>
      <c r="M505" s="5">
        <v>45072</v>
      </c>
      <c r="N505" s="9">
        <f t="shared" si="42"/>
        <v>2.7877072200549512E-3</v>
      </c>
      <c r="O505" s="5">
        <v>45072</v>
      </c>
      <c r="P505">
        <f t="shared" si="43"/>
        <v>1.0002033403235471</v>
      </c>
      <c r="Q505" s="6">
        <f t="shared" si="46"/>
        <v>0.99967010886407492</v>
      </c>
      <c r="R505">
        <f t="shared" si="47"/>
        <v>5.3326521468160951E-4</v>
      </c>
      <c r="T505" s="5">
        <v>45072</v>
      </c>
      <c r="U505" s="1">
        <v>5.3326521468160951E-4</v>
      </c>
    </row>
    <row r="506" spans="3:21" x14ac:dyDescent="0.2">
      <c r="C506" s="5">
        <v>45073</v>
      </c>
      <c r="D506" s="6">
        <v>1.0004200000000001</v>
      </c>
      <c r="E506" s="6">
        <v>26838.5</v>
      </c>
      <c r="F506" s="6">
        <v>26918.799999999999</v>
      </c>
      <c r="G506" s="6">
        <v>26850</v>
      </c>
      <c r="H506" s="6">
        <v>26855.74</v>
      </c>
      <c r="I506" s="5">
        <v>45073</v>
      </c>
      <c r="J506" s="7">
        <f t="shared" si="44"/>
        <v>-6.4194842517843861E-4</v>
      </c>
      <c r="K506" s="5">
        <v>45073</v>
      </c>
      <c r="L506" s="8">
        <f t="shared" si="45"/>
        <v>2.5623836126629153E-3</v>
      </c>
      <c r="M506" s="5">
        <v>45073</v>
      </c>
      <c r="N506" s="9">
        <f t="shared" si="42"/>
        <v>1.9204351874844766E-3</v>
      </c>
      <c r="O506" s="5">
        <v>45073</v>
      </c>
      <c r="P506">
        <f t="shared" si="43"/>
        <v>1.0002137802607078</v>
      </c>
      <c r="Q506" s="6">
        <f t="shared" si="46"/>
        <v>0.99958017632594298</v>
      </c>
      <c r="R506">
        <f t="shared" si="47"/>
        <v>6.3366923765241587E-4</v>
      </c>
      <c r="T506" s="5">
        <v>45073</v>
      </c>
      <c r="U506" s="1">
        <v>6.3366923765241587E-4</v>
      </c>
    </row>
    <row r="507" spans="3:21" x14ac:dyDescent="0.2">
      <c r="C507" s="5">
        <v>45074</v>
      </c>
      <c r="D507" s="6">
        <v>1.0002599999999999</v>
      </c>
      <c r="E507" s="6">
        <v>28049.9</v>
      </c>
      <c r="F507" s="6">
        <v>28069.46</v>
      </c>
      <c r="G507" s="6">
        <v>28076</v>
      </c>
      <c r="H507" s="6">
        <v>28064.09</v>
      </c>
      <c r="I507" s="5">
        <v>45074</v>
      </c>
      <c r="J507" s="7">
        <f t="shared" si="44"/>
        <v>-5.056283670697568E-4</v>
      </c>
      <c r="K507" s="5">
        <v>45074</v>
      </c>
      <c r="L507" s="8">
        <f t="shared" si="45"/>
        <v>-2.3293916512326802E-4</v>
      </c>
      <c r="M507" s="5">
        <v>45074</v>
      </c>
      <c r="N507" s="9">
        <f t="shared" si="42"/>
        <v>-7.3856753219302476E-4</v>
      </c>
      <c r="O507" s="5">
        <v>45074</v>
      </c>
      <c r="P507">
        <f t="shared" si="43"/>
        <v>0.99957579427268839</v>
      </c>
      <c r="Q507" s="6">
        <f t="shared" si="46"/>
        <v>0.99974006758242862</v>
      </c>
      <c r="R507">
        <f t="shared" si="47"/>
        <v>-1.6432952215716213E-4</v>
      </c>
      <c r="T507" s="5">
        <v>45074</v>
      </c>
      <c r="U507" s="1">
        <v>-1.6432952215716213E-4</v>
      </c>
    </row>
    <row r="508" spans="3:21" x14ac:dyDescent="0.2">
      <c r="C508" s="5">
        <v>45075</v>
      </c>
      <c r="D508" s="6">
        <v>1.00034</v>
      </c>
      <c r="E508" s="6">
        <v>27722</v>
      </c>
      <c r="F508" s="6">
        <v>27772.38</v>
      </c>
      <c r="G508" s="6">
        <v>27741.5</v>
      </c>
      <c r="H508" s="6">
        <v>27737.11</v>
      </c>
      <c r="I508" s="5">
        <v>45075</v>
      </c>
      <c r="J508" s="7">
        <f t="shared" si="44"/>
        <v>-5.4475754683889501E-4</v>
      </c>
      <c r="K508" s="5">
        <v>45075</v>
      </c>
      <c r="L508" s="8">
        <f t="shared" si="45"/>
        <v>1.113133752681038E-3</v>
      </c>
      <c r="M508" s="5">
        <v>45075</v>
      </c>
      <c r="N508" s="9">
        <f t="shared" si="42"/>
        <v>5.6837620584214302E-4</v>
      </c>
      <c r="O508" s="5">
        <v>45075</v>
      </c>
      <c r="P508">
        <f t="shared" si="43"/>
        <v>0.9998417533298487</v>
      </c>
      <c r="Q508" s="6">
        <f t="shared" si="46"/>
        <v>0.99966011556070933</v>
      </c>
      <c r="R508">
        <f t="shared" si="47"/>
        <v>1.81683020621348E-4</v>
      </c>
      <c r="T508" s="5">
        <v>45075</v>
      </c>
      <c r="U508" s="1">
        <v>1.81683020621348E-4</v>
      </c>
    </row>
    <row r="509" spans="3:21" x14ac:dyDescent="0.2">
      <c r="C509" s="5">
        <v>45076</v>
      </c>
      <c r="D509" s="6">
        <v>1.0003</v>
      </c>
      <c r="E509" s="6">
        <v>27681.200000000001</v>
      </c>
      <c r="F509" s="6">
        <v>27763.73</v>
      </c>
      <c r="G509" s="6">
        <v>27703</v>
      </c>
      <c r="H509" s="6">
        <v>27694.38</v>
      </c>
      <c r="I509" s="5">
        <v>45076</v>
      </c>
      <c r="J509" s="7">
        <f t="shared" si="44"/>
        <v>-4.7590883060029832E-4</v>
      </c>
      <c r="K509" s="5">
        <v>45076</v>
      </c>
      <c r="L509" s="8">
        <f t="shared" si="45"/>
        <v>2.1921813522001068E-3</v>
      </c>
      <c r="M509" s="5">
        <v>45076</v>
      </c>
      <c r="N509" s="9">
        <f t="shared" si="42"/>
        <v>1.7162725215998085E-3</v>
      </c>
      <c r="O509" s="5">
        <v>45076</v>
      </c>
      <c r="P509">
        <f t="shared" si="43"/>
        <v>0.99968884236364297</v>
      </c>
      <c r="Q509" s="6">
        <f t="shared" si="46"/>
        <v>0.99970008997300808</v>
      </c>
      <c r="R509">
        <f t="shared" si="47"/>
        <v>-1.1251046940750328E-5</v>
      </c>
      <c r="T509" s="5">
        <v>45076</v>
      </c>
      <c r="U509" s="1">
        <v>-1.1251046940750328E-5</v>
      </c>
    </row>
    <row r="510" spans="3:21" x14ac:dyDescent="0.2">
      <c r="C510" s="5">
        <v>45077</v>
      </c>
      <c r="D510" s="6">
        <v>1.0002800000000001</v>
      </c>
      <c r="E510" s="6">
        <v>27199</v>
      </c>
      <c r="F510" s="6">
        <v>27284.28</v>
      </c>
      <c r="G510" s="6">
        <v>27210.5</v>
      </c>
      <c r="H510" s="6">
        <v>27211.51</v>
      </c>
      <c r="I510" s="5">
        <v>45077</v>
      </c>
      <c r="J510" s="7">
        <f t="shared" si="44"/>
        <v>-4.5973192961354956E-4</v>
      </c>
      <c r="K510" s="5">
        <v>45077</v>
      </c>
      <c r="L510" s="8">
        <f t="shared" si="45"/>
        <v>2.7114532992778095E-3</v>
      </c>
      <c r="M510" s="5">
        <v>45077</v>
      </c>
      <c r="N510" s="9">
        <f t="shared" si="42"/>
        <v>2.2517213696642601E-3</v>
      </c>
      <c r="O510" s="5">
        <v>45077</v>
      </c>
      <c r="P510">
        <f t="shared" si="43"/>
        <v>1.000037118024292</v>
      </c>
      <c r="Q510" s="6">
        <f t="shared" si="46"/>
        <v>0.9997200783780541</v>
      </c>
      <c r="R510">
        <f t="shared" si="47"/>
        <v>3.1707814275106307E-4</v>
      </c>
      <c r="T510" s="5">
        <v>45077</v>
      </c>
      <c r="U510" s="1">
        <v>3.1707814275106307E-4</v>
      </c>
    </row>
    <row r="511" spans="3:21" x14ac:dyDescent="0.2">
      <c r="C511" s="5">
        <v>45078</v>
      </c>
      <c r="D511" s="6">
        <v>1.0003</v>
      </c>
      <c r="E511" s="6">
        <v>26809.5</v>
      </c>
      <c r="F511" s="6">
        <v>26891.35</v>
      </c>
      <c r="G511" s="6">
        <v>26808.5</v>
      </c>
      <c r="H511" s="6">
        <v>26815.439999999999</v>
      </c>
      <c r="I511" s="5">
        <v>45078</v>
      </c>
      <c r="J511" s="7">
        <f t="shared" si="44"/>
        <v>-2.2151417243195304E-4</v>
      </c>
      <c r="K511" s="5">
        <v>45078</v>
      </c>
      <c r="L511" s="8">
        <f t="shared" si="45"/>
        <v>3.0904377343006339E-3</v>
      </c>
      <c r="M511" s="5">
        <v>45078</v>
      </c>
      <c r="N511" s="9">
        <f t="shared" si="42"/>
        <v>2.8689235618686807E-3</v>
      </c>
      <c r="O511" s="5">
        <v>45078</v>
      </c>
      <c r="P511">
        <f t="shared" si="43"/>
        <v>1.0002588731186004</v>
      </c>
      <c r="Q511" s="6">
        <f t="shared" si="46"/>
        <v>0.99970008997300808</v>
      </c>
      <c r="R511">
        <f t="shared" si="47"/>
        <v>5.5879462573424127E-4</v>
      </c>
      <c r="T511" s="5">
        <v>45078</v>
      </c>
      <c r="U511" s="1">
        <v>5.5879462573424127E-4</v>
      </c>
    </row>
    <row r="512" spans="3:21" x14ac:dyDescent="0.2">
      <c r="C512" s="5">
        <v>45079</v>
      </c>
      <c r="D512" s="6">
        <v>1.0003599999999999</v>
      </c>
      <c r="E512" s="6">
        <v>27238.1</v>
      </c>
      <c r="F512" s="6">
        <v>27305.06</v>
      </c>
      <c r="G512" s="6">
        <v>27239.5</v>
      </c>
      <c r="H512" s="6">
        <v>27241.45</v>
      </c>
      <c r="I512" s="5">
        <v>45079</v>
      </c>
      <c r="J512" s="7">
        <f t="shared" si="44"/>
        <v>-1.229743644336914E-4</v>
      </c>
      <c r="K512" s="5">
        <v>45079</v>
      </c>
      <c r="L512" s="8">
        <f t="shared" si="45"/>
        <v>2.4067989500541976E-3</v>
      </c>
      <c r="M512" s="5">
        <v>45079</v>
      </c>
      <c r="N512" s="9">
        <f t="shared" si="42"/>
        <v>2.2838245856205064E-3</v>
      </c>
      <c r="O512" s="5">
        <v>45079</v>
      </c>
      <c r="P512">
        <f t="shared" si="43"/>
        <v>1.0000715872170929</v>
      </c>
      <c r="Q512" s="6">
        <f t="shared" si="46"/>
        <v>0.9996401295533609</v>
      </c>
      <c r="R512">
        <f t="shared" si="47"/>
        <v>4.3151987039803094E-4</v>
      </c>
      <c r="T512" s="5">
        <v>45079</v>
      </c>
      <c r="U512" s="1">
        <v>4.3151987039803094E-4</v>
      </c>
    </row>
    <row r="513" spans="3:21" x14ac:dyDescent="0.2">
      <c r="C513" s="5">
        <v>45080</v>
      </c>
      <c r="D513" s="6">
        <v>1.0003200000000001</v>
      </c>
      <c r="E513" s="6">
        <v>27059.1</v>
      </c>
      <c r="F513" s="6">
        <v>27126.33</v>
      </c>
      <c r="G513" s="6">
        <v>27067</v>
      </c>
      <c r="H513" s="6">
        <v>27072.14</v>
      </c>
      <c r="I513" s="5">
        <v>45080</v>
      </c>
      <c r="J513" s="7">
        <f t="shared" si="44"/>
        <v>-4.8167599606092735E-4</v>
      </c>
      <c r="K513" s="5">
        <v>45080</v>
      </c>
      <c r="L513" s="8">
        <f t="shared" si="45"/>
        <v>2.1919680792109116E-3</v>
      </c>
      <c r="M513" s="5">
        <v>45080</v>
      </c>
      <c r="N513" s="9">
        <f t="shared" si="42"/>
        <v>1.7102920831499843E-3</v>
      </c>
      <c r="O513" s="5">
        <v>45080</v>
      </c>
      <c r="P513">
        <f t="shared" si="43"/>
        <v>1.0001898991391731</v>
      </c>
      <c r="Q513" s="6">
        <f t="shared" si="46"/>
        <v>0.99968010236724236</v>
      </c>
      <c r="R513">
        <f t="shared" si="47"/>
        <v>5.0982992153418907E-4</v>
      </c>
      <c r="T513" s="5">
        <v>45080</v>
      </c>
      <c r="U513" s="1">
        <v>5.0982992153418907E-4</v>
      </c>
    </row>
    <row r="514" spans="3:21" x14ac:dyDescent="0.2">
      <c r="C514" s="5">
        <v>45081</v>
      </c>
      <c r="D514" s="6">
        <v>1.00027</v>
      </c>
      <c r="E514" s="6">
        <v>27105.5</v>
      </c>
      <c r="F514" s="6">
        <v>27173.32</v>
      </c>
      <c r="G514" s="6">
        <v>27113</v>
      </c>
      <c r="H514" s="6">
        <v>27117.45</v>
      </c>
      <c r="I514" s="5">
        <v>45081</v>
      </c>
      <c r="J514" s="7">
        <f t="shared" si="44"/>
        <v>-4.40675653499895E-4</v>
      </c>
      <c r="K514" s="5">
        <v>45081</v>
      </c>
      <c r="L514" s="8">
        <f t="shared" si="45"/>
        <v>2.2247630288053594E-3</v>
      </c>
      <c r="M514" s="5">
        <v>45081</v>
      </c>
      <c r="N514" s="9">
        <f t="shared" si="42"/>
        <v>1.7840873753054644E-3</v>
      </c>
      <c r="O514" s="5">
        <v>45081</v>
      </c>
      <c r="P514">
        <f t="shared" si="43"/>
        <v>1.0001641279091211</v>
      </c>
      <c r="Q514" s="6">
        <f t="shared" si="46"/>
        <v>0.99973007288032234</v>
      </c>
      <c r="R514">
        <f t="shared" si="47"/>
        <v>4.3407799816900166E-4</v>
      </c>
      <c r="T514" s="5">
        <v>45081</v>
      </c>
      <c r="U514" s="1">
        <v>4.3407799816900166E-4</v>
      </c>
    </row>
    <row r="515" spans="3:21" x14ac:dyDescent="0.2">
      <c r="C515" s="5">
        <v>45082</v>
      </c>
      <c r="D515" s="6">
        <v>1.00044</v>
      </c>
      <c r="E515" s="6">
        <v>25717.200000000001</v>
      </c>
      <c r="F515" s="6">
        <v>25878.16</v>
      </c>
      <c r="G515" s="6">
        <v>25720</v>
      </c>
      <c r="H515" s="6">
        <v>25727.27</v>
      </c>
      <c r="I515" s="5">
        <v>45082</v>
      </c>
      <c r="J515" s="7">
        <f t="shared" si="44"/>
        <v>-3.9141346905442005E-4</v>
      </c>
      <c r="K515" s="5">
        <v>45082</v>
      </c>
      <c r="L515" s="8">
        <f t="shared" si="45"/>
        <v>6.1493001555209901E-3</v>
      </c>
      <c r="M515" s="5">
        <v>45082</v>
      </c>
      <c r="N515" s="9">
        <f t="shared" si="42"/>
        <v>5.7578866864665696E-3</v>
      </c>
      <c r="O515" s="5">
        <v>45082</v>
      </c>
      <c r="P515">
        <f t="shared" si="43"/>
        <v>1.0002826594090202</v>
      </c>
      <c r="Q515" s="6">
        <f t="shared" si="46"/>
        <v>0.99956019351485348</v>
      </c>
      <c r="R515">
        <f t="shared" si="47"/>
        <v>7.2252269676092897E-4</v>
      </c>
      <c r="T515" s="5">
        <v>45082</v>
      </c>
      <c r="U515" s="1">
        <v>7.2252269676092897E-4</v>
      </c>
    </row>
    <row r="516" spans="3:21" x14ac:dyDescent="0.2">
      <c r="C516" s="5">
        <v>45083</v>
      </c>
      <c r="D516" s="6">
        <v>1.0002599999999999</v>
      </c>
      <c r="E516" s="6">
        <v>27216.9</v>
      </c>
      <c r="F516" s="6">
        <v>27319.97</v>
      </c>
      <c r="G516" s="6">
        <v>27229.5</v>
      </c>
      <c r="H516" s="6">
        <v>27230.2</v>
      </c>
      <c r="I516" s="5">
        <v>45083</v>
      </c>
      <c r="J516" s="7">
        <f t="shared" si="44"/>
        <v>-4.8842828917889964E-4</v>
      </c>
      <c r="K516" s="5">
        <v>45083</v>
      </c>
      <c r="L516" s="8">
        <f t="shared" si="45"/>
        <v>3.3224994950330033E-3</v>
      </c>
      <c r="M516" s="5">
        <v>45083</v>
      </c>
      <c r="N516" s="9">
        <f t="shared" si="42"/>
        <v>2.8340712058541038E-3</v>
      </c>
      <c r="O516" s="5">
        <v>45083</v>
      </c>
      <c r="P516">
        <f t="shared" si="43"/>
        <v>1.0000257074129162</v>
      </c>
      <c r="Q516" s="6">
        <f t="shared" si="46"/>
        <v>0.99974006758242862</v>
      </c>
      <c r="R516">
        <f t="shared" si="47"/>
        <v>2.8567328834381547E-4</v>
      </c>
      <c r="T516" s="5">
        <v>45083</v>
      </c>
      <c r="U516" s="1">
        <v>2.8567328834381547E-4</v>
      </c>
    </row>
    <row r="517" spans="3:21" x14ac:dyDescent="0.2">
      <c r="C517" s="5">
        <v>45084</v>
      </c>
      <c r="D517" s="6">
        <v>1.0001</v>
      </c>
      <c r="E517" s="6">
        <v>26323.4</v>
      </c>
      <c r="F517" s="6">
        <v>26422.68</v>
      </c>
      <c r="G517" s="6">
        <v>26332.5</v>
      </c>
      <c r="H517" s="6">
        <v>26343.37</v>
      </c>
      <c r="I517" s="5">
        <v>45084</v>
      </c>
      <c r="J517" s="7">
        <f t="shared" si="44"/>
        <v>-7.5806550187001618E-4</v>
      </c>
      <c r="K517" s="5">
        <v>45084</v>
      </c>
      <c r="L517" s="8">
        <f t="shared" si="45"/>
        <v>3.4246653375106916E-3</v>
      </c>
      <c r="M517" s="5">
        <v>45084</v>
      </c>
      <c r="N517" s="9">
        <f t="shared" si="42"/>
        <v>2.6665998356406755E-3</v>
      </c>
      <c r="O517" s="5">
        <v>45084</v>
      </c>
      <c r="P517">
        <f t="shared" si="43"/>
        <v>1.0004127978733504</v>
      </c>
      <c r="Q517" s="6">
        <f t="shared" si="46"/>
        <v>0.99990000999900008</v>
      </c>
      <c r="R517">
        <f t="shared" si="47"/>
        <v>5.1270769608151312E-4</v>
      </c>
      <c r="T517" s="5">
        <v>45084</v>
      </c>
      <c r="U517" s="1">
        <v>5.1270769608151312E-4</v>
      </c>
    </row>
    <row r="518" spans="3:21" x14ac:dyDescent="0.2">
      <c r="C518" s="5">
        <v>45085</v>
      </c>
      <c r="D518" s="6">
        <v>1.00014</v>
      </c>
      <c r="E518" s="6">
        <v>26485.1</v>
      </c>
      <c r="F518" s="6">
        <v>26580.87</v>
      </c>
      <c r="G518" s="6">
        <v>26493</v>
      </c>
      <c r="H518" s="6">
        <v>26501.57</v>
      </c>
      <c r="I518" s="5">
        <v>45085</v>
      </c>
      <c r="J518" s="7">
        <f t="shared" si="44"/>
        <v>-6.2147261464136523E-4</v>
      </c>
      <c r="K518" s="5">
        <v>45085</v>
      </c>
      <c r="L518" s="8">
        <f t="shared" si="45"/>
        <v>3.3167251726870864E-3</v>
      </c>
      <c r="M518" s="5">
        <v>45085</v>
      </c>
      <c r="N518" s="9">
        <f t="shared" si="42"/>
        <v>2.6952525580457212E-3</v>
      </c>
      <c r="O518" s="5">
        <v>45085</v>
      </c>
      <c r="P518">
        <f t="shared" si="43"/>
        <v>1.0003234816744047</v>
      </c>
      <c r="Q518" s="6">
        <f t="shared" si="46"/>
        <v>0.99986001959725634</v>
      </c>
      <c r="R518">
        <f t="shared" si="47"/>
        <v>4.6341956640281844E-4</v>
      </c>
      <c r="T518" s="5">
        <v>45085</v>
      </c>
      <c r="U518" s="1">
        <v>4.6341956640281844E-4</v>
      </c>
    </row>
    <row r="519" spans="3:21" x14ac:dyDescent="0.2">
      <c r="C519" s="5">
        <v>45086</v>
      </c>
      <c r="D519" s="6">
        <v>0.99997000000000003</v>
      </c>
      <c r="E519" s="6">
        <v>26466.9</v>
      </c>
      <c r="F519" s="6">
        <v>26551.16</v>
      </c>
      <c r="G519" s="6">
        <v>26470</v>
      </c>
      <c r="H519" s="6">
        <v>26478.639999999999</v>
      </c>
      <c r="I519" s="5">
        <v>45086</v>
      </c>
      <c r="J519" s="7">
        <f t="shared" si="44"/>
        <v>-4.4337624590983383E-4</v>
      </c>
      <c r="K519" s="5">
        <v>45086</v>
      </c>
      <c r="L519" s="8">
        <f t="shared" si="45"/>
        <v>3.0661125802795564E-3</v>
      </c>
      <c r="M519" s="5">
        <v>45086</v>
      </c>
      <c r="N519" s="9">
        <f t="shared" si="42"/>
        <v>2.6227363343697225E-3</v>
      </c>
      <c r="O519" s="5">
        <v>45086</v>
      </c>
      <c r="P519">
        <f t="shared" si="43"/>
        <v>1.0003264072534945</v>
      </c>
      <c r="Q519" s="6">
        <f t="shared" si="46"/>
        <v>1.0000300009000269</v>
      </c>
      <c r="R519">
        <f t="shared" si="47"/>
        <v>2.9635354422727052E-4</v>
      </c>
      <c r="T519" s="5">
        <v>45086</v>
      </c>
      <c r="U519" s="1">
        <v>2.9635354422727052E-4</v>
      </c>
    </row>
    <row r="520" spans="3:21" x14ac:dyDescent="0.2">
      <c r="C520" s="5">
        <v>45087</v>
      </c>
      <c r="D520" s="6">
        <v>1.0004900000000001</v>
      </c>
      <c r="E520" s="6">
        <v>25826.1</v>
      </c>
      <c r="F520" s="6">
        <v>26205.1</v>
      </c>
      <c r="G520" s="6">
        <v>25840</v>
      </c>
      <c r="H520" s="6">
        <v>25841.03</v>
      </c>
      <c r="I520" s="5">
        <v>45087</v>
      </c>
      <c r="J520" s="7">
        <f t="shared" si="44"/>
        <v>-5.7776334766842857E-4</v>
      </c>
      <c r="K520" s="5">
        <v>45087</v>
      </c>
      <c r="L520" s="8">
        <f t="shared" si="45"/>
        <v>1.4129256965944217E-2</v>
      </c>
      <c r="M520" s="5">
        <v>45087</v>
      </c>
      <c r="N520" s="9">
        <f t="shared" ref="N520:N583" si="48">J520+L520</f>
        <v>1.3551493618275788E-2</v>
      </c>
      <c r="O520" s="5">
        <v>45087</v>
      </c>
      <c r="P520">
        <f t="shared" ref="P520:P583" si="49">(1/G520)*H520</f>
        <v>1.0000398606811145</v>
      </c>
      <c r="Q520" s="6">
        <f t="shared" si="46"/>
        <v>0.99951023998240851</v>
      </c>
      <c r="R520">
        <f t="shared" si="47"/>
        <v>5.2973987590073008E-4</v>
      </c>
      <c r="T520" s="5">
        <v>45087</v>
      </c>
      <c r="U520" s="1">
        <v>5.2973987590073008E-4</v>
      </c>
    </row>
    <row r="521" spans="3:21" x14ac:dyDescent="0.2">
      <c r="C521" s="5">
        <v>45088</v>
      </c>
      <c r="D521" s="6">
        <v>1.0003899999999999</v>
      </c>
      <c r="E521" s="6">
        <v>25915.1</v>
      </c>
      <c r="F521" s="6">
        <v>26158.81</v>
      </c>
      <c r="G521" s="6">
        <v>25930.5</v>
      </c>
      <c r="H521" s="6">
        <v>25924.31</v>
      </c>
      <c r="I521" s="5">
        <v>45088</v>
      </c>
      <c r="J521" s="7">
        <f t="shared" ref="J521:J584" si="50">(E521-H521)/H521</f>
        <v>-3.5526500030291124E-4</v>
      </c>
      <c r="K521" s="5">
        <v>45088</v>
      </c>
      <c r="L521" s="8">
        <f t="shared" ref="L521:L584" si="51">(F521-G521)/G521</f>
        <v>8.8046894583598979E-3</v>
      </c>
      <c r="M521" s="5">
        <v>45088</v>
      </c>
      <c r="N521" s="9">
        <f t="shared" si="48"/>
        <v>8.449424458056987E-3</v>
      </c>
      <c r="O521" s="5">
        <v>45088</v>
      </c>
      <c r="P521">
        <f t="shared" si="49"/>
        <v>0.99976128497329408</v>
      </c>
      <c r="Q521" s="6">
        <f t="shared" ref="Q521:Q584" si="52">1/D521</f>
        <v>0.99961015204070425</v>
      </c>
      <c r="R521">
        <f t="shared" ref="R521:R584" si="53">LN(P521/Q521)</f>
        <v>1.5118044609391791E-4</v>
      </c>
      <c r="T521" s="5">
        <v>45088</v>
      </c>
      <c r="U521" s="1">
        <v>1.5118044609391791E-4</v>
      </c>
    </row>
    <row r="522" spans="3:21" x14ac:dyDescent="0.2">
      <c r="C522" s="5">
        <v>45089</v>
      </c>
      <c r="D522" s="6">
        <v>1</v>
      </c>
      <c r="E522" s="6">
        <v>25895.3</v>
      </c>
      <c r="F522" s="6">
        <v>26009.38</v>
      </c>
      <c r="G522" s="6">
        <v>25895.5</v>
      </c>
      <c r="H522" s="6">
        <v>25907.57</v>
      </c>
      <c r="I522" s="5">
        <v>45089</v>
      </c>
      <c r="J522" s="7">
        <f t="shared" si="50"/>
        <v>-4.7360674891548828E-4</v>
      </c>
      <c r="K522" s="5">
        <v>45089</v>
      </c>
      <c r="L522" s="8">
        <f t="shared" si="51"/>
        <v>4.3976752717654038E-3</v>
      </c>
      <c r="M522" s="5">
        <v>45089</v>
      </c>
      <c r="N522" s="9">
        <f t="shared" si="48"/>
        <v>3.9240685228499154E-3</v>
      </c>
      <c r="O522" s="5">
        <v>45089</v>
      </c>
      <c r="P522">
        <f t="shared" si="49"/>
        <v>1.0004661041493697</v>
      </c>
      <c r="Q522" s="6">
        <f t="shared" si="52"/>
        <v>1</v>
      </c>
      <c r="R522">
        <f t="shared" si="53"/>
        <v>4.6599555657301242E-4</v>
      </c>
      <c r="T522" s="5">
        <v>45089</v>
      </c>
      <c r="U522" s="1">
        <v>4.6599555657301242E-4</v>
      </c>
    </row>
    <row r="523" spans="3:21" x14ac:dyDescent="0.2">
      <c r="C523" s="5">
        <v>45090</v>
      </c>
      <c r="D523" s="6">
        <v>0.99975999999999998</v>
      </c>
      <c r="E523" s="6">
        <v>25920.5</v>
      </c>
      <c r="F523" s="6">
        <v>26055.83</v>
      </c>
      <c r="G523" s="6">
        <v>25925.5</v>
      </c>
      <c r="H523" s="6">
        <v>25935.73</v>
      </c>
      <c r="I523" s="5">
        <v>45090</v>
      </c>
      <c r="J523" s="7">
        <f t="shared" si="50"/>
        <v>-5.8722079540462384E-4</v>
      </c>
      <c r="K523" s="5">
        <v>45090</v>
      </c>
      <c r="L523" s="8">
        <f t="shared" si="51"/>
        <v>5.0270968737344216E-3</v>
      </c>
      <c r="M523" s="5">
        <v>45090</v>
      </c>
      <c r="N523" s="9">
        <f t="shared" si="48"/>
        <v>4.4398760783297981E-3</v>
      </c>
      <c r="O523" s="5">
        <v>45090</v>
      </c>
      <c r="P523">
        <f t="shared" si="49"/>
        <v>1.0003945921968718</v>
      </c>
      <c r="Q523" s="6">
        <f t="shared" si="52"/>
        <v>1.0002400576138273</v>
      </c>
      <c r="R523">
        <f t="shared" si="53"/>
        <v>1.544855612356733E-4</v>
      </c>
      <c r="T523" s="5">
        <v>45090</v>
      </c>
      <c r="U523" s="1">
        <v>1.544855612356733E-4</v>
      </c>
    </row>
    <row r="524" spans="3:21" x14ac:dyDescent="0.2">
      <c r="C524" s="5">
        <v>45091</v>
      </c>
      <c r="D524" s="6">
        <v>0.99987999999999999</v>
      </c>
      <c r="E524" s="6">
        <v>25113.9</v>
      </c>
      <c r="F524" s="6">
        <v>25343.17</v>
      </c>
      <c r="G524" s="6">
        <v>25116.5</v>
      </c>
      <c r="H524" s="6">
        <v>25130.23</v>
      </c>
      <c r="I524" s="5">
        <v>45091</v>
      </c>
      <c r="J524" s="7">
        <f t="shared" si="50"/>
        <v>-6.4981498378638436E-4</v>
      </c>
      <c r="K524" s="5">
        <v>45091</v>
      </c>
      <c r="L524" s="8">
        <f t="shared" si="51"/>
        <v>9.0247446897457149E-3</v>
      </c>
      <c r="M524" s="5">
        <v>45091</v>
      </c>
      <c r="N524" s="9">
        <f t="shared" si="48"/>
        <v>8.3749297059593306E-3</v>
      </c>
      <c r="O524" s="5">
        <v>45091</v>
      </c>
      <c r="P524">
        <f t="shared" si="49"/>
        <v>1.0005466525988893</v>
      </c>
      <c r="Q524" s="6">
        <f t="shared" si="52"/>
        <v>1.0001200144017282</v>
      </c>
      <c r="R524">
        <f t="shared" si="53"/>
        <v>4.2649603821097481E-4</v>
      </c>
      <c r="T524" s="5">
        <v>45091</v>
      </c>
      <c r="U524" s="1">
        <v>4.2649603821097481E-4</v>
      </c>
    </row>
    <row r="525" spans="3:21" x14ac:dyDescent="0.2">
      <c r="C525" s="5">
        <v>45092</v>
      </c>
      <c r="D525" s="6">
        <v>0.99907999999999997</v>
      </c>
      <c r="E525" s="6">
        <v>25585.9</v>
      </c>
      <c r="F525" s="6">
        <v>25672.77</v>
      </c>
      <c r="G525" s="6">
        <v>25583.5</v>
      </c>
      <c r="H525" s="6">
        <v>25596.639999999999</v>
      </c>
      <c r="I525" s="5">
        <v>45092</v>
      </c>
      <c r="J525" s="7">
        <f t="shared" si="50"/>
        <v>-4.1958632070451292E-4</v>
      </c>
      <c r="K525" s="5">
        <v>45092</v>
      </c>
      <c r="L525" s="8">
        <f t="shared" si="51"/>
        <v>3.489358375515486E-3</v>
      </c>
      <c r="M525" s="5">
        <v>45092</v>
      </c>
      <c r="N525" s="9">
        <f t="shared" si="48"/>
        <v>3.0697720548109732E-3</v>
      </c>
      <c r="O525" s="5">
        <v>45092</v>
      </c>
      <c r="P525">
        <f t="shared" si="49"/>
        <v>1.0005136122891707</v>
      </c>
      <c r="Q525" s="6">
        <f t="shared" si="52"/>
        <v>1.0009208471794051</v>
      </c>
      <c r="R525">
        <f t="shared" si="53"/>
        <v>-4.0694302421720322E-4</v>
      </c>
      <c r="T525" s="5">
        <v>45092</v>
      </c>
      <c r="U525" s="1">
        <v>-4.0694302421720322E-4</v>
      </c>
    </row>
    <row r="526" spans="3:21" x14ac:dyDescent="0.2">
      <c r="C526" s="5">
        <v>45093</v>
      </c>
      <c r="D526" s="6">
        <v>0.99929000000000001</v>
      </c>
      <c r="E526" s="6">
        <v>26325.200000000001</v>
      </c>
      <c r="F526" s="6">
        <v>26431.279999999999</v>
      </c>
      <c r="G526" s="6">
        <v>26343.5</v>
      </c>
      <c r="H526" s="6">
        <v>26345.9</v>
      </c>
      <c r="I526" s="5">
        <v>45093</v>
      </c>
      <c r="J526" s="7">
        <f t="shared" si="50"/>
        <v>-7.8570100091478092E-4</v>
      </c>
      <c r="K526" s="5">
        <v>45093</v>
      </c>
      <c r="L526" s="8">
        <f t="shared" si="51"/>
        <v>3.3321312657770925E-3</v>
      </c>
      <c r="M526" s="5">
        <v>45093</v>
      </c>
      <c r="N526" s="9">
        <f t="shared" si="48"/>
        <v>2.5464302648623115E-3</v>
      </c>
      <c r="O526" s="5">
        <v>45093</v>
      </c>
      <c r="P526">
        <f t="shared" si="49"/>
        <v>1.000091104067417</v>
      </c>
      <c r="Q526" s="6">
        <f t="shared" si="52"/>
        <v>1.0007105044581652</v>
      </c>
      <c r="R526">
        <f t="shared" si="53"/>
        <v>-6.1915225167370053E-4</v>
      </c>
      <c r="T526" s="5">
        <v>45093</v>
      </c>
      <c r="U526" s="1">
        <v>-6.1915225167370053E-4</v>
      </c>
    </row>
    <row r="527" spans="3:21" x14ac:dyDescent="0.2">
      <c r="C527" s="5">
        <v>45094</v>
      </c>
      <c r="D527" s="6">
        <v>0.99961</v>
      </c>
      <c r="E527" s="6">
        <v>26505</v>
      </c>
      <c r="F527" s="6">
        <v>26595.81</v>
      </c>
      <c r="G527" s="6">
        <v>26519</v>
      </c>
      <c r="H527" s="6">
        <v>26518.93</v>
      </c>
      <c r="I527" s="5">
        <v>45094</v>
      </c>
      <c r="J527" s="7">
        <f t="shared" si="50"/>
        <v>-5.2528514536598163E-4</v>
      </c>
      <c r="K527" s="5">
        <v>45094</v>
      </c>
      <c r="L527" s="8">
        <f t="shared" si="51"/>
        <v>2.8964138919265925E-3</v>
      </c>
      <c r="M527" s="5">
        <v>45094</v>
      </c>
      <c r="N527" s="9">
        <f t="shared" si="48"/>
        <v>2.3711287465606108E-3</v>
      </c>
      <c r="O527" s="5">
        <v>45094</v>
      </c>
      <c r="P527">
        <f t="shared" si="49"/>
        <v>0.99999736038312159</v>
      </c>
      <c r="Q527" s="6">
        <f t="shared" si="52"/>
        <v>1.0003901521593421</v>
      </c>
      <c r="R527">
        <f t="shared" si="53"/>
        <v>-3.9271569014093656E-4</v>
      </c>
      <c r="T527" s="5">
        <v>45094</v>
      </c>
      <c r="U527" s="1">
        <v>-3.9271569014093656E-4</v>
      </c>
    </row>
    <row r="528" spans="3:21" x14ac:dyDescent="0.2">
      <c r="C528" s="5">
        <v>45095</v>
      </c>
      <c r="D528" s="6">
        <v>0.99980999999999998</v>
      </c>
      <c r="E528" s="6">
        <v>26333.5</v>
      </c>
      <c r="F528" s="6">
        <v>26434.75</v>
      </c>
      <c r="G528" s="6">
        <v>26330.5</v>
      </c>
      <c r="H528" s="6">
        <v>26342.67</v>
      </c>
      <c r="I528" s="5">
        <v>45095</v>
      </c>
      <c r="J528" s="7">
        <f t="shared" si="50"/>
        <v>-3.4810442525371398E-4</v>
      </c>
      <c r="K528" s="5">
        <v>45095</v>
      </c>
      <c r="L528" s="8">
        <f t="shared" si="51"/>
        <v>3.9592867587018854E-3</v>
      </c>
      <c r="M528" s="5">
        <v>45095</v>
      </c>
      <c r="N528" s="9">
        <f t="shared" si="48"/>
        <v>3.6111823334481715E-3</v>
      </c>
      <c r="O528" s="5">
        <v>45095</v>
      </c>
      <c r="P528">
        <f t="shared" si="49"/>
        <v>1.0004622016292892</v>
      </c>
      <c r="Q528" s="6">
        <f t="shared" si="52"/>
        <v>1.0001900361068603</v>
      </c>
      <c r="R528">
        <f t="shared" si="53"/>
        <v>2.7207679473145263E-4</v>
      </c>
      <c r="T528" s="5">
        <v>45095</v>
      </c>
      <c r="U528" s="1">
        <v>2.7207679473145263E-4</v>
      </c>
    </row>
    <row r="529" spans="3:21" x14ac:dyDescent="0.2">
      <c r="C529" s="5">
        <v>45096</v>
      </c>
      <c r="D529" s="6">
        <v>0.99973999999999996</v>
      </c>
      <c r="E529" s="6">
        <v>26827.4</v>
      </c>
      <c r="F529" s="6">
        <v>26948.99</v>
      </c>
      <c r="G529" s="6">
        <v>26830.5</v>
      </c>
      <c r="H529" s="6">
        <v>26845.78</v>
      </c>
      <c r="I529" s="5">
        <v>45096</v>
      </c>
      <c r="J529" s="7">
        <f t="shared" si="50"/>
        <v>-6.8465136792439558E-4</v>
      </c>
      <c r="K529" s="5">
        <v>45096</v>
      </c>
      <c r="L529" s="8">
        <f t="shared" si="51"/>
        <v>4.4162427088575169E-3</v>
      </c>
      <c r="M529" s="5">
        <v>45096</v>
      </c>
      <c r="N529" s="9">
        <f t="shared" si="48"/>
        <v>3.7315913409331214E-3</v>
      </c>
      <c r="O529" s="5">
        <v>45096</v>
      </c>
      <c r="P529">
        <f t="shared" si="49"/>
        <v>1.0005695011274482</v>
      </c>
      <c r="Q529" s="6">
        <f t="shared" si="52"/>
        <v>1.0002600676175806</v>
      </c>
      <c r="R529">
        <f t="shared" si="53"/>
        <v>3.093052173641988E-4</v>
      </c>
      <c r="T529" s="5">
        <v>45096</v>
      </c>
      <c r="U529" s="1">
        <v>3.093052173641988E-4</v>
      </c>
    </row>
    <row r="530" spans="3:21" x14ac:dyDescent="0.2">
      <c r="C530" s="5">
        <v>45097</v>
      </c>
      <c r="D530" s="6">
        <v>1.0001800000000001</v>
      </c>
      <c r="E530" s="6">
        <v>28286</v>
      </c>
      <c r="F530" s="6">
        <v>28366.07</v>
      </c>
      <c r="G530" s="6">
        <v>28313.5</v>
      </c>
      <c r="H530" s="6">
        <v>28303.87</v>
      </c>
      <c r="I530" s="5">
        <v>45097</v>
      </c>
      <c r="J530" s="7">
        <f t="shared" si="50"/>
        <v>-6.313624249969697E-4</v>
      </c>
      <c r="K530" s="5">
        <v>45097</v>
      </c>
      <c r="L530" s="8">
        <f t="shared" si="51"/>
        <v>1.8567114627297829E-3</v>
      </c>
      <c r="M530" s="5">
        <v>45097</v>
      </c>
      <c r="N530" s="9">
        <f t="shared" si="48"/>
        <v>1.2253490377328131E-3</v>
      </c>
      <c r="O530" s="5">
        <v>45097</v>
      </c>
      <c r="P530">
        <f t="shared" si="49"/>
        <v>0.99965987956275282</v>
      </c>
      <c r="Q530" s="6">
        <f t="shared" si="52"/>
        <v>0.99982003239416894</v>
      </c>
      <c r="R530">
        <f t="shared" si="53"/>
        <v>-1.6019448937781058E-4</v>
      </c>
      <c r="T530" s="5">
        <v>45097</v>
      </c>
      <c r="U530" s="1">
        <v>-1.6019448937781058E-4</v>
      </c>
    </row>
    <row r="531" spans="3:21" x14ac:dyDescent="0.2">
      <c r="C531" s="5">
        <v>45098</v>
      </c>
      <c r="D531" s="6">
        <v>1.0000100000000001</v>
      </c>
      <c r="E531" s="6">
        <v>29985.7</v>
      </c>
      <c r="F531" s="6">
        <v>30060.33</v>
      </c>
      <c r="G531" s="6">
        <v>30001</v>
      </c>
      <c r="H531" s="6">
        <v>29995.09</v>
      </c>
      <c r="I531" s="5">
        <v>45098</v>
      </c>
      <c r="J531" s="7">
        <f t="shared" si="50"/>
        <v>-3.1305123605228114E-4</v>
      </c>
      <c r="K531" s="5">
        <v>45098</v>
      </c>
      <c r="L531" s="8">
        <f t="shared" si="51"/>
        <v>1.9776007466418368E-3</v>
      </c>
      <c r="M531" s="5">
        <v>45098</v>
      </c>
      <c r="N531" s="9">
        <f t="shared" si="48"/>
        <v>1.6645495105895556E-3</v>
      </c>
      <c r="O531" s="5">
        <v>45098</v>
      </c>
      <c r="P531">
        <f t="shared" si="49"/>
        <v>0.99980300656644783</v>
      </c>
      <c r="Q531" s="6">
        <f t="shared" si="52"/>
        <v>0.99999000009999894</v>
      </c>
      <c r="R531">
        <f t="shared" si="53"/>
        <v>-1.8701288930677592E-4</v>
      </c>
      <c r="T531" s="5">
        <v>45098</v>
      </c>
      <c r="U531" s="1">
        <v>-1.8701288930677592E-4</v>
      </c>
    </row>
    <row r="532" spans="3:21" x14ac:dyDescent="0.2">
      <c r="C532" s="5">
        <v>45099</v>
      </c>
      <c r="D532" s="6">
        <v>1.0001599999999999</v>
      </c>
      <c r="E532" s="6">
        <v>29876.400000000001</v>
      </c>
      <c r="F532" s="6">
        <v>29954.27</v>
      </c>
      <c r="G532" s="6">
        <v>29884.5</v>
      </c>
      <c r="H532" s="6">
        <v>29887.38</v>
      </c>
      <c r="I532" s="5">
        <v>45099</v>
      </c>
      <c r="J532" s="7">
        <f t="shared" si="50"/>
        <v>-3.6737914129641216E-4</v>
      </c>
      <c r="K532" s="5">
        <v>45099</v>
      </c>
      <c r="L532" s="8">
        <f t="shared" si="51"/>
        <v>2.334655088758401E-3</v>
      </c>
      <c r="M532" s="5">
        <v>45099</v>
      </c>
      <c r="N532" s="9">
        <f t="shared" si="48"/>
        <v>1.9672759474619887E-3</v>
      </c>
      <c r="O532" s="5">
        <v>45099</v>
      </c>
      <c r="P532">
        <f t="shared" si="49"/>
        <v>1.0000963710284596</v>
      </c>
      <c r="Q532" s="6">
        <f t="shared" si="52"/>
        <v>0.99984002559590468</v>
      </c>
      <c r="R532">
        <f t="shared" si="53"/>
        <v>2.5635358643559536E-4</v>
      </c>
      <c r="T532" s="5">
        <v>45099</v>
      </c>
      <c r="U532" s="1">
        <v>2.5635358643559536E-4</v>
      </c>
    </row>
    <row r="533" spans="3:21" x14ac:dyDescent="0.2">
      <c r="C533" s="5">
        <v>45100</v>
      </c>
      <c r="D533" s="6">
        <v>1.00058</v>
      </c>
      <c r="E533" s="6">
        <v>30674.1</v>
      </c>
      <c r="F533" s="6">
        <v>30796.14</v>
      </c>
      <c r="G533" s="6">
        <v>30690</v>
      </c>
      <c r="H533" s="6">
        <v>30686.59</v>
      </c>
      <c r="I533" s="5">
        <v>45100</v>
      </c>
      <c r="J533" s="7">
        <f t="shared" si="50"/>
        <v>-4.070181796022823E-4</v>
      </c>
      <c r="K533" s="5">
        <v>45100</v>
      </c>
      <c r="L533" s="8">
        <f t="shared" si="51"/>
        <v>3.458455522971633E-3</v>
      </c>
      <c r="M533" s="5">
        <v>45100</v>
      </c>
      <c r="N533" s="9">
        <f t="shared" si="48"/>
        <v>3.0514373433693509E-3</v>
      </c>
      <c r="O533" s="5">
        <v>45100</v>
      </c>
      <c r="P533">
        <f t="shared" si="49"/>
        <v>0.99988888888888894</v>
      </c>
      <c r="Q533" s="6">
        <f t="shared" si="52"/>
        <v>0.99942033620500104</v>
      </c>
      <c r="R533">
        <f t="shared" si="53"/>
        <v>4.6871458060133449E-4</v>
      </c>
      <c r="T533" s="5">
        <v>45100</v>
      </c>
      <c r="U533" s="1">
        <v>4.6871458060133449E-4</v>
      </c>
    </row>
    <row r="534" spans="3:21" x14ac:dyDescent="0.2">
      <c r="C534" s="5">
        <v>45101</v>
      </c>
      <c r="D534" s="6">
        <v>1.0005999999999999</v>
      </c>
      <c r="E534" s="6">
        <v>30528</v>
      </c>
      <c r="F534" s="6">
        <v>30616.14</v>
      </c>
      <c r="G534" s="6">
        <v>30541.5</v>
      </c>
      <c r="H534" s="6">
        <v>30530.63</v>
      </c>
      <c r="I534" s="5">
        <v>45101</v>
      </c>
      <c r="J534" s="7">
        <f t="shared" si="50"/>
        <v>-8.6142998031845999E-5</v>
      </c>
      <c r="K534" s="5">
        <v>45101</v>
      </c>
      <c r="L534" s="8">
        <f t="shared" si="51"/>
        <v>2.4438878247630084E-3</v>
      </c>
      <c r="M534" s="5">
        <v>45101</v>
      </c>
      <c r="N534" s="9">
        <f t="shared" si="48"/>
        <v>2.3577448267311624E-3</v>
      </c>
      <c r="O534" s="5">
        <v>45101</v>
      </c>
      <c r="P534">
        <f t="shared" si="49"/>
        <v>0.99964409082723504</v>
      </c>
      <c r="Q534" s="6">
        <f t="shared" si="52"/>
        <v>0.99940035978412955</v>
      </c>
      <c r="R534">
        <f t="shared" si="53"/>
        <v>2.4384754850105526E-4</v>
      </c>
      <c r="T534" s="5">
        <v>45101</v>
      </c>
      <c r="U534" s="1">
        <v>2.4384754850105526E-4</v>
      </c>
    </row>
    <row r="535" spans="3:21" x14ac:dyDescent="0.2">
      <c r="C535" s="5">
        <v>45102</v>
      </c>
      <c r="D535" s="6">
        <v>1.00041</v>
      </c>
      <c r="E535" s="6">
        <v>30460.1</v>
      </c>
      <c r="F535" s="6">
        <v>30540.23</v>
      </c>
      <c r="G535" s="6">
        <v>30475</v>
      </c>
      <c r="H535" s="6">
        <v>30469.09</v>
      </c>
      <c r="I535" s="5">
        <v>45102</v>
      </c>
      <c r="J535" s="7">
        <f t="shared" si="50"/>
        <v>-2.950531177662871E-4</v>
      </c>
      <c r="K535" s="5">
        <v>45102</v>
      </c>
      <c r="L535" s="8">
        <f t="shared" si="51"/>
        <v>2.1404429860541283E-3</v>
      </c>
      <c r="M535" s="5">
        <v>45102</v>
      </c>
      <c r="N535" s="9">
        <f t="shared" si="48"/>
        <v>1.8453898682878412E-3</v>
      </c>
      <c r="O535" s="5">
        <v>45102</v>
      </c>
      <c r="P535">
        <f t="shared" si="49"/>
        <v>0.99980607054963089</v>
      </c>
      <c r="Q535" s="6">
        <f t="shared" si="52"/>
        <v>0.99959016803110723</v>
      </c>
      <c r="R535">
        <f t="shared" si="53"/>
        <v>2.1596771585008634E-4</v>
      </c>
      <c r="T535" s="5">
        <v>45102</v>
      </c>
      <c r="U535" s="1">
        <v>2.1596771585008634E-4</v>
      </c>
    </row>
    <row r="536" spans="3:21" x14ac:dyDescent="0.2">
      <c r="C536" s="5">
        <v>45103</v>
      </c>
      <c r="D536" s="6">
        <v>1.00014</v>
      </c>
      <c r="E536" s="6">
        <v>30262.2</v>
      </c>
      <c r="F536" s="6">
        <v>30335.32</v>
      </c>
      <c r="G536" s="6">
        <v>30259</v>
      </c>
      <c r="H536" s="6">
        <v>30269.759999999998</v>
      </c>
      <c r="I536" s="5">
        <v>45103</v>
      </c>
      <c r="J536" s="7">
        <f t="shared" si="50"/>
        <v>-2.4975421014232263E-4</v>
      </c>
      <c r="K536" s="5">
        <v>45103</v>
      </c>
      <c r="L536" s="8">
        <f t="shared" si="51"/>
        <v>2.5222247926236724E-3</v>
      </c>
      <c r="M536" s="5">
        <v>45103</v>
      </c>
      <c r="N536" s="9">
        <f t="shared" si="48"/>
        <v>2.27247058248135E-3</v>
      </c>
      <c r="O536" s="5">
        <v>45103</v>
      </c>
      <c r="P536">
        <f t="shared" si="49"/>
        <v>1.0003555966819788</v>
      </c>
      <c r="Q536" s="6">
        <f t="shared" si="52"/>
        <v>0.99986001959725634</v>
      </c>
      <c r="R536">
        <f t="shared" si="53"/>
        <v>4.9552367337762741E-4</v>
      </c>
      <c r="T536" s="5">
        <v>45103</v>
      </c>
      <c r="U536" s="1">
        <v>4.9552367337762741E-4</v>
      </c>
    </row>
    <row r="537" spans="3:21" x14ac:dyDescent="0.2">
      <c r="C537" s="5">
        <v>45104</v>
      </c>
      <c r="D537" s="6">
        <v>1.0001800000000001</v>
      </c>
      <c r="E537" s="6">
        <v>30680.7</v>
      </c>
      <c r="F537" s="6">
        <v>30771.86</v>
      </c>
      <c r="G537" s="6">
        <v>30697</v>
      </c>
      <c r="H537" s="6">
        <v>30690.49</v>
      </c>
      <c r="I537" s="5">
        <v>45104</v>
      </c>
      <c r="J537" s="7">
        <f t="shared" si="50"/>
        <v>-3.1899132271921601E-4</v>
      </c>
      <c r="K537" s="5">
        <v>45104</v>
      </c>
      <c r="L537" s="8">
        <f t="shared" si="51"/>
        <v>2.4386747890673545E-3</v>
      </c>
      <c r="M537" s="5">
        <v>45104</v>
      </c>
      <c r="N537" s="9">
        <f t="shared" si="48"/>
        <v>2.1196834663481383E-3</v>
      </c>
      <c r="O537" s="5">
        <v>45104</v>
      </c>
      <c r="P537">
        <f t="shared" si="49"/>
        <v>0.99978792715900577</v>
      </c>
      <c r="Q537" s="6">
        <f t="shared" si="52"/>
        <v>0.99982003239416894</v>
      </c>
      <c r="R537">
        <f t="shared" si="53"/>
        <v>-3.2111529675146332E-5</v>
      </c>
      <c r="T537" s="5">
        <v>45104</v>
      </c>
      <c r="U537" s="1">
        <v>-3.2111529675146332E-5</v>
      </c>
    </row>
    <row r="538" spans="3:21" x14ac:dyDescent="0.2">
      <c r="C538" s="5">
        <v>45105</v>
      </c>
      <c r="D538" s="6">
        <v>0.99997000000000003</v>
      </c>
      <c r="E538" s="6">
        <v>30057.9</v>
      </c>
      <c r="F538" s="6">
        <v>30182.31</v>
      </c>
      <c r="G538" s="6">
        <v>30065.5</v>
      </c>
      <c r="H538" s="6">
        <v>30078.3</v>
      </c>
      <c r="I538" s="5">
        <v>45105</v>
      </c>
      <c r="J538" s="7">
        <f t="shared" si="50"/>
        <v>-6.7822982016928538E-4</v>
      </c>
      <c r="K538" s="5">
        <v>45105</v>
      </c>
      <c r="L538" s="8">
        <f t="shared" si="51"/>
        <v>3.8851840149008434E-3</v>
      </c>
      <c r="M538" s="5">
        <v>45105</v>
      </c>
      <c r="N538" s="9">
        <f t="shared" si="48"/>
        <v>3.2069541947315578E-3</v>
      </c>
      <c r="O538" s="5">
        <v>45105</v>
      </c>
      <c r="P538">
        <f t="shared" si="49"/>
        <v>1.0004257371405763</v>
      </c>
      <c r="Q538" s="6">
        <f t="shared" si="52"/>
        <v>1.0000300009000269</v>
      </c>
      <c r="R538">
        <f t="shared" si="53"/>
        <v>3.956460902245174E-4</v>
      </c>
      <c r="T538" s="5">
        <v>45105</v>
      </c>
      <c r="U538" s="1">
        <v>3.956460902245174E-4</v>
      </c>
    </row>
    <row r="539" spans="3:21" x14ac:dyDescent="0.2">
      <c r="C539" s="5">
        <v>45106</v>
      </c>
      <c r="D539" s="6">
        <v>0.99990999999999997</v>
      </c>
      <c r="E539" s="6">
        <v>30433.7</v>
      </c>
      <c r="F539" s="6">
        <v>30532.77</v>
      </c>
      <c r="G539" s="6">
        <v>30456</v>
      </c>
      <c r="H539" s="6">
        <v>30450.49</v>
      </c>
      <c r="I539" s="5">
        <v>45106</v>
      </c>
      <c r="J539" s="7">
        <f t="shared" si="50"/>
        <v>-5.5138685781413934E-4</v>
      </c>
      <c r="K539" s="5">
        <v>45106</v>
      </c>
      <c r="L539" s="8">
        <f t="shared" si="51"/>
        <v>2.5206855791962317E-3</v>
      </c>
      <c r="M539" s="5">
        <v>45106</v>
      </c>
      <c r="N539" s="9">
        <f t="shared" si="48"/>
        <v>1.9692987213820925E-3</v>
      </c>
      <c r="O539" s="5">
        <v>45106</v>
      </c>
      <c r="P539">
        <f t="shared" si="49"/>
        <v>0.999819083267665</v>
      </c>
      <c r="Q539" s="6">
        <f t="shared" si="52"/>
        <v>1.0000900081007291</v>
      </c>
      <c r="R539">
        <f t="shared" si="53"/>
        <v>-2.7093714998420421E-4</v>
      </c>
      <c r="T539" s="5">
        <v>45106</v>
      </c>
      <c r="U539" s="1">
        <v>-2.7093714998420421E-4</v>
      </c>
    </row>
    <row r="540" spans="3:21" x14ac:dyDescent="0.2">
      <c r="C540" s="5">
        <v>45107</v>
      </c>
      <c r="D540" s="6">
        <v>0.99975000000000003</v>
      </c>
      <c r="E540" s="6">
        <v>30465.5</v>
      </c>
      <c r="F540" s="6">
        <v>30466.14</v>
      </c>
      <c r="G540" s="6">
        <v>30460.5</v>
      </c>
      <c r="H540" s="6">
        <v>30477.09</v>
      </c>
      <c r="I540" s="5">
        <v>45107</v>
      </c>
      <c r="J540" s="7">
        <f t="shared" si="50"/>
        <v>-3.8028565063134785E-4</v>
      </c>
      <c r="K540" s="5">
        <v>45107</v>
      </c>
      <c r="L540" s="8">
        <f t="shared" si="51"/>
        <v>1.851578273501557E-4</v>
      </c>
      <c r="M540" s="5">
        <v>45107</v>
      </c>
      <c r="N540" s="9">
        <f t="shared" si="48"/>
        <v>-1.9512782328119215E-4</v>
      </c>
      <c r="O540" s="5">
        <v>45107</v>
      </c>
      <c r="P540">
        <f t="shared" si="49"/>
        <v>1.0005446397793865</v>
      </c>
      <c r="Q540" s="6">
        <f t="shared" si="52"/>
        <v>1.000250062515629</v>
      </c>
      <c r="R540">
        <f t="shared" si="53"/>
        <v>2.9446026176302079E-4</v>
      </c>
      <c r="T540" s="5">
        <v>45107</v>
      </c>
      <c r="U540" s="1">
        <v>2.9446026176302079E-4</v>
      </c>
    </row>
    <row r="541" spans="3:21" x14ac:dyDescent="0.2">
      <c r="C541" s="5">
        <v>45108</v>
      </c>
      <c r="D541" s="6">
        <v>0.99994000000000005</v>
      </c>
      <c r="E541" s="6">
        <v>30577</v>
      </c>
      <c r="F541" s="6">
        <v>30635.87</v>
      </c>
      <c r="G541" s="6">
        <v>30590.5</v>
      </c>
      <c r="H541" s="6">
        <v>30587.66</v>
      </c>
      <c r="I541" s="5">
        <v>45108</v>
      </c>
      <c r="J541" s="7">
        <f t="shared" si="50"/>
        <v>-3.4850655460404146E-4</v>
      </c>
      <c r="K541" s="5">
        <v>45108</v>
      </c>
      <c r="L541" s="8">
        <f t="shared" si="51"/>
        <v>1.4831401905820102E-3</v>
      </c>
      <c r="M541" s="5">
        <v>45108</v>
      </c>
      <c r="N541" s="9">
        <f t="shared" si="48"/>
        <v>1.1346336359779688E-3</v>
      </c>
      <c r="O541" s="5">
        <v>45108</v>
      </c>
      <c r="P541">
        <f t="shared" si="49"/>
        <v>0.99990716071983132</v>
      </c>
      <c r="Q541" s="6">
        <f t="shared" si="52"/>
        <v>1.0000600036002159</v>
      </c>
      <c r="R541">
        <f t="shared" si="53"/>
        <v>-1.5284539007320714E-4</v>
      </c>
      <c r="T541" s="5">
        <v>45108</v>
      </c>
      <c r="U541" s="1">
        <v>-1.5284539007320714E-4</v>
      </c>
    </row>
    <row r="542" spans="3:21" x14ac:dyDescent="0.2">
      <c r="C542" s="5">
        <v>45109</v>
      </c>
      <c r="D542" s="6">
        <v>0.99987000000000004</v>
      </c>
      <c r="E542" s="6">
        <v>30601.9</v>
      </c>
      <c r="F542" s="6">
        <v>30631.09</v>
      </c>
      <c r="G542" s="6">
        <v>30619.5</v>
      </c>
      <c r="H542" s="6">
        <v>30616.02</v>
      </c>
      <c r="I542" s="5">
        <v>45109</v>
      </c>
      <c r="J542" s="7">
        <f t="shared" si="50"/>
        <v>-4.6119645858602721E-4</v>
      </c>
      <c r="K542" s="5">
        <v>45109</v>
      </c>
      <c r="L542" s="8">
        <f t="shared" si="51"/>
        <v>3.7851695814759042E-4</v>
      </c>
      <c r="M542" s="5">
        <v>45109</v>
      </c>
      <c r="N542" s="9">
        <f t="shared" si="48"/>
        <v>-8.2679500438436783E-5</v>
      </c>
      <c r="O542" s="5">
        <v>45109</v>
      </c>
      <c r="P542">
        <f t="shared" si="49"/>
        <v>0.99988634693577638</v>
      </c>
      <c r="Q542" s="6">
        <f t="shared" si="52"/>
        <v>1.0001300169021972</v>
      </c>
      <c r="R542">
        <f t="shared" si="53"/>
        <v>-2.4366797395481755E-4</v>
      </c>
      <c r="T542" s="5">
        <v>45109</v>
      </c>
      <c r="U542" s="1">
        <v>-2.4366797395481755E-4</v>
      </c>
    </row>
    <row r="543" spans="3:21" x14ac:dyDescent="0.2">
      <c r="C543" s="5">
        <v>45110</v>
      </c>
      <c r="D543" s="6">
        <v>1.0000599999999999</v>
      </c>
      <c r="E543" s="6">
        <v>31149.1</v>
      </c>
      <c r="F543" s="6">
        <v>31227.1</v>
      </c>
      <c r="G543" s="6">
        <v>31167</v>
      </c>
      <c r="H543" s="6">
        <v>31157.42</v>
      </c>
      <c r="I543" s="5">
        <v>45110</v>
      </c>
      <c r="J543" s="7">
        <f t="shared" si="50"/>
        <v>-2.6703109564269796E-4</v>
      </c>
      <c r="K543" s="5">
        <v>45110</v>
      </c>
      <c r="L543" s="8">
        <f t="shared" si="51"/>
        <v>1.9283216222285926E-3</v>
      </c>
      <c r="M543" s="5">
        <v>45110</v>
      </c>
      <c r="N543" s="9">
        <f t="shared" si="48"/>
        <v>1.6612905265858946E-3</v>
      </c>
      <c r="O543" s="5">
        <v>45110</v>
      </c>
      <c r="P543">
        <f t="shared" si="49"/>
        <v>0.99969262360830358</v>
      </c>
      <c r="Q543" s="6">
        <f t="shared" si="52"/>
        <v>0.99994000359978408</v>
      </c>
      <c r="R543">
        <f t="shared" si="53"/>
        <v>-2.4742544143008699E-4</v>
      </c>
      <c r="T543" s="5">
        <v>45110</v>
      </c>
      <c r="U543" s="1">
        <v>-2.4742544143008699E-4</v>
      </c>
    </row>
    <row r="544" spans="3:21" x14ac:dyDescent="0.2">
      <c r="C544" s="5">
        <v>45111</v>
      </c>
      <c r="D544" s="6">
        <v>1.00021</v>
      </c>
      <c r="E544" s="6">
        <v>30754.1</v>
      </c>
      <c r="F544" s="6">
        <v>30865.35</v>
      </c>
      <c r="G544" s="6">
        <v>30769.5</v>
      </c>
      <c r="H544" s="6">
        <v>30765.99</v>
      </c>
      <c r="I544" s="5">
        <v>45111</v>
      </c>
      <c r="J544" s="7">
        <f t="shared" si="50"/>
        <v>-3.8646570450042578E-4</v>
      </c>
      <c r="K544" s="5">
        <v>45111</v>
      </c>
      <c r="L544" s="8">
        <f t="shared" si="51"/>
        <v>3.1150977428947022E-3</v>
      </c>
      <c r="M544" s="5">
        <v>45111</v>
      </c>
      <c r="N544" s="9">
        <f t="shared" si="48"/>
        <v>2.7286320383942764E-3</v>
      </c>
      <c r="O544" s="5">
        <v>45111</v>
      </c>
      <c r="P544">
        <f t="shared" si="49"/>
        <v>0.99988592599814752</v>
      </c>
      <c r="Q544" s="6">
        <f t="shared" si="52"/>
        <v>0.9997900440907409</v>
      </c>
      <c r="R544">
        <f t="shared" si="53"/>
        <v>9.5897444300332995E-5</v>
      </c>
      <c r="T544" s="5">
        <v>45111</v>
      </c>
      <c r="U544" s="1">
        <v>9.5897444300332995E-5</v>
      </c>
    </row>
    <row r="545" spans="3:21" x14ac:dyDescent="0.2">
      <c r="C545" s="5">
        <v>45112</v>
      </c>
      <c r="D545" s="6">
        <v>0.99997999999999998</v>
      </c>
      <c r="E545" s="6">
        <v>30485.3</v>
      </c>
      <c r="F545" s="6">
        <v>30565.42</v>
      </c>
      <c r="G545" s="6">
        <v>30505.5</v>
      </c>
      <c r="H545" s="6">
        <v>30502.53</v>
      </c>
      <c r="I545" s="5">
        <v>45112</v>
      </c>
      <c r="J545" s="7">
        <f t="shared" si="50"/>
        <v>-5.6487117625979104E-4</v>
      </c>
      <c r="K545" s="5">
        <v>45112</v>
      </c>
      <c r="L545" s="8">
        <f t="shared" si="51"/>
        <v>1.9642359574502384E-3</v>
      </c>
      <c r="M545" s="5">
        <v>45112</v>
      </c>
      <c r="N545" s="9">
        <f t="shared" si="48"/>
        <v>1.3993647811904473E-3</v>
      </c>
      <c r="O545" s="5">
        <v>45112</v>
      </c>
      <c r="P545">
        <f t="shared" si="49"/>
        <v>0.99990264050744948</v>
      </c>
      <c r="Q545" s="6">
        <f t="shared" si="52"/>
        <v>1.0000200004000079</v>
      </c>
      <c r="R545">
        <f t="shared" si="53"/>
        <v>-1.17364432296129E-4</v>
      </c>
      <c r="T545" s="5">
        <v>45112</v>
      </c>
      <c r="U545" s="1">
        <v>-1.17364432296129E-4</v>
      </c>
    </row>
    <row r="546" spans="3:21" x14ac:dyDescent="0.2">
      <c r="C546" s="5">
        <v>45113</v>
      </c>
      <c r="D546" s="6">
        <v>0.99997000000000003</v>
      </c>
      <c r="E546" s="6">
        <v>29875.1</v>
      </c>
      <c r="F546" s="6">
        <v>29981.5</v>
      </c>
      <c r="G546" s="6">
        <v>29882.5</v>
      </c>
      <c r="H546" s="6">
        <v>29892.52</v>
      </c>
      <c r="I546" s="5">
        <v>45113</v>
      </c>
      <c r="J546" s="7">
        <f t="shared" si="50"/>
        <v>-5.8275448172325026E-4</v>
      </c>
      <c r="K546" s="5">
        <v>45113</v>
      </c>
      <c r="L546" s="8">
        <f t="shared" si="51"/>
        <v>3.3129758219693803E-3</v>
      </c>
      <c r="M546" s="5">
        <v>45113</v>
      </c>
      <c r="N546" s="9">
        <f t="shared" si="48"/>
        <v>2.73022134024613E-3</v>
      </c>
      <c r="O546" s="5">
        <v>45113</v>
      </c>
      <c r="P546">
        <f t="shared" si="49"/>
        <v>1.000335313310466</v>
      </c>
      <c r="Q546" s="6">
        <f t="shared" si="52"/>
        <v>1.0000300009000269</v>
      </c>
      <c r="R546">
        <f t="shared" si="53"/>
        <v>3.0525665551275416E-4</v>
      </c>
      <c r="T546" s="5">
        <v>45113</v>
      </c>
      <c r="U546" s="1">
        <v>3.0525665551275416E-4</v>
      </c>
    </row>
    <row r="547" spans="3:21" x14ac:dyDescent="0.2">
      <c r="C547" s="5">
        <v>45114</v>
      </c>
      <c r="D547" s="6">
        <v>1.00013</v>
      </c>
      <c r="E547" s="6">
        <v>30331.5</v>
      </c>
      <c r="F547" s="6">
        <v>30441.38</v>
      </c>
      <c r="G547" s="6">
        <v>30330</v>
      </c>
      <c r="H547" s="6">
        <v>30343.15</v>
      </c>
      <c r="I547" s="5">
        <v>45114</v>
      </c>
      <c r="J547" s="7">
        <f t="shared" si="50"/>
        <v>-3.8394168041226619E-4</v>
      </c>
      <c r="K547" s="5">
        <v>45114</v>
      </c>
      <c r="L547" s="8">
        <f t="shared" si="51"/>
        <v>3.6722716782064298E-3</v>
      </c>
      <c r="M547" s="5">
        <v>45114</v>
      </c>
      <c r="N547" s="9">
        <f t="shared" si="48"/>
        <v>3.2883299977941637E-3</v>
      </c>
      <c r="O547" s="5">
        <v>45114</v>
      </c>
      <c r="P547">
        <f t="shared" si="49"/>
        <v>1.0004335641279263</v>
      </c>
      <c r="Q547" s="6">
        <f t="shared" si="52"/>
        <v>0.9998700168978033</v>
      </c>
      <c r="R547">
        <f t="shared" si="53"/>
        <v>5.6346171689001254E-4</v>
      </c>
      <c r="T547" s="5">
        <v>45114</v>
      </c>
      <c r="U547" s="1">
        <v>5.6346171689001254E-4</v>
      </c>
    </row>
    <row r="548" spans="3:21" x14ac:dyDescent="0.2">
      <c r="C548" s="5">
        <v>45115</v>
      </c>
      <c r="D548" s="6">
        <v>1.00021</v>
      </c>
      <c r="E548" s="6">
        <v>30271.3</v>
      </c>
      <c r="F548" s="6">
        <v>30396.92</v>
      </c>
      <c r="G548" s="6">
        <v>30272</v>
      </c>
      <c r="H548" s="6">
        <v>30288.01</v>
      </c>
      <c r="I548" s="5">
        <v>45115</v>
      </c>
      <c r="J548" s="7">
        <f t="shared" si="50"/>
        <v>-5.5170346285540479E-4</v>
      </c>
      <c r="K548" s="5">
        <v>45115</v>
      </c>
      <c r="L548" s="8">
        <f t="shared" si="51"/>
        <v>4.1265856236785891E-3</v>
      </c>
      <c r="M548" s="5">
        <v>45115</v>
      </c>
      <c r="N548" s="9">
        <f t="shared" si="48"/>
        <v>3.5748821608231843E-3</v>
      </c>
      <c r="O548" s="5">
        <v>45115</v>
      </c>
      <c r="P548">
        <f t="shared" si="49"/>
        <v>1.000528871564482</v>
      </c>
      <c r="Q548" s="6">
        <f t="shared" si="52"/>
        <v>0.9997900440907409</v>
      </c>
      <c r="R548">
        <f t="shared" si="53"/>
        <v>7.3870971429252502E-4</v>
      </c>
      <c r="T548" s="5">
        <v>45115</v>
      </c>
      <c r="U548" s="1">
        <v>7.3870971429252502E-4</v>
      </c>
    </row>
    <row r="549" spans="3:21" x14ac:dyDescent="0.2">
      <c r="C549" s="5">
        <v>45116</v>
      </c>
      <c r="D549" s="6">
        <v>1.0001599999999999</v>
      </c>
      <c r="E549" s="6">
        <v>30150</v>
      </c>
      <c r="F549" s="6">
        <v>30287.05</v>
      </c>
      <c r="G549" s="6">
        <v>30162</v>
      </c>
      <c r="H549" s="6">
        <v>30164.01</v>
      </c>
      <c r="I549" s="5">
        <v>45116</v>
      </c>
      <c r="J549" s="7">
        <f t="shared" si="50"/>
        <v>-4.6446079284546054E-4</v>
      </c>
      <c r="K549" s="5">
        <v>45116</v>
      </c>
      <c r="L549" s="8">
        <f t="shared" si="51"/>
        <v>4.1459452290961898E-3</v>
      </c>
      <c r="M549" s="5">
        <v>45116</v>
      </c>
      <c r="N549" s="9">
        <f t="shared" si="48"/>
        <v>3.6814844362507292E-3</v>
      </c>
      <c r="O549" s="5">
        <v>45116</v>
      </c>
      <c r="P549">
        <f t="shared" si="49"/>
        <v>1.0000666401432263</v>
      </c>
      <c r="Q549" s="6">
        <f t="shared" si="52"/>
        <v>0.99984002559590468</v>
      </c>
      <c r="R549">
        <f t="shared" si="53"/>
        <v>2.2662512423576029E-4</v>
      </c>
      <c r="T549" s="5">
        <v>45116</v>
      </c>
      <c r="U549" s="1">
        <v>2.2662512423576029E-4</v>
      </c>
    </row>
    <row r="550" spans="3:21" x14ac:dyDescent="0.2">
      <c r="C550" s="5">
        <v>45117</v>
      </c>
      <c r="D550" s="6">
        <v>1.00014</v>
      </c>
      <c r="E550" s="6">
        <v>30399.1</v>
      </c>
      <c r="F550" s="6">
        <v>30469.39</v>
      </c>
      <c r="G550" s="6">
        <v>30416.5</v>
      </c>
      <c r="H550" s="6">
        <v>30414.69</v>
      </c>
      <c r="I550" s="5">
        <v>45117</v>
      </c>
      <c r="J550" s="7">
        <f t="shared" si="50"/>
        <v>-5.1258125596546098E-4</v>
      </c>
      <c r="K550" s="5">
        <v>45117</v>
      </c>
      <c r="L550" s="8">
        <f t="shared" si="51"/>
        <v>1.7388588430621347E-3</v>
      </c>
      <c r="M550" s="5">
        <v>45117</v>
      </c>
      <c r="N550" s="9">
        <f t="shared" si="48"/>
        <v>1.2262775870966738E-3</v>
      </c>
      <c r="O550" s="5">
        <v>45117</v>
      </c>
      <c r="P550">
        <f t="shared" si="49"/>
        <v>0.99994049282461817</v>
      </c>
      <c r="Q550" s="6">
        <f t="shared" si="52"/>
        <v>0.99986001959725634</v>
      </c>
      <c r="R550">
        <f t="shared" si="53"/>
        <v>8.0481254910672381E-5</v>
      </c>
      <c r="T550" s="5">
        <v>45117</v>
      </c>
      <c r="U550" s="1">
        <v>8.0481254910672381E-5</v>
      </c>
    </row>
    <row r="551" spans="3:21" x14ac:dyDescent="0.2">
      <c r="C551" s="5">
        <v>45118</v>
      </c>
      <c r="D551" s="6">
        <v>1.0000800000000001</v>
      </c>
      <c r="E551" s="6">
        <v>30602.9</v>
      </c>
      <c r="F551" s="6">
        <v>30713.65</v>
      </c>
      <c r="G551" s="6">
        <v>30623.5</v>
      </c>
      <c r="H551" s="6">
        <v>30621.99</v>
      </c>
      <c r="I551" s="5">
        <v>45118</v>
      </c>
      <c r="J551" s="7">
        <f t="shared" si="50"/>
        <v>-6.2340821089681454E-4</v>
      </c>
      <c r="K551" s="5">
        <v>45118</v>
      </c>
      <c r="L551" s="8">
        <f t="shared" si="51"/>
        <v>2.9438176563750537E-3</v>
      </c>
      <c r="M551" s="5">
        <v>45118</v>
      </c>
      <c r="N551" s="9">
        <f t="shared" si="48"/>
        <v>2.3204094454782392E-3</v>
      </c>
      <c r="O551" s="5">
        <v>45118</v>
      </c>
      <c r="P551">
        <f t="shared" si="49"/>
        <v>0.99995069146243898</v>
      </c>
      <c r="Q551" s="6">
        <f t="shared" si="52"/>
        <v>0.99992000639948797</v>
      </c>
      <c r="R551">
        <f t="shared" si="53"/>
        <v>3.0687046903793776E-5</v>
      </c>
      <c r="T551" s="5">
        <v>45118</v>
      </c>
      <c r="U551" s="1">
        <v>3.0687046903793776E-5</v>
      </c>
    </row>
    <row r="552" spans="3:21" x14ac:dyDescent="0.2">
      <c r="C552" s="5">
        <v>45119</v>
      </c>
      <c r="D552" s="6">
        <v>0.99997000000000003</v>
      </c>
      <c r="E552" s="6">
        <v>30367.8</v>
      </c>
      <c r="F552" s="6">
        <v>30487.45</v>
      </c>
      <c r="G552" s="6">
        <v>30380.5</v>
      </c>
      <c r="H552" s="6">
        <v>30384</v>
      </c>
      <c r="I552" s="5">
        <v>45119</v>
      </c>
      <c r="J552" s="7">
        <f t="shared" si="50"/>
        <v>-5.331753554502609E-4</v>
      </c>
      <c r="K552" s="5">
        <v>45119</v>
      </c>
      <c r="L552" s="8">
        <f t="shared" si="51"/>
        <v>3.5203502246507045E-3</v>
      </c>
      <c r="M552" s="5">
        <v>45119</v>
      </c>
      <c r="N552" s="9">
        <f t="shared" si="48"/>
        <v>2.9871748692004438E-3</v>
      </c>
      <c r="O552" s="5">
        <v>45119</v>
      </c>
      <c r="P552">
        <f t="shared" si="49"/>
        <v>1.0001152054771976</v>
      </c>
      <c r="Q552" s="6">
        <f t="shared" si="52"/>
        <v>1.0000300009000269</v>
      </c>
      <c r="R552">
        <f t="shared" si="53"/>
        <v>8.519839154731232E-5</v>
      </c>
      <c r="T552" s="5">
        <v>45119</v>
      </c>
      <c r="U552" s="1">
        <v>8.519839154731232E-5</v>
      </c>
    </row>
    <row r="553" spans="3:21" x14ac:dyDescent="0.2">
      <c r="C553" s="5">
        <v>45120</v>
      </c>
      <c r="D553" s="6">
        <v>1.0004900000000001</v>
      </c>
      <c r="E553" s="6">
        <v>31437.3</v>
      </c>
      <c r="F553" s="6">
        <v>31534.5</v>
      </c>
      <c r="G553" s="6">
        <v>31474</v>
      </c>
      <c r="H553" s="6">
        <v>31452.959999999999</v>
      </c>
      <c r="I553" s="5">
        <v>45120</v>
      </c>
      <c r="J553" s="7">
        <f t="shared" si="50"/>
        <v>-4.9788636745158024E-4</v>
      </c>
      <c r="K553" s="5">
        <v>45120</v>
      </c>
      <c r="L553" s="8">
        <f t="shared" si="51"/>
        <v>1.9222215161720786E-3</v>
      </c>
      <c r="M553" s="5">
        <v>45120</v>
      </c>
      <c r="N553" s="9">
        <f t="shared" si="48"/>
        <v>1.4243351487204983E-3</v>
      </c>
      <c r="O553" s="5">
        <v>45120</v>
      </c>
      <c r="P553">
        <f t="shared" si="49"/>
        <v>0.99933151172396251</v>
      </c>
      <c r="Q553" s="6">
        <f t="shared" si="52"/>
        <v>0.99951023998240851</v>
      </c>
      <c r="R553">
        <f t="shared" si="53"/>
        <v>-1.7883182475028346E-4</v>
      </c>
      <c r="T553" s="5">
        <v>45120</v>
      </c>
      <c r="U553" s="1">
        <v>-1.7883182475028346E-4</v>
      </c>
    </row>
    <row r="554" spans="3:21" x14ac:dyDescent="0.2">
      <c r="C554" s="5">
        <v>45121</v>
      </c>
      <c r="D554" s="6">
        <v>1.00031</v>
      </c>
      <c r="E554" s="6">
        <v>30294.799999999999</v>
      </c>
      <c r="F554" s="6">
        <v>30408.13</v>
      </c>
      <c r="G554" s="6">
        <v>30314.5</v>
      </c>
      <c r="H554" s="6">
        <v>30312.98</v>
      </c>
      <c r="I554" s="5">
        <v>45121</v>
      </c>
      <c r="J554" s="7">
        <f t="shared" si="50"/>
        <v>-5.9974308035700514E-4</v>
      </c>
      <c r="K554" s="5">
        <v>45121</v>
      </c>
      <c r="L554" s="8">
        <f t="shared" si="51"/>
        <v>3.0886209569678212E-3</v>
      </c>
      <c r="M554" s="5">
        <v>45121</v>
      </c>
      <c r="N554" s="9">
        <f t="shared" si="48"/>
        <v>2.4888778766108161E-3</v>
      </c>
      <c r="O554" s="5">
        <v>45121</v>
      </c>
      <c r="P554">
        <f t="shared" si="49"/>
        <v>0.99994985897837663</v>
      </c>
      <c r="Q554" s="6">
        <f t="shared" si="52"/>
        <v>0.99969009607021819</v>
      </c>
      <c r="R554">
        <f t="shared" si="53"/>
        <v>2.5980968120158283E-4</v>
      </c>
      <c r="T554" s="5">
        <v>45121</v>
      </c>
      <c r="U554" s="1">
        <v>2.5980968120158283E-4</v>
      </c>
    </row>
    <row r="555" spans="3:21" x14ac:dyDescent="0.2">
      <c r="C555" s="5">
        <v>45122</v>
      </c>
      <c r="D555" s="6">
        <v>1.0002800000000001</v>
      </c>
      <c r="E555" s="6">
        <v>30268.6</v>
      </c>
      <c r="F555" s="6">
        <v>30462.94</v>
      </c>
      <c r="G555" s="6">
        <v>30283</v>
      </c>
      <c r="H555" s="6">
        <v>30285.99</v>
      </c>
      <c r="I555" s="5">
        <v>45122</v>
      </c>
      <c r="J555" s="7">
        <f t="shared" si="50"/>
        <v>-5.7419288588562089E-4</v>
      </c>
      <c r="K555" s="5">
        <v>45122</v>
      </c>
      <c r="L555" s="8">
        <f t="shared" si="51"/>
        <v>5.9419476273816557E-3</v>
      </c>
      <c r="M555" s="5">
        <v>45122</v>
      </c>
      <c r="N555" s="9">
        <f t="shared" si="48"/>
        <v>5.3677547414960345E-3</v>
      </c>
      <c r="O555" s="5">
        <v>45122</v>
      </c>
      <c r="P555">
        <f t="shared" si="49"/>
        <v>1.0000987352640096</v>
      </c>
      <c r="Q555" s="6">
        <f t="shared" si="52"/>
        <v>0.9997200783780541</v>
      </c>
      <c r="R555">
        <f t="shared" si="53"/>
        <v>3.7869119731999515E-4</v>
      </c>
      <c r="T555" s="5">
        <v>45122</v>
      </c>
      <c r="U555" s="1">
        <v>3.7869119731999515E-4</v>
      </c>
    </row>
    <row r="556" spans="3:21" x14ac:dyDescent="0.2">
      <c r="C556" s="5">
        <v>45123</v>
      </c>
      <c r="D556" s="6">
        <v>1.0005299999999999</v>
      </c>
      <c r="E556" s="6">
        <v>30221.4</v>
      </c>
      <c r="F556" s="6">
        <v>30381.17</v>
      </c>
      <c r="G556" s="6">
        <v>30231.5</v>
      </c>
      <c r="H556" s="6">
        <v>30232.5</v>
      </c>
      <c r="I556" s="5">
        <v>45123</v>
      </c>
      <c r="J556" s="7">
        <f t="shared" si="50"/>
        <v>-3.6715455222024459E-4</v>
      </c>
      <c r="K556" s="5">
        <v>45123</v>
      </c>
      <c r="L556" s="8">
        <f t="shared" si="51"/>
        <v>4.9507963547954373E-3</v>
      </c>
      <c r="M556" s="5">
        <v>45123</v>
      </c>
      <c r="N556" s="9">
        <f t="shared" si="48"/>
        <v>4.5836418025751923E-3</v>
      </c>
      <c r="O556" s="5">
        <v>45123</v>
      </c>
      <c r="P556">
        <f t="shared" si="49"/>
        <v>1.0000330780808098</v>
      </c>
      <c r="Q556" s="6">
        <f t="shared" si="52"/>
        <v>0.99947028075120192</v>
      </c>
      <c r="R556">
        <f t="shared" si="53"/>
        <v>5.6293713334794543E-4</v>
      </c>
      <c r="T556" s="5">
        <v>45123</v>
      </c>
      <c r="U556" s="1">
        <v>5.6293713334794543E-4</v>
      </c>
    </row>
    <row r="557" spans="3:21" x14ac:dyDescent="0.2">
      <c r="C557" s="5">
        <v>45124</v>
      </c>
      <c r="D557" s="6">
        <v>1.00013</v>
      </c>
      <c r="E557" s="6">
        <v>30120</v>
      </c>
      <c r="F557" s="6">
        <v>30256.34</v>
      </c>
      <c r="G557" s="6">
        <v>30136.5</v>
      </c>
      <c r="H557" s="6">
        <v>30138</v>
      </c>
      <c r="I557" s="5">
        <v>45124</v>
      </c>
      <c r="J557" s="7">
        <f t="shared" si="50"/>
        <v>-5.9725263786581729E-4</v>
      </c>
      <c r="K557" s="5">
        <v>45124</v>
      </c>
      <c r="L557" s="8">
        <f t="shared" si="51"/>
        <v>3.9765732583412188E-3</v>
      </c>
      <c r="M557" s="5">
        <v>45124</v>
      </c>
      <c r="N557" s="9">
        <f t="shared" si="48"/>
        <v>3.3793206204754014E-3</v>
      </c>
      <c r="O557" s="5">
        <v>45124</v>
      </c>
      <c r="P557">
        <f t="shared" si="49"/>
        <v>1.0000497735304363</v>
      </c>
      <c r="Q557" s="6">
        <f t="shared" si="52"/>
        <v>0.9998700168978033</v>
      </c>
      <c r="R557">
        <f t="shared" si="53"/>
        <v>1.7976384250751839E-4</v>
      </c>
      <c r="T557" s="5">
        <v>45124</v>
      </c>
      <c r="U557" s="1">
        <v>1.7976384250751839E-4</v>
      </c>
    </row>
    <row r="558" spans="3:21" x14ac:dyDescent="0.2">
      <c r="C558" s="5">
        <v>45125</v>
      </c>
      <c r="D558" s="6">
        <v>1.0001199999999999</v>
      </c>
      <c r="E558" s="6">
        <v>29851</v>
      </c>
      <c r="F558" s="6">
        <v>29956.17</v>
      </c>
      <c r="G558" s="6">
        <v>29860</v>
      </c>
      <c r="H558" s="6">
        <v>29862.15</v>
      </c>
      <c r="I558" s="5">
        <v>45125</v>
      </c>
      <c r="J558" s="7">
        <f t="shared" si="50"/>
        <v>-3.7338235860450282E-4</v>
      </c>
      <c r="K558" s="5">
        <v>45125</v>
      </c>
      <c r="L558" s="8">
        <f t="shared" si="51"/>
        <v>3.2206965840588832E-3</v>
      </c>
      <c r="M558" s="5">
        <v>45125</v>
      </c>
      <c r="N558" s="9">
        <f t="shared" si="48"/>
        <v>2.8473142254543805E-3</v>
      </c>
      <c r="O558" s="5">
        <v>45125</v>
      </c>
      <c r="P558">
        <f t="shared" si="49"/>
        <v>1.0000720026791694</v>
      </c>
      <c r="Q558" s="6">
        <f t="shared" si="52"/>
        <v>0.99988001439827234</v>
      </c>
      <c r="R558">
        <f t="shared" si="53"/>
        <v>1.9199288767683735E-4</v>
      </c>
      <c r="T558" s="5">
        <v>45125</v>
      </c>
      <c r="U558" s="1">
        <v>1.9199288767683735E-4</v>
      </c>
    </row>
    <row r="559" spans="3:21" x14ac:dyDescent="0.2">
      <c r="C559" s="5">
        <v>45126</v>
      </c>
      <c r="D559" s="6">
        <v>1.00004</v>
      </c>
      <c r="E559" s="6">
        <v>29888.799999999999</v>
      </c>
      <c r="F559" s="6">
        <v>30012.35</v>
      </c>
      <c r="G559" s="6">
        <v>29893</v>
      </c>
      <c r="H559" s="6">
        <v>29907.11</v>
      </c>
      <c r="I559" s="5">
        <v>45126</v>
      </c>
      <c r="J559" s="7">
        <f t="shared" si="50"/>
        <v>-6.1222899838872123E-4</v>
      </c>
      <c r="K559" s="5">
        <v>45126</v>
      </c>
      <c r="L559" s="8">
        <f t="shared" si="51"/>
        <v>3.9925735121934414E-3</v>
      </c>
      <c r="M559" s="5">
        <v>45126</v>
      </c>
      <c r="N559" s="9">
        <f t="shared" si="48"/>
        <v>3.3803445138047201E-3</v>
      </c>
      <c r="O559" s="5">
        <v>45126</v>
      </c>
      <c r="P559">
        <f t="shared" si="49"/>
        <v>1.0004720168601346</v>
      </c>
      <c r="Q559" s="6">
        <f t="shared" si="52"/>
        <v>0.99996000159993592</v>
      </c>
      <c r="R559">
        <f t="shared" si="53"/>
        <v>5.1190469524054903E-4</v>
      </c>
      <c r="T559" s="5">
        <v>45126</v>
      </c>
      <c r="U559" s="1">
        <v>5.1190469524054903E-4</v>
      </c>
    </row>
    <row r="560" spans="3:21" x14ac:dyDescent="0.2">
      <c r="C560" s="5">
        <v>45127</v>
      </c>
      <c r="D560" s="6">
        <v>0.99999000000000005</v>
      </c>
      <c r="E560" s="6">
        <v>29792.9</v>
      </c>
      <c r="F560" s="6">
        <v>29895.68</v>
      </c>
      <c r="G560" s="6">
        <v>29796.5</v>
      </c>
      <c r="H560" s="6">
        <v>29807.13</v>
      </c>
      <c r="I560" s="5">
        <v>45127</v>
      </c>
      <c r="J560" s="7">
        <f t="shared" si="50"/>
        <v>-4.7740255435526881E-4</v>
      </c>
      <c r="K560" s="5">
        <v>45127</v>
      </c>
      <c r="L560" s="8">
        <f t="shared" si="51"/>
        <v>3.3285788599332236E-3</v>
      </c>
      <c r="M560" s="5">
        <v>45127</v>
      </c>
      <c r="N560" s="9">
        <f t="shared" si="48"/>
        <v>2.8511763055779548E-3</v>
      </c>
      <c r="O560" s="5">
        <v>45127</v>
      </c>
      <c r="P560">
        <f t="shared" si="49"/>
        <v>1.0003567533099524</v>
      </c>
      <c r="Q560" s="6">
        <f t="shared" si="52"/>
        <v>1.000010000100001</v>
      </c>
      <c r="R560">
        <f t="shared" si="53"/>
        <v>3.4668963862108783E-4</v>
      </c>
      <c r="T560" s="5">
        <v>45127</v>
      </c>
      <c r="U560" s="1">
        <v>3.4668963862108783E-4</v>
      </c>
    </row>
    <row r="561" spans="3:21" x14ac:dyDescent="0.2">
      <c r="C561" s="5">
        <v>45128</v>
      </c>
      <c r="D561" s="6">
        <v>0.99999000000000005</v>
      </c>
      <c r="E561" s="6">
        <v>29888.400000000001</v>
      </c>
      <c r="F561" s="6">
        <v>30005.64</v>
      </c>
      <c r="G561" s="6">
        <v>29887.5</v>
      </c>
      <c r="H561" s="6">
        <v>29900.01</v>
      </c>
      <c r="I561" s="5">
        <v>45128</v>
      </c>
      <c r="J561" s="7">
        <f t="shared" si="50"/>
        <v>-3.8829418451689294E-4</v>
      </c>
      <c r="K561" s="5">
        <v>45128</v>
      </c>
      <c r="L561" s="8">
        <f t="shared" si="51"/>
        <v>3.9528230865746358E-3</v>
      </c>
      <c r="M561" s="5">
        <v>45128</v>
      </c>
      <c r="N561" s="9">
        <f t="shared" si="48"/>
        <v>3.5645289020577427E-3</v>
      </c>
      <c r="O561" s="5">
        <v>45128</v>
      </c>
      <c r="P561">
        <f t="shared" si="49"/>
        <v>1.0004185696361354</v>
      </c>
      <c r="Q561" s="6">
        <f t="shared" si="52"/>
        <v>1.000010000100001</v>
      </c>
      <c r="R561">
        <f t="shared" si="53"/>
        <v>4.0848201030185393E-4</v>
      </c>
      <c r="T561" s="5">
        <v>45128</v>
      </c>
      <c r="U561" s="1">
        <v>4.0848201030185393E-4</v>
      </c>
    </row>
    <row r="562" spans="3:21" x14ac:dyDescent="0.2">
      <c r="C562" s="5">
        <v>45129</v>
      </c>
      <c r="D562" s="6">
        <v>1.0000800000000001</v>
      </c>
      <c r="E562" s="6">
        <v>29774</v>
      </c>
      <c r="F562" s="6">
        <v>29899.41</v>
      </c>
      <c r="G562" s="6">
        <v>29779.5</v>
      </c>
      <c r="H562" s="6">
        <v>29786.080000000002</v>
      </c>
      <c r="I562" s="5">
        <v>45129</v>
      </c>
      <c r="J562" s="7">
        <f t="shared" si="50"/>
        <v>-4.0555856964064242E-4</v>
      </c>
      <c r="K562" s="5">
        <v>45129</v>
      </c>
      <c r="L562" s="8">
        <f t="shared" si="51"/>
        <v>4.0265954767541379E-3</v>
      </c>
      <c r="M562" s="5">
        <v>45129</v>
      </c>
      <c r="N562" s="9">
        <f t="shared" si="48"/>
        <v>3.6210369071134956E-3</v>
      </c>
      <c r="O562" s="5">
        <v>45129</v>
      </c>
      <c r="P562">
        <f t="shared" si="49"/>
        <v>1.0002209573700029</v>
      </c>
      <c r="Q562" s="6">
        <f t="shared" si="52"/>
        <v>0.99992000639948797</v>
      </c>
      <c r="R562">
        <f t="shared" si="53"/>
        <v>3.009297626891973E-4</v>
      </c>
      <c r="T562" s="5">
        <v>45129</v>
      </c>
      <c r="U562" s="1">
        <v>3.009297626891973E-4</v>
      </c>
    </row>
    <row r="563" spans="3:21" x14ac:dyDescent="0.2">
      <c r="C563" s="5">
        <v>45130</v>
      </c>
      <c r="D563" s="6">
        <v>0.99990999999999997</v>
      </c>
      <c r="E563" s="6">
        <v>30071.1</v>
      </c>
      <c r="F563" s="6">
        <v>30189.69</v>
      </c>
      <c r="G563" s="6">
        <v>30066.5</v>
      </c>
      <c r="H563" s="6">
        <v>30086.01</v>
      </c>
      <c r="I563" s="5">
        <v>45130</v>
      </c>
      <c r="J563" s="7">
        <f t="shared" si="50"/>
        <v>-4.955791745066845E-4</v>
      </c>
      <c r="K563" s="5">
        <v>45130</v>
      </c>
      <c r="L563" s="8">
        <f t="shared" si="51"/>
        <v>4.0972510934095653E-3</v>
      </c>
      <c r="M563" s="5">
        <v>45130</v>
      </c>
      <c r="N563" s="9">
        <f t="shared" si="48"/>
        <v>3.6016719189028807E-3</v>
      </c>
      <c r="O563" s="5">
        <v>45130</v>
      </c>
      <c r="P563">
        <f t="shared" si="49"/>
        <v>1.0006488949495285</v>
      </c>
      <c r="Q563" s="6">
        <f t="shared" si="52"/>
        <v>1.0000900081007291</v>
      </c>
      <c r="R563">
        <f t="shared" si="53"/>
        <v>5.5868045798898732E-4</v>
      </c>
      <c r="T563" s="5">
        <v>45130</v>
      </c>
      <c r="U563" s="1">
        <v>5.5868045798898732E-4</v>
      </c>
    </row>
    <row r="564" spans="3:21" x14ac:dyDescent="0.2">
      <c r="C564" s="5">
        <v>45131</v>
      </c>
      <c r="D564" s="6">
        <v>0.99982000000000004</v>
      </c>
      <c r="E564" s="6">
        <v>29158.9</v>
      </c>
      <c r="F564" s="6">
        <v>29297.200000000001</v>
      </c>
      <c r="G564" s="6">
        <v>29172</v>
      </c>
      <c r="H564" s="6">
        <v>29180</v>
      </c>
      <c r="I564" s="5">
        <v>45131</v>
      </c>
      <c r="J564" s="7">
        <f t="shared" si="50"/>
        <v>-7.2309801233716746E-4</v>
      </c>
      <c r="K564" s="5">
        <v>45131</v>
      </c>
      <c r="L564" s="8">
        <f t="shared" si="51"/>
        <v>4.2917866447278463E-3</v>
      </c>
      <c r="M564" s="5">
        <v>45131</v>
      </c>
      <c r="N564" s="9">
        <f t="shared" si="48"/>
        <v>3.5686886323906789E-3</v>
      </c>
      <c r="O564" s="5">
        <v>45131</v>
      </c>
      <c r="P564">
        <f t="shared" si="49"/>
        <v>1.0002742355683532</v>
      </c>
      <c r="Q564" s="6">
        <f t="shared" si="52"/>
        <v>1.000180032405833</v>
      </c>
      <c r="R564">
        <f t="shared" si="53"/>
        <v>9.4181770708713617E-5</v>
      </c>
      <c r="T564" s="5">
        <v>45131</v>
      </c>
      <c r="U564" s="1">
        <v>9.4181770708713617E-5</v>
      </c>
    </row>
    <row r="565" spans="3:21" x14ac:dyDescent="0.2">
      <c r="C565" s="5">
        <v>45132</v>
      </c>
      <c r="D565" s="6">
        <v>0.99982000000000004</v>
      </c>
      <c r="E565" s="6">
        <v>29217.200000000001</v>
      </c>
      <c r="F565" s="6">
        <v>29328.33</v>
      </c>
      <c r="G565" s="6">
        <v>29218.5</v>
      </c>
      <c r="H565" s="6">
        <v>29232</v>
      </c>
      <c r="I565" s="5">
        <v>45132</v>
      </c>
      <c r="J565" s="7">
        <f t="shared" si="50"/>
        <v>-5.0629447181168826E-4</v>
      </c>
      <c r="K565" s="5">
        <v>45132</v>
      </c>
      <c r="L565" s="8">
        <f t="shared" si="51"/>
        <v>3.7589198624159948E-3</v>
      </c>
      <c r="M565" s="5">
        <v>45132</v>
      </c>
      <c r="N565" s="9">
        <f t="shared" si="48"/>
        <v>3.2526253906043066E-3</v>
      </c>
      <c r="O565" s="5">
        <v>45132</v>
      </c>
      <c r="P565">
        <f t="shared" si="49"/>
        <v>1.0004620360388112</v>
      </c>
      <c r="Q565" s="6">
        <f t="shared" si="52"/>
        <v>1.000180032405833</v>
      </c>
      <c r="R565">
        <f t="shared" si="53"/>
        <v>2.8191313108317687E-4</v>
      </c>
      <c r="T565" s="5">
        <v>45132</v>
      </c>
      <c r="U565" s="1">
        <v>2.8191313108317687E-4</v>
      </c>
    </row>
    <row r="566" spans="3:21" x14ac:dyDescent="0.2">
      <c r="C566" s="5">
        <v>45133</v>
      </c>
      <c r="D566" s="6">
        <v>1.0000199999999999</v>
      </c>
      <c r="E566" s="6">
        <v>29336.7</v>
      </c>
      <c r="F566" s="6">
        <v>29457.4</v>
      </c>
      <c r="G566" s="6">
        <v>29335</v>
      </c>
      <c r="H566" s="6">
        <v>29350</v>
      </c>
      <c r="I566" s="5">
        <v>45133</v>
      </c>
      <c r="J566" s="7">
        <f t="shared" si="50"/>
        <v>-4.5315161839861237E-4</v>
      </c>
      <c r="K566" s="5">
        <v>45133</v>
      </c>
      <c r="L566" s="8">
        <f t="shared" si="51"/>
        <v>4.1724901994205374E-3</v>
      </c>
      <c r="M566" s="5">
        <v>45133</v>
      </c>
      <c r="N566" s="9">
        <f t="shared" si="48"/>
        <v>3.719338581021925E-3</v>
      </c>
      <c r="O566" s="5">
        <v>45133</v>
      </c>
      <c r="P566">
        <f t="shared" si="49"/>
        <v>1.0005113345832624</v>
      </c>
      <c r="Q566" s="6">
        <f t="shared" si="52"/>
        <v>0.99998000039999213</v>
      </c>
      <c r="R566">
        <f t="shared" si="53"/>
        <v>5.3120369628491379E-4</v>
      </c>
      <c r="T566" s="5">
        <v>45133</v>
      </c>
      <c r="U566" s="1">
        <v>5.3120369628491379E-4</v>
      </c>
    </row>
    <row r="567" spans="3:21" x14ac:dyDescent="0.2">
      <c r="C567" s="5">
        <v>45134</v>
      </c>
      <c r="D567" s="6">
        <v>0.99983999999999995</v>
      </c>
      <c r="E567" s="6">
        <v>29209.599999999999</v>
      </c>
      <c r="F567" s="6">
        <v>29326.19</v>
      </c>
      <c r="G567" s="6">
        <v>29209</v>
      </c>
      <c r="H567" s="6">
        <v>29223.3</v>
      </c>
      <c r="I567" s="5">
        <v>45134</v>
      </c>
      <c r="J567" s="7">
        <f t="shared" si="50"/>
        <v>-4.6880400228587214E-4</v>
      </c>
      <c r="K567" s="5">
        <v>45134</v>
      </c>
      <c r="L567" s="8">
        <f t="shared" si="51"/>
        <v>4.0121195521927722E-3</v>
      </c>
      <c r="M567" s="5">
        <v>45134</v>
      </c>
      <c r="N567" s="9">
        <f t="shared" si="48"/>
        <v>3.5433155499069E-3</v>
      </c>
      <c r="O567" s="5">
        <v>45134</v>
      </c>
      <c r="P567">
        <f t="shared" si="49"/>
        <v>1.0004895751309528</v>
      </c>
      <c r="Q567" s="6">
        <f t="shared" si="52"/>
        <v>1.0001600256040968</v>
      </c>
      <c r="R567">
        <f t="shared" si="53"/>
        <v>3.2944252678288006E-4</v>
      </c>
      <c r="T567" s="5">
        <v>45134</v>
      </c>
      <c r="U567" s="1">
        <v>3.2944252678288006E-4</v>
      </c>
    </row>
    <row r="568" spans="3:21" x14ac:dyDescent="0.2">
      <c r="C568" s="5">
        <v>45135</v>
      </c>
      <c r="D568" s="6">
        <v>0.99995999999999996</v>
      </c>
      <c r="E568" s="6">
        <v>29299.8</v>
      </c>
      <c r="F568" s="6">
        <v>29426.45</v>
      </c>
      <c r="G568" s="6">
        <v>29311</v>
      </c>
      <c r="H568" s="6">
        <v>29320.01</v>
      </c>
      <c r="I568" s="5">
        <v>45135</v>
      </c>
      <c r="J568" s="7">
        <f t="shared" si="50"/>
        <v>-6.8929035153804949E-4</v>
      </c>
      <c r="K568" s="5">
        <v>45135</v>
      </c>
      <c r="L568" s="8">
        <f t="shared" si="51"/>
        <v>3.9387943093036996E-3</v>
      </c>
      <c r="M568" s="5">
        <v>45135</v>
      </c>
      <c r="N568" s="9">
        <f t="shared" si="48"/>
        <v>3.2495039577656501E-3</v>
      </c>
      <c r="O568" s="5">
        <v>45135</v>
      </c>
      <c r="P568">
        <f t="shared" si="49"/>
        <v>1.0003073931288593</v>
      </c>
      <c r="Q568" s="6">
        <f t="shared" si="52"/>
        <v>1.0000400016000641</v>
      </c>
      <c r="R568">
        <f t="shared" si="53"/>
        <v>2.6734509324960221E-4</v>
      </c>
      <c r="T568" s="5">
        <v>45135</v>
      </c>
      <c r="U568" s="1">
        <v>2.6734509324960221E-4</v>
      </c>
    </row>
    <row r="569" spans="3:21" x14ac:dyDescent="0.2">
      <c r="C569" s="5">
        <v>45136</v>
      </c>
      <c r="D569" s="6">
        <v>0.99995000000000001</v>
      </c>
      <c r="E569" s="6">
        <v>29340.3</v>
      </c>
      <c r="F569" s="6">
        <v>29494.06</v>
      </c>
      <c r="G569" s="6">
        <v>29344</v>
      </c>
      <c r="H569" s="6">
        <v>29356.38</v>
      </c>
      <c r="I569" s="5">
        <v>45136</v>
      </c>
      <c r="J569" s="7">
        <f t="shared" si="50"/>
        <v>-5.477514598190153E-4</v>
      </c>
      <c r="K569" s="5">
        <v>45136</v>
      </c>
      <c r="L569" s="8">
        <f t="shared" si="51"/>
        <v>5.1138222464558788E-3</v>
      </c>
      <c r="M569" s="5">
        <v>45136</v>
      </c>
      <c r="N569" s="9">
        <f t="shared" si="48"/>
        <v>4.5660707866368635E-3</v>
      </c>
      <c r="O569" s="5">
        <v>45136</v>
      </c>
      <c r="P569">
        <f t="shared" si="49"/>
        <v>1.0004218920392585</v>
      </c>
      <c r="Q569" s="6">
        <f t="shared" si="52"/>
        <v>1.0000500025001251</v>
      </c>
      <c r="R569">
        <f t="shared" si="53"/>
        <v>3.7180181779375969E-4</v>
      </c>
      <c r="T569" s="5">
        <v>45136</v>
      </c>
      <c r="U569" s="1">
        <v>3.7180181779375969E-4</v>
      </c>
    </row>
    <row r="570" spans="3:21" x14ac:dyDescent="0.2">
      <c r="C570" s="5">
        <v>45137</v>
      </c>
      <c r="D570" s="6">
        <v>0.99985999999999997</v>
      </c>
      <c r="E570" s="6">
        <v>29273.1</v>
      </c>
      <c r="F570" s="6">
        <v>29414.74</v>
      </c>
      <c r="G570" s="6">
        <v>29265</v>
      </c>
      <c r="H570" s="6">
        <v>29281.98</v>
      </c>
      <c r="I570" s="5">
        <v>45137</v>
      </c>
      <c r="J570" s="7">
        <f t="shared" si="50"/>
        <v>-3.0325818131154449E-4</v>
      </c>
      <c r="K570" s="5">
        <v>45137</v>
      </c>
      <c r="L570" s="8">
        <f t="shared" si="51"/>
        <v>5.1166922945498584E-3</v>
      </c>
      <c r="M570" s="5">
        <v>45137</v>
      </c>
      <c r="N570" s="9">
        <f t="shared" si="48"/>
        <v>4.8134341132383138E-3</v>
      </c>
      <c r="O570" s="5">
        <v>45137</v>
      </c>
      <c r="P570">
        <f t="shared" si="49"/>
        <v>1.0005802152742183</v>
      </c>
      <c r="Q570" s="6">
        <f t="shared" si="52"/>
        <v>1.0001400196027443</v>
      </c>
      <c r="R570">
        <f t="shared" si="53"/>
        <v>4.400372135026999E-4</v>
      </c>
      <c r="T570" s="5">
        <v>45137</v>
      </c>
      <c r="U570" s="1">
        <v>4.400372135026999E-4</v>
      </c>
    </row>
    <row r="571" spans="3:21" x14ac:dyDescent="0.2">
      <c r="C571" s="5">
        <v>45138</v>
      </c>
      <c r="D571" s="6">
        <v>0.99985999999999997</v>
      </c>
      <c r="E571" s="6">
        <v>29224.400000000001</v>
      </c>
      <c r="F571" s="6">
        <v>29336.82</v>
      </c>
      <c r="G571" s="6">
        <v>29213</v>
      </c>
      <c r="H571" s="6">
        <v>29234.04</v>
      </c>
      <c r="I571" s="5">
        <v>45138</v>
      </c>
      <c r="J571" s="7">
        <f t="shared" si="50"/>
        <v>-3.2975257610646418E-4</v>
      </c>
      <c r="K571" s="5">
        <v>45138</v>
      </c>
      <c r="L571" s="8">
        <f t="shared" si="51"/>
        <v>4.2385239448190773E-3</v>
      </c>
      <c r="M571" s="5">
        <v>45138</v>
      </c>
      <c r="N571" s="9">
        <f t="shared" si="48"/>
        <v>3.9087713687126126E-3</v>
      </c>
      <c r="O571" s="5">
        <v>45138</v>
      </c>
      <c r="P571">
        <f t="shared" si="49"/>
        <v>1.0007202272960669</v>
      </c>
      <c r="Q571" s="6">
        <f t="shared" si="52"/>
        <v>1.0001400196027443</v>
      </c>
      <c r="R571">
        <f t="shared" si="53"/>
        <v>5.7995825593986847E-4</v>
      </c>
      <c r="T571" s="5">
        <v>45138</v>
      </c>
      <c r="U571" s="1">
        <v>5.7995825593986847E-4</v>
      </c>
    </row>
    <row r="572" spans="3:21" x14ac:dyDescent="0.2">
      <c r="C572" s="5">
        <v>45139</v>
      </c>
      <c r="D572" s="6">
        <v>0.99953999999999998</v>
      </c>
      <c r="E572" s="6">
        <v>29700.1</v>
      </c>
      <c r="F572" s="6">
        <v>29793.13</v>
      </c>
      <c r="G572" s="6">
        <v>29704.5</v>
      </c>
      <c r="H572" s="6">
        <v>29706</v>
      </c>
      <c r="I572" s="5">
        <v>45139</v>
      </c>
      <c r="J572" s="7">
        <f t="shared" si="50"/>
        <v>-1.9861307479975275E-4</v>
      </c>
      <c r="K572" s="5">
        <v>45139</v>
      </c>
      <c r="L572" s="8">
        <f t="shared" si="51"/>
        <v>2.983723004931947E-3</v>
      </c>
      <c r="M572" s="5">
        <v>45139</v>
      </c>
      <c r="N572" s="9">
        <f t="shared" si="48"/>
        <v>2.7851099301321944E-3</v>
      </c>
      <c r="O572" s="5">
        <v>45139</v>
      </c>
      <c r="P572">
        <f t="shared" si="49"/>
        <v>1.0000504973993838</v>
      </c>
      <c r="Q572" s="6">
        <f t="shared" si="52"/>
        <v>1.0004602116973809</v>
      </c>
      <c r="R572">
        <f t="shared" si="53"/>
        <v>-4.0960970802356471E-4</v>
      </c>
      <c r="T572" s="5">
        <v>45139</v>
      </c>
      <c r="U572" s="1">
        <v>-4.0960970802356471E-4</v>
      </c>
    </row>
    <row r="573" spans="3:21" x14ac:dyDescent="0.2">
      <c r="C573" s="5">
        <v>45140</v>
      </c>
      <c r="D573" s="6">
        <v>0.99938000000000005</v>
      </c>
      <c r="E573" s="6">
        <v>29169.8</v>
      </c>
      <c r="F573" s="6">
        <v>29260.38</v>
      </c>
      <c r="G573" s="6">
        <v>29180.5</v>
      </c>
      <c r="H573" s="6">
        <v>29178.74</v>
      </c>
      <c r="I573" s="5">
        <v>45140</v>
      </c>
      <c r="J573" s="7">
        <f t="shared" si="50"/>
        <v>-3.0638745881427122E-4</v>
      </c>
      <c r="K573" s="5">
        <v>45140</v>
      </c>
      <c r="L573" s="8">
        <f t="shared" si="51"/>
        <v>2.7374445263104136E-3</v>
      </c>
      <c r="M573" s="5">
        <v>45140</v>
      </c>
      <c r="N573" s="9">
        <f t="shared" si="48"/>
        <v>2.4310570674961423E-3</v>
      </c>
      <c r="O573" s="5">
        <v>45140</v>
      </c>
      <c r="P573">
        <f t="shared" si="49"/>
        <v>0.99993968574904479</v>
      </c>
      <c r="Q573" s="6">
        <f t="shared" si="52"/>
        <v>1.0006203846384758</v>
      </c>
      <c r="R573">
        <f t="shared" si="53"/>
        <v>-6.8050834941239206E-4</v>
      </c>
      <c r="T573" s="5">
        <v>45140</v>
      </c>
      <c r="U573" s="1">
        <v>-6.8050834941239206E-4</v>
      </c>
    </row>
    <row r="574" spans="3:21" x14ac:dyDescent="0.2">
      <c r="C574" s="5">
        <v>45141</v>
      </c>
      <c r="D574" s="6">
        <v>0.99921000000000004</v>
      </c>
      <c r="E574" s="6">
        <v>29177.599999999999</v>
      </c>
      <c r="F574" s="6">
        <v>29313.94</v>
      </c>
      <c r="G574" s="6">
        <v>29186</v>
      </c>
      <c r="H574" s="6">
        <v>29194</v>
      </c>
      <c r="I574" s="5">
        <v>45141</v>
      </c>
      <c r="J574" s="7">
        <f t="shared" si="50"/>
        <v>-5.6175926560257086E-4</v>
      </c>
      <c r="K574" s="5">
        <v>45141</v>
      </c>
      <c r="L574" s="8">
        <f t="shared" si="51"/>
        <v>4.3836085794558589E-3</v>
      </c>
      <c r="M574" s="5">
        <v>45141</v>
      </c>
      <c r="N574" s="9">
        <f t="shared" si="48"/>
        <v>3.821849313853288E-3</v>
      </c>
      <c r="O574" s="5">
        <v>45141</v>
      </c>
      <c r="P574">
        <f t="shared" si="49"/>
        <v>1.0002741040224765</v>
      </c>
      <c r="Q574" s="6">
        <f t="shared" si="52"/>
        <v>1.0007906245934288</v>
      </c>
      <c r="R574">
        <f t="shared" si="53"/>
        <v>-5.1624575161153465E-4</v>
      </c>
      <c r="T574" s="5">
        <v>45141</v>
      </c>
      <c r="U574" s="1">
        <v>-5.1624575161153465E-4</v>
      </c>
    </row>
    <row r="575" spans="3:21" x14ac:dyDescent="0.2">
      <c r="C575" s="5">
        <v>45142</v>
      </c>
      <c r="D575" s="6">
        <v>0.99856</v>
      </c>
      <c r="E575" s="6">
        <v>29102.5</v>
      </c>
      <c r="F575" s="6">
        <v>29540.32</v>
      </c>
      <c r="G575" s="6">
        <v>29088.5</v>
      </c>
      <c r="H575" s="6">
        <v>29114.01</v>
      </c>
      <c r="I575" s="5">
        <v>45142</v>
      </c>
      <c r="J575" s="7">
        <f t="shared" si="50"/>
        <v>-3.9534231114155693E-4</v>
      </c>
      <c r="K575" s="5">
        <v>45142</v>
      </c>
      <c r="L575" s="8">
        <f t="shared" si="51"/>
        <v>1.5532598793337564E-2</v>
      </c>
      <c r="M575" s="5">
        <v>45142</v>
      </c>
      <c r="N575" s="9">
        <f t="shared" si="48"/>
        <v>1.5137256482196007E-2</v>
      </c>
      <c r="O575" s="5">
        <v>45142</v>
      </c>
      <c r="P575">
        <f t="shared" si="49"/>
        <v>1.0008769788748129</v>
      </c>
      <c r="Q575" s="6">
        <f t="shared" si="52"/>
        <v>1.0014420765902901</v>
      </c>
      <c r="R575">
        <f t="shared" si="53"/>
        <v>-5.6444324288680537E-4</v>
      </c>
      <c r="T575" s="5">
        <v>45142</v>
      </c>
      <c r="U575" s="1">
        <v>-5.6444324288680537E-4</v>
      </c>
    </row>
    <row r="576" spans="3:21" x14ac:dyDescent="0.2">
      <c r="C576" s="5">
        <v>45143</v>
      </c>
      <c r="D576" s="6">
        <v>0.99914000000000003</v>
      </c>
      <c r="E576" s="6">
        <v>29055.9</v>
      </c>
      <c r="F576" s="6">
        <v>29489.8</v>
      </c>
      <c r="G576" s="6">
        <v>29053.5</v>
      </c>
      <c r="H576" s="6">
        <v>29074.89</v>
      </c>
      <c r="I576" s="5">
        <v>45143</v>
      </c>
      <c r="J576" s="7">
        <f t="shared" si="50"/>
        <v>-6.5314090612201669E-4</v>
      </c>
      <c r="K576" s="5">
        <v>45143</v>
      </c>
      <c r="L576" s="8">
        <f t="shared" si="51"/>
        <v>1.5017123582356661E-2</v>
      </c>
      <c r="M576" s="5">
        <v>45143</v>
      </c>
      <c r="N576" s="9">
        <f t="shared" si="48"/>
        <v>1.4363982676234646E-2</v>
      </c>
      <c r="O576" s="5">
        <v>45143</v>
      </c>
      <c r="P576">
        <f t="shared" si="49"/>
        <v>1.0007362279931848</v>
      </c>
      <c r="Q576" s="6">
        <f t="shared" si="52"/>
        <v>1.0008607402366034</v>
      </c>
      <c r="R576">
        <f t="shared" si="53"/>
        <v>-1.2441290185337989E-4</v>
      </c>
      <c r="T576" s="5">
        <v>45143</v>
      </c>
      <c r="U576" s="1">
        <v>-1.2441290185337989E-4</v>
      </c>
    </row>
    <row r="577" spans="3:21" x14ac:dyDescent="0.2">
      <c r="C577" s="5">
        <v>45144</v>
      </c>
      <c r="D577" s="6">
        <v>0.99843999999999999</v>
      </c>
      <c r="E577" s="6">
        <v>29075.7</v>
      </c>
      <c r="F577" s="6">
        <v>29491.200000000001</v>
      </c>
      <c r="G577" s="6">
        <v>29064</v>
      </c>
      <c r="H577" s="6">
        <v>29091.99</v>
      </c>
      <c r="I577" s="5">
        <v>45144</v>
      </c>
      <c r="J577" s="7">
        <f t="shared" si="50"/>
        <v>-5.5994794443421962E-4</v>
      </c>
      <c r="K577" s="5">
        <v>45144</v>
      </c>
      <c r="L577" s="8">
        <f t="shared" si="51"/>
        <v>1.46985962014864E-2</v>
      </c>
      <c r="M577" s="5">
        <v>45144</v>
      </c>
      <c r="N577" s="9">
        <f t="shared" si="48"/>
        <v>1.413864825705218E-2</v>
      </c>
      <c r="O577" s="5">
        <v>45144</v>
      </c>
      <c r="P577">
        <f t="shared" si="49"/>
        <v>1.0009630470685384</v>
      </c>
      <c r="Q577" s="6">
        <f t="shared" si="52"/>
        <v>1.0015624374023477</v>
      </c>
      <c r="R577">
        <f t="shared" si="53"/>
        <v>-5.9863443072997644E-4</v>
      </c>
      <c r="T577" s="5">
        <v>45144</v>
      </c>
      <c r="U577" s="1">
        <v>-5.9863443072997644E-4</v>
      </c>
    </row>
    <row r="578" spans="3:21" x14ac:dyDescent="0.2">
      <c r="C578" s="5">
        <v>45145</v>
      </c>
      <c r="D578" s="6">
        <v>0.99875999999999998</v>
      </c>
      <c r="E578" s="6">
        <v>29200</v>
      </c>
      <c r="F578" s="6">
        <v>29753.69</v>
      </c>
      <c r="G578" s="6">
        <v>29191.5</v>
      </c>
      <c r="H578" s="6">
        <v>29214.080000000002</v>
      </c>
      <c r="I578" s="5">
        <v>45145</v>
      </c>
      <c r="J578" s="7">
        <f t="shared" si="50"/>
        <v>-4.8195938396833804E-4</v>
      </c>
      <c r="K578" s="5">
        <v>45145</v>
      </c>
      <c r="L578" s="8">
        <f t="shared" si="51"/>
        <v>1.9258688316804506E-2</v>
      </c>
      <c r="M578" s="5">
        <v>45145</v>
      </c>
      <c r="N578" s="9">
        <f t="shared" si="48"/>
        <v>1.8776728932836169E-2</v>
      </c>
      <c r="O578" s="5">
        <v>45145</v>
      </c>
      <c r="P578">
        <f t="shared" si="49"/>
        <v>1.0007735128376412</v>
      </c>
      <c r="Q578" s="6">
        <f t="shared" si="52"/>
        <v>1.0012415395089911</v>
      </c>
      <c r="R578">
        <f t="shared" si="53"/>
        <v>-4.675556053662365E-4</v>
      </c>
      <c r="T578" s="5">
        <v>45145</v>
      </c>
      <c r="U578" s="1">
        <v>-4.675556053662365E-4</v>
      </c>
    </row>
    <row r="579" spans="3:21" x14ac:dyDescent="0.2">
      <c r="C579" s="5">
        <v>45146</v>
      </c>
      <c r="D579" s="6">
        <v>0.99961999999999995</v>
      </c>
      <c r="E579" s="6">
        <v>29755.1</v>
      </c>
      <c r="F579" s="6">
        <v>30345.65</v>
      </c>
      <c r="G579" s="6">
        <v>29760.5</v>
      </c>
      <c r="H579" s="6">
        <v>29769.279999999999</v>
      </c>
      <c r="I579" s="5">
        <v>45146</v>
      </c>
      <c r="J579" s="7">
        <f t="shared" si="50"/>
        <v>-4.7632996162487944E-4</v>
      </c>
      <c r="K579" s="5">
        <v>45146</v>
      </c>
      <c r="L579" s="8">
        <f t="shared" si="51"/>
        <v>1.9661968044891769E-2</v>
      </c>
      <c r="M579" s="5">
        <v>45146</v>
      </c>
      <c r="N579" s="9">
        <f t="shared" si="48"/>
        <v>1.9185638083266891E-2</v>
      </c>
      <c r="O579" s="5">
        <v>45146</v>
      </c>
      <c r="P579">
        <f t="shared" si="49"/>
        <v>1.0002950219250348</v>
      </c>
      <c r="Q579" s="6">
        <f t="shared" si="52"/>
        <v>1.000380144454893</v>
      </c>
      <c r="R579">
        <f t="shared" si="53"/>
        <v>-8.509380367185249E-5</v>
      </c>
      <c r="T579" s="5">
        <v>45146</v>
      </c>
      <c r="U579" s="1">
        <v>-8.509380367185249E-5</v>
      </c>
    </row>
    <row r="580" spans="3:21" x14ac:dyDescent="0.2">
      <c r="C580" s="5">
        <v>45147</v>
      </c>
      <c r="D580" s="6">
        <v>0.99924000000000002</v>
      </c>
      <c r="E580" s="6">
        <v>29565.8</v>
      </c>
      <c r="F580" s="6">
        <v>30190.05</v>
      </c>
      <c r="G580" s="6">
        <v>29572</v>
      </c>
      <c r="H580" s="6">
        <v>29579.99</v>
      </c>
      <c r="I580" s="5">
        <v>45147</v>
      </c>
      <c r="J580" s="7">
        <f t="shared" si="50"/>
        <v>-4.7971618651670701E-4</v>
      </c>
      <c r="K580" s="5">
        <v>45147</v>
      </c>
      <c r="L580" s="8">
        <f t="shared" si="51"/>
        <v>2.089983768429593E-2</v>
      </c>
      <c r="M580" s="5">
        <v>45147</v>
      </c>
      <c r="N580" s="9">
        <f t="shared" si="48"/>
        <v>2.0420121497779224E-2</v>
      </c>
      <c r="O580" s="5">
        <v>45147</v>
      </c>
      <c r="P580">
        <f t="shared" si="49"/>
        <v>1.0002701880156906</v>
      </c>
      <c r="Q580" s="6">
        <f t="shared" si="52"/>
        <v>1.0007605780393098</v>
      </c>
      <c r="R580">
        <f t="shared" si="53"/>
        <v>-4.9013742492672301E-4</v>
      </c>
      <c r="T580" s="5">
        <v>45147</v>
      </c>
      <c r="U580" s="1">
        <v>-4.9013742492672301E-4</v>
      </c>
    </row>
    <row r="581" spans="3:21" x14ac:dyDescent="0.2">
      <c r="C581" s="5">
        <v>45148</v>
      </c>
      <c r="D581" s="6">
        <v>0.99880000000000002</v>
      </c>
      <c r="E581" s="6">
        <v>29441.4</v>
      </c>
      <c r="F581" s="6">
        <v>29933.87</v>
      </c>
      <c r="G581" s="6">
        <v>29441.5</v>
      </c>
      <c r="H581" s="6">
        <v>29456.77</v>
      </c>
      <c r="I581" s="5">
        <v>45148</v>
      </c>
      <c r="J581" s="7">
        <f t="shared" si="50"/>
        <v>-5.2178158026148082E-4</v>
      </c>
      <c r="K581" s="5">
        <v>45148</v>
      </c>
      <c r="L581" s="8">
        <f t="shared" si="51"/>
        <v>1.6723672367236687E-2</v>
      </c>
      <c r="M581" s="5">
        <v>45148</v>
      </c>
      <c r="N581" s="9">
        <f t="shared" si="48"/>
        <v>1.6201890786975207E-2</v>
      </c>
      <c r="O581" s="5">
        <v>45148</v>
      </c>
      <c r="P581">
        <f t="shared" si="49"/>
        <v>1.000518655639149</v>
      </c>
      <c r="Q581" s="6">
        <f t="shared" si="52"/>
        <v>1.0012014417300761</v>
      </c>
      <c r="R581">
        <f t="shared" si="53"/>
        <v>-6.8219939271725735E-4</v>
      </c>
      <c r="T581" s="5">
        <v>45148</v>
      </c>
      <c r="U581" s="1">
        <v>-6.8219939271725735E-4</v>
      </c>
    </row>
    <row r="582" spans="3:21" x14ac:dyDescent="0.2">
      <c r="C582" s="5">
        <v>45149</v>
      </c>
      <c r="D582" s="6">
        <v>0.999</v>
      </c>
      <c r="E582" s="6">
        <v>29413.9</v>
      </c>
      <c r="F582" s="6">
        <v>29880.19</v>
      </c>
      <c r="G582" s="6">
        <v>29410.5</v>
      </c>
      <c r="H582" s="6">
        <v>29430.13</v>
      </c>
      <c r="I582" s="5">
        <v>45149</v>
      </c>
      <c r="J582" s="7">
        <f t="shared" si="50"/>
        <v>-5.514756475761257E-4</v>
      </c>
      <c r="K582" s="5">
        <v>45149</v>
      </c>
      <c r="L582" s="8">
        <f t="shared" si="51"/>
        <v>1.5970146716308756E-2</v>
      </c>
      <c r="M582" s="5">
        <v>45149</v>
      </c>
      <c r="N582" s="9">
        <f t="shared" si="48"/>
        <v>1.5418671068732631E-2</v>
      </c>
      <c r="O582" s="5">
        <v>45149</v>
      </c>
      <c r="P582">
        <f t="shared" si="49"/>
        <v>1.000667448700294</v>
      </c>
      <c r="Q582" s="6">
        <f t="shared" si="52"/>
        <v>1.0010010010010011</v>
      </c>
      <c r="R582">
        <f t="shared" si="53"/>
        <v>-3.3327427810959589E-4</v>
      </c>
      <c r="T582" s="5">
        <v>45149</v>
      </c>
      <c r="U582" s="1">
        <v>-3.3327427810959589E-4</v>
      </c>
    </row>
    <row r="583" spans="3:21" x14ac:dyDescent="0.2">
      <c r="C583" s="5">
        <v>45150</v>
      </c>
      <c r="D583" s="6">
        <v>0.99938000000000005</v>
      </c>
      <c r="E583" s="6">
        <v>29417.8</v>
      </c>
      <c r="F583" s="6">
        <v>29653.23</v>
      </c>
      <c r="G583" s="6">
        <v>29416</v>
      </c>
      <c r="H583" s="6">
        <v>29428.94</v>
      </c>
      <c r="I583" s="5">
        <v>45150</v>
      </c>
      <c r="J583" s="7">
        <f t="shared" si="50"/>
        <v>-3.7853894839567508E-4</v>
      </c>
      <c r="K583" s="5">
        <v>45150</v>
      </c>
      <c r="L583" s="8">
        <f t="shared" si="51"/>
        <v>8.0646586891487473E-3</v>
      </c>
      <c r="M583" s="5">
        <v>45150</v>
      </c>
      <c r="N583" s="9">
        <f t="shared" si="48"/>
        <v>7.6861197407530725E-3</v>
      </c>
      <c r="O583" s="5">
        <v>45150</v>
      </c>
      <c r="P583">
        <f t="shared" si="49"/>
        <v>1.0004398966548815</v>
      </c>
      <c r="Q583" s="6">
        <f t="shared" si="52"/>
        <v>1.0006203846384758</v>
      </c>
      <c r="R583">
        <f t="shared" si="53"/>
        <v>-1.8039235076626822E-4</v>
      </c>
      <c r="T583" s="5">
        <v>45150</v>
      </c>
      <c r="U583" s="1">
        <v>-1.8039235076626822E-4</v>
      </c>
    </row>
    <row r="584" spans="3:21" x14ac:dyDescent="0.2">
      <c r="C584" s="5">
        <v>45151</v>
      </c>
      <c r="D584" s="6">
        <v>0.99926999999999999</v>
      </c>
      <c r="E584" s="6">
        <v>29301.3</v>
      </c>
      <c r="F584" s="6">
        <v>29586.59</v>
      </c>
      <c r="G584" s="6">
        <v>29284.5</v>
      </c>
      <c r="H584" s="6">
        <v>29304.7</v>
      </c>
      <c r="I584" s="5">
        <v>45151</v>
      </c>
      <c r="J584" s="7">
        <f t="shared" si="50"/>
        <v>-1.1602234453863903E-4</v>
      </c>
      <c r="K584" s="5">
        <v>45151</v>
      </c>
      <c r="L584" s="8">
        <f t="shared" si="51"/>
        <v>1.031569601666411E-2</v>
      </c>
      <c r="M584" s="5">
        <v>45151</v>
      </c>
      <c r="N584" s="9">
        <f t="shared" ref="N584:N647" si="54">J584+L584</f>
        <v>1.0199673672125471E-2</v>
      </c>
      <c r="O584" s="5">
        <v>45151</v>
      </c>
      <c r="P584">
        <f t="shared" ref="P584:P647" si="55">(1/G584)*H584</f>
        <v>1.00068978469839</v>
      </c>
      <c r="Q584" s="6">
        <f t="shared" si="52"/>
        <v>1.0007305332893013</v>
      </c>
      <c r="R584">
        <f t="shared" si="53"/>
        <v>-4.071967347455326E-5</v>
      </c>
      <c r="T584" s="5">
        <v>45151</v>
      </c>
      <c r="U584" s="1">
        <v>-4.071967347455326E-5</v>
      </c>
    </row>
    <row r="585" spans="3:21" x14ac:dyDescent="0.2">
      <c r="C585" s="5">
        <v>45152</v>
      </c>
      <c r="D585" s="6">
        <v>0.99902000000000002</v>
      </c>
      <c r="E585" s="6">
        <v>29422.6</v>
      </c>
      <c r="F585" s="6">
        <v>29859.46</v>
      </c>
      <c r="G585" s="6">
        <v>29414</v>
      </c>
      <c r="H585" s="6">
        <v>29434</v>
      </c>
      <c r="I585" s="5">
        <v>45152</v>
      </c>
      <c r="J585" s="7">
        <f t="shared" ref="J585:J648" si="56">(E585-H585)/H585</f>
        <v>-3.8730719576005485E-4</v>
      </c>
      <c r="K585" s="5">
        <v>45152</v>
      </c>
      <c r="L585" s="8">
        <f t="shared" ref="L585:L648" si="57">(F585-G585)/G585</f>
        <v>1.5144489018834539E-2</v>
      </c>
      <c r="M585" s="5">
        <v>45152</v>
      </c>
      <c r="N585" s="9">
        <f t="shared" si="54"/>
        <v>1.4757181823074483E-2</v>
      </c>
      <c r="O585" s="5">
        <v>45152</v>
      </c>
      <c r="P585">
        <f t="shared" si="55"/>
        <v>1.0006799483239275</v>
      </c>
      <c r="Q585" s="6">
        <f t="shared" ref="Q585:Q648" si="58">1/D585</f>
        <v>1.0009809613421152</v>
      </c>
      <c r="R585">
        <f t="shared" ref="R585:R648" si="59">LN(P585/Q585)</f>
        <v>-3.0076325016220032E-4</v>
      </c>
      <c r="T585" s="5">
        <v>45152</v>
      </c>
      <c r="U585" s="1">
        <v>-3.0076325016220032E-4</v>
      </c>
    </row>
    <row r="586" spans="3:21" x14ac:dyDescent="0.2">
      <c r="C586" s="5">
        <v>45153</v>
      </c>
      <c r="D586" s="6">
        <v>0.99887000000000004</v>
      </c>
      <c r="E586" s="6">
        <v>29194.400000000001</v>
      </c>
      <c r="F586" s="6">
        <v>29405.200000000001</v>
      </c>
      <c r="G586" s="6">
        <v>29176</v>
      </c>
      <c r="H586" s="6">
        <v>29202</v>
      </c>
      <c r="I586" s="5">
        <v>45153</v>
      </c>
      <c r="J586" s="7">
        <f t="shared" si="56"/>
        <v>-2.6025614683920773E-4</v>
      </c>
      <c r="K586" s="5">
        <v>45153</v>
      </c>
      <c r="L586" s="8">
        <f t="shared" si="57"/>
        <v>7.8557718672882075E-3</v>
      </c>
      <c r="M586" s="5">
        <v>45153</v>
      </c>
      <c r="N586" s="9">
        <f t="shared" si="54"/>
        <v>7.5955157204489997E-3</v>
      </c>
      <c r="O586" s="5">
        <v>45153</v>
      </c>
      <c r="P586">
        <f t="shared" si="55"/>
        <v>1.0008911434055388</v>
      </c>
      <c r="Q586" s="6">
        <f t="shared" si="58"/>
        <v>1.0011312783445292</v>
      </c>
      <c r="R586">
        <f t="shared" si="59"/>
        <v>-2.3989235838044477E-4</v>
      </c>
      <c r="T586" s="5">
        <v>45153</v>
      </c>
      <c r="U586" s="1">
        <v>-2.3989235838044477E-4</v>
      </c>
    </row>
    <row r="587" spans="3:21" x14ac:dyDescent="0.2">
      <c r="C587" s="5">
        <v>45154</v>
      </c>
      <c r="D587" s="6">
        <v>0.99878</v>
      </c>
      <c r="E587" s="6">
        <v>28727.8</v>
      </c>
      <c r="F587" s="6">
        <v>28923.89</v>
      </c>
      <c r="G587" s="6">
        <v>28706.5</v>
      </c>
      <c r="H587" s="6">
        <v>28734.01</v>
      </c>
      <c r="I587" s="5">
        <v>45154</v>
      </c>
      <c r="J587" s="7">
        <f t="shared" si="56"/>
        <v>-2.161202004175236E-4</v>
      </c>
      <c r="K587" s="5">
        <v>45154</v>
      </c>
      <c r="L587" s="8">
        <f t="shared" si="57"/>
        <v>7.5728493546757501E-3</v>
      </c>
      <c r="M587" s="5">
        <v>45154</v>
      </c>
      <c r="N587" s="9">
        <f t="shared" si="54"/>
        <v>7.3567291542582262E-3</v>
      </c>
      <c r="O587" s="5">
        <v>45154</v>
      </c>
      <c r="P587">
        <f t="shared" si="55"/>
        <v>1.0009583195443541</v>
      </c>
      <c r="Q587" s="6">
        <f t="shared" si="58"/>
        <v>1.0012214902180661</v>
      </c>
      <c r="R587">
        <f t="shared" si="59"/>
        <v>-2.6288415650222216E-4</v>
      </c>
      <c r="T587" s="5">
        <v>45154</v>
      </c>
      <c r="U587" s="1">
        <v>-2.6288415650222216E-4</v>
      </c>
    </row>
    <row r="588" spans="3:21" x14ac:dyDescent="0.2">
      <c r="C588" s="5">
        <v>45155</v>
      </c>
      <c r="D588" s="6">
        <v>1.0001500000000001</v>
      </c>
      <c r="E588" s="6">
        <v>26610.1</v>
      </c>
      <c r="F588" s="6">
        <v>26896.52</v>
      </c>
      <c r="G588" s="6">
        <v>26635.5</v>
      </c>
      <c r="H588" s="6">
        <v>26622</v>
      </c>
      <c r="I588" s="5">
        <v>45155</v>
      </c>
      <c r="J588" s="7">
        <f t="shared" si="56"/>
        <v>-4.4699872286084648E-4</v>
      </c>
      <c r="K588" s="5">
        <v>45155</v>
      </c>
      <c r="L588" s="8">
        <f t="shared" si="57"/>
        <v>9.7997034033526845E-3</v>
      </c>
      <c r="M588" s="5">
        <v>45155</v>
      </c>
      <c r="N588" s="9">
        <f t="shared" si="54"/>
        <v>9.3527046804918381E-3</v>
      </c>
      <c r="O588" s="5">
        <v>45155</v>
      </c>
      <c r="P588">
        <f t="shared" si="55"/>
        <v>0.99949315762797764</v>
      </c>
      <c r="Q588" s="6">
        <f t="shared" si="58"/>
        <v>0.99985002249662536</v>
      </c>
      <c r="R588">
        <f t="shared" si="59"/>
        <v>-3.5698210890967858E-4</v>
      </c>
      <c r="T588" s="5">
        <v>45155</v>
      </c>
      <c r="U588" s="1">
        <v>-3.5698210890967858E-4</v>
      </c>
    </row>
    <row r="589" spans="3:21" x14ac:dyDescent="0.2">
      <c r="C589" s="5">
        <v>45156</v>
      </c>
      <c r="D589" s="6">
        <v>0.99977000000000005</v>
      </c>
      <c r="E589" s="6">
        <v>26040.5</v>
      </c>
      <c r="F589" s="6">
        <v>26626.13</v>
      </c>
      <c r="G589" s="6">
        <v>26030</v>
      </c>
      <c r="H589" s="6">
        <v>26051.97</v>
      </c>
      <c r="I589" s="5">
        <v>45156</v>
      </c>
      <c r="J589" s="7">
        <f t="shared" si="56"/>
        <v>-4.4027380654903115E-4</v>
      </c>
      <c r="K589" s="5">
        <v>45156</v>
      </c>
      <c r="L589" s="8">
        <f t="shared" si="57"/>
        <v>2.2901651940069191E-2</v>
      </c>
      <c r="M589" s="5">
        <v>45156</v>
      </c>
      <c r="N589" s="9">
        <f t="shared" si="54"/>
        <v>2.2461378133520161E-2</v>
      </c>
      <c r="O589" s="5">
        <v>45156</v>
      </c>
      <c r="P589">
        <f t="shared" si="55"/>
        <v>1.0008440261237035</v>
      </c>
      <c r="Q589" s="6">
        <f t="shared" si="58"/>
        <v>1.0002300529121697</v>
      </c>
      <c r="R589">
        <f t="shared" si="59"/>
        <v>6.1364367989418119E-4</v>
      </c>
      <c r="T589" s="5">
        <v>45156</v>
      </c>
      <c r="U589" s="1">
        <v>6.1364367989418119E-4</v>
      </c>
    </row>
    <row r="590" spans="3:21" x14ac:dyDescent="0.2">
      <c r="C590" s="5">
        <v>45157</v>
      </c>
      <c r="D590" s="6">
        <v>0.99983999999999995</v>
      </c>
      <c r="E590" s="6">
        <v>26088.799999999999</v>
      </c>
      <c r="F590" s="6">
        <v>26574.21</v>
      </c>
      <c r="G590" s="6">
        <v>26084.5</v>
      </c>
      <c r="H590" s="6">
        <v>26099.99</v>
      </c>
      <c r="I590" s="5">
        <v>45157</v>
      </c>
      <c r="J590" s="7">
        <f t="shared" si="56"/>
        <v>-4.287357964505859E-4</v>
      </c>
      <c r="K590" s="5">
        <v>45157</v>
      </c>
      <c r="L590" s="8">
        <f t="shared" si="57"/>
        <v>1.8773984550211779E-2</v>
      </c>
      <c r="M590" s="5">
        <v>45157</v>
      </c>
      <c r="N590" s="9">
        <f t="shared" si="54"/>
        <v>1.8345248753761194E-2</v>
      </c>
      <c r="O590" s="5">
        <v>45157</v>
      </c>
      <c r="P590">
        <f t="shared" si="55"/>
        <v>1.0005938392531963</v>
      </c>
      <c r="Q590" s="6">
        <f t="shared" si="58"/>
        <v>1.0001600256040968</v>
      </c>
      <c r="R590">
        <f t="shared" si="59"/>
        <v>4.336501990751813E-4</v>
      </c>
      <c r="T590" s="5">
        <v>45157</v>
      </c>
      <c r="U590" s="1">
        <v>4.336501990751813E-4</v>
      </c>
    </row>
    <row r="591" spans="3:21" x14ac:dyDescent="0.2">
      <c r="C591" s="5">
        <v>45158</v>
      </c>
      <c r="D591" s="6">
        <v>0.99992999999999999</v>
      </c>
      <c r="E591" s="6">
        <v>26176.5</v>
      </c>
      <c r="F591" s="6">
        <v>26500.720000000001</v>
      </c>
      <c r="G591" s="6">
        <v>26182.5</v>
      </c>
      <c r="H591" s="6">
        <v>26189.99</v>
      </c>
      <c r="I591" s="5">
        <v>45158</v>
      </c>
      <c r="J591" s="7">
        <f t="shared" si="56"/>
        <v>-5.1508228907310002E-4</v>
      </c>
      <c r="K591" s="5">
        <v>45158</v>
      </c>
      <c r="L591" s="8">
        <f t="shared" si="57"/>
        <v>1.2153919602788166E-2</v>
      </c>
      <c r="M591" s="5">
        <v>45158</v>
      </c>
      <c r="N591" s="9">
        <f t="shared" si="54"/>
        <v>1.1638837313715065E-2</v>
      </c>
      <c r="O591" s="5">
        <v>45158</v>
      </c>
      <c r="P591">
        <f t="shared" si="55"/>
        <v>1.000286068939177</v>
      </c>
      <c r="Q591" s="6">
        <f t="shared" si="58"/>
        <v>1.000070004900343</v>
      </c>
      <c r="R591">
        <f t="shared" si="59"/>
        <v>2.1602557914550397E-4</v>
      </c>
      <c r="T591" s="5">
        <v>45158</v>
      </c>
      <c r="U591" s="1">
        <v>2.1602557914550397E-4</v>
      </c>
    </row>
    <row r="592" spans="3:21" x14ac:dyDescent="0.2">
      <c r="C592" s="5">
        <v>45159</v>
      </c>
      <c r="D592" s="6">
        <v>0.99977000000000005</v>
      </c>
      <c r="E592" s="6">
        <v>26112.9</v>
      </c>
      <c r="F592" s="6">
        <v>26246.68</v>
      </c>
      <c r="G592" s="6">
        <v>26108.5</v>
      </c>
      <c r="H592" s="6">
        <v>26125.14</v>
      </c>
      <c r="I592" s="5">
        <v>45159</v>
      </c>
      <c r="J592" s="7">
        <f t="shared" si="56"/>
        <v>-4.6851423571310865E-4</v>
      </c>
      <c r="K592" s="5">
        <v>45159</v>
      </c>
      <c r="L592" s="8">
        <f t="shared" si="57"/>
        <v>5.2925292529253038E-3</v>
      </c>
      <c r="M592" s="5">
        <v>45159</v>
      </c>
      <c r="N592" s="9">
        <f t="shared" si="54"/>
        <v>4.8240150172121953E-3</v>
      </c>
      <c r="O592" s="5">
        <v>45159</v>
      </c>
      <c r="P592">
        <f t="shared" si="55"/>
        <v>1.0006373403297777</v>
      </c>
      <c r="Q592" s="6">
        <f t="shared" si="58"/>
        <v>1.0002300529121697</v>
      </c>
      <c r="R592">
        <f t="shared" si="59"/>
        <v>4.0711086062872494E-4</v>
      </c>
      <c r="T592" s="5">
        <v>45159</v>
      </c>
      <c r="U592" s="1">
        <v>4.0711086062872494E-4</v>
      </c>
    </row>
    <row r="593" spans="3:21" x14ac:dyDescent="0.2">
      <c r="C593" s="5">
        <v>45160</v>
      </c>
      <c r="D593" s="6">
        <v>0.99948000000000004</v>
      </c>
      <c r="E593" s="6">
        <v>26044</v>
      </c>
      <c r="F593" s="6">
        <v>26149.52</v>
      </c>
      <c r="G593" s="6">
        <v>26027</v>
      </c>
      <c r="H593" s="6">
        <v>26055.96</v>
      </c>
      <c r="I593" s="5">
        <v>45160</v>
      </c>
      <c r="J593" s="7">
        <f t="shared" si="56"/>
        <v>-4.59012064802031E-4</v>
      </c>
      <c r="K593" s="5">
        <v>45160</v>
      </c>
      <c r="L593" s="8">
        <f t="shared" si="57"/>
        <v>4.7074192185038782E-3</v>
      </c>
      <c r="M593" s="5">
        <v>45160</v>
      </c>
      <c r="N593" s="9">
        <f t="shared" si="54"/>
        <v>4.2484071537018473E-3</v>
      </c>
      <c r="O593" s="5">
        <v>45160</v>
      </c>
      <c r="P593">
        <f t="shared" si="55"/>
        <v>1.0011126906673837</v>
      </c>
      <c r="Q593" s="6">
        <f t="shared" si="58"/>
        <v>1.000520270540681</v>
      </c>
      <c r="R593">
        <f t="shared" si="59"/>
        <v>5.919368390529604E-4</v>
      </c>
      <c r="T593" s="5">
        <v>45160</v>
      </c>
      <c r="U593" s="1">
        <v>5.919368390529604E-4</v>
      </c>
    </row>
    <row r="594" spans="3:21" x14ac:dyDescent="0.2">
      <c r="C594" s="5">
        <v>45161</v>
      </c>
      <c r="D594" s="6">
        <v>0.99985000000000002</v>
      </c>
      <c r="E594" s="6">
        <v>26422.9</v>
      </c>
      <c r="F594" s="6">
        <v>26500.57</v>
      </c>
      <c r="G594" s="6">
        <v>26418.5</v>
      </c>
      <c r="H594" s="6">
        <v>26434.1</v>
      </c>
      <c r="I594" s="5">
        <v>45161</v>
      </c>
      <c r="J594" s="7">
        <f t="shared" si="56"/>
        <v>-4.2369515133850182E-4</v>
      </c>
      <c r="K594" s="5">
        <v>45161</v>
      </c>
      <c r="L594" s="8">
        <f t="shared" si="57"/>
        <v>3.106535193141159E-3</v>
      </c>
      <c r="M594" s="5">
        <v>45161</v>
      </c>
      <c r="N594" s="9">
        <f t="shared" si="54"/>
        <v>2.6828400418026574E-3</v>
      </c>
      <c r="O594" s="5">
        <v>45161</v>
      </c>
      <c r="P594">
        <f t="shared" si="55"/>
        <v>1.0005904952968563</v>
      </c>
      <c r="Q594" s="6">
        <f t="shared" si="58"/>
        <v>1.0001500225033755</v>
      </c>
      <c r="R594">
        <f t="shared" si="59"/>
        <v>4.4030977198528847E-4</v>
      </c>
      <c r="T594" s="5">
        <v>45161</v>
      </c>
      <c r="U594" s="1">
        <v>4.4030977198528847E-4</v>
      </c>
    </row>
    <row r="595" spans="3:21" x14ac:dyDescent="0.2">
      <c r="C595" s="5">
        <v>45162</v>
      </c>
      <c r="D595" s="6">
        <v>0.99951999999999996</v>
      </c>
      <c r="E595" s="6">
        <v>26161.599999999999</v>
      </c>
      <c r="F595" s="6">
        <v>26197.66</v>
      </c>
      <c r="G595" s="6">
        <v>26154.5</v>
      </c>
      <c r="H595" s="6">
        <v>26179.040000000001</v>
      </c>
      <c r="I595" s="5">
        <v>45162</v>
      </c>
      <c r="J595" s="7">
        <f t="shared" si="56"/>
        <v>-6.661818004022427E-4</v>
      </c>
      <c r="K595" s="5">
        <v>45162</v>
      </c>
      <c r="L595" s="8">
        <f t="shared" si="57"/>
        <v>1.6501940392666598E-3</v>
      </c>
      <c r="M595" s="5">
        <v>45162</v>
      </c>
      <c r="N595" s="9">
        <f t="shared" si="54"/>
        <v>9.8401223886441722E-4</v>
      </c>
      <c r="O595" s="5">
        <v>45162</v>
      </c>
      <c r="P595">
        <f t="shared" si="55"/>
        <v>1.0009382706608807</v>
      </c>
      <c r="Q595" s="6">
        <f t="shared" si="58"/>
        <v>1.0004802305106451</v>
      </c>
      <c r="R595">
        <f t="shared" si="59"/>
        <v>4.5771552322942976E-4</v>
      </c>
      <c r="T595" s="5">
        <v>45162</v>
      </c>
      <c r="U595" s="1">
        <v>4.5771552322942976E-4</v>
      </c>
    </row>
    <row r="596" spans="3:21" x14ac:dyDescent="0.2">
      <c r="C596" s="5">
        <v>45163</v>
      </c>
      <c r="D596" s="6">
        <v>0.99953999999999998</v>
      </c>
      <c r="E596" s="6">
        <v>26045.9</v>
      </c>
      <c r="F596" s="6">
        <v>26128.35</v>
      </c>
      <c r="G596" s="6">
        <v>26031.5</v>
      </c>
      <c r="H596" s="6">
        <v>26057.97</v>
      </c>
      <c r="I596" s="5">
        <v>45163</v>
      </c>
      <c r="J596" s="7">
        <f t="shared" si="56"/>
        <v>-4.6319801580858784E-4</v>
      </c>
      <c r="K596" s="5">
        <v>45163</v>
      </c>
      <c r="L596" s="8">
        <f t="shared" si="57"/>
        <v>3.7204924802642391E-3</v>
      </c>
      <c r="M596" s="5">
        <v>45163</v>
      </c>
      <c r="N596" s="9">
        <f t="shared" si="54"/>
        <v>3.2572944644556514E-3</v>
      </c>
      <c r="O596" s="5">
        <v>45163</v>
      </c>
      <c r="P596">
        <f t="shared" si="55"/>
        <v>1.0010168449762789</v>
      </c>
      <c r="Q596" s="6">
        <f t="shared" si="58"/>
        <v>1.0004602116973809</v>
      </c>
      <c r="R596">
        <f t="shared" si="59"/>
        <v>5.5622250716587406E-4</v>
      </c>
      <c r="T596" s="5">
        <v>45163</v>
      </c>
      <c r="U596" s="1">
        <v>5.5622250716587406E-4</v>
      </c>
    </row>
    <row r="597" spans="3:21" x14ac:dyDescent="0.2">
      <c r="C597" s="5">
        <v>45164</v>
      </c>
      <c r="D597" s="6">
        <v>0.99944999999999995</v>
      </c>
      <c r="E597" s="6">
        <v>26008.5</v>
      </c>
      <c r="F597" s="6">
        <v>26079.18</v>
      </c>
      <c r="G597" s="6">
        <v>25999</v>
      </c>
      <c r="H597" s="6">
        <v>26022.55</v>
      </c>
      <c r="I597" s="5">
        <v>45164</v>
      </c>
      <c r="J597" s="7">
        <f t="shared" si="56"/>
        <v>-5.3991634178815191E-4</v>
      </c>
      <c r="K597" s="5">
        <v>45164</v>
      </c>
      <c r="L597" s="8">
        <f t="shared" si="57"/>
        <v>3.0839647678756986E-3</v>
      </c>
      <c r="M597" s="5">
        <v>45164</v>
      </c>
      <c r="N597" s="9">
        <f t="shared" si="54"/>
        <v>2.5440484260875465E-3</v>
      </c>
      <c r="O597" s="5">
        <v>45164</v>
      </c>
      <c r="P597">
        <f t="shared" si="55"/>
        <v>1.0009058040693872</v>
      </c>
      <c r="Q597" s="6">
        <f t="shared" si="58"/>
        <v>1.0005503026664666</v>
      </c>
      <c r="R597">
        <f t="shared" si="59"/>
        <v>3.5524277096343629E-4</v>
      </c>
      <c r="T597" s="5">
        <v>45164</v>
      </c>
      <c r="U597" s="1">
        <v>3.5524277096343629E-4</v>
      </c>
    </row>
    <row r="598" spans="3:21" x14ac:dyDescent="0.2">
      <c r="C598" s="5">
        <v>45165</v>
      </c>
      <c r="D598" s="6">
        <v>0.99944999999999995</v>
      </c>
      <c r="E598" s="6">
        <v>26085.4</v>
      </c>
      <c r="F598" s="6">
        <v>26155.68</v>
      </c>
      <c r="G598" s="6">
        <v>26075</v>
      </c>
      <c r="H598" s="6">
        <v>26102</v>
      </c>
      <c r="I598" s="5">
        <v>45165</v>
      </c>
      <c r="J598" s="7">
        <f t="shared" si="56"/>
        <v>-6.3596659259821254E-4</v>
      </c>
      <c r="K598" s="5">
        <v>45165</v>
      </c>
      <c r="L598" s="8">
        <f t="shared" si="57"/>
        <v>3.094151486097806E-3</v>
      </c>
      <c r="M598" s="5">
        <v>45165</v>
      </c>
      <c r="N598" s="9">
        <f t="shared" si="54"/>
        <v>2.4581848934995933E-3</v>
      </c>
      <c r="O598" s="5">
        <v>45165</v>
      </c>
      <c r="P598">
        <f t="shared" si="55"/>
        <v>1.0010354745925216</v>
      </c>
      <c r="Q598" s="6">
        <f t="shared" si="58"/>
        <v>1.0005503026664666</v>
      </c>
      <c r="R598">
        <f t="shared" si="59"/>
        <v>4.8478755301855118E-4</v>
      </c>
      <c r="T598" s="5">
        <v>45165</v>
      </c>
      <c r="U598" s="1">
        <v>4.8478755301855118E-4</v>
      </c>
    </row>
    <row r="599" spans="3:21" x14ac:dyDescent="0.2">
      <c r="C599" s="5">
        <v>45166</v>
      </c>
      <c r="D599" s="6">
        <v>0.99936000000000003</v>
      </c>
      <c r="E599" s="6">
        <v>26102.400000000001</v>
      </c>
      <c r="F599" s="6">
        <v>26119.35</v>
      </c>
      <c r="G599" s="6">
        <v>26095</v>
      </c>
      <c r="H599" s="6">
        <v>26120.01</v>
      </c>
      <c r="I599" s="5">
        <v>45166</v>
      </c>
      <c r="J599" s="7">
        <f t="shared" si="56"/>
        <v>-6.7419576026184311E-4</v>
      </c>
      <c r="K599" s="5">
        <v>45166</v>
      </c>
      <c r="L599" s="8">
        <f t="shared" si="57"/>
        <v>9.3312895190643971E-4</v>
      </c>
      <c r="M599" s="5">
        <v>45166</v>
      </c>
      <c r="N599" s="9">
        <f t="shared" si="54"/>
        <v>2.589331916445966E-4</v>
      </c>
      <c r="O599" s="5">
        <v>45166</v>
      </c>
      <c r="P599">
        <f t="shared" si="55"/>
        <v>1.0009584211534774</v>
      </c>
      <c r="Q599" s="6">
        <f t="shared" si="58"/>
        <v>1.0006404098623118</v>
      </c>
      <c r="R599">
        <f t="shared" si="59"/>
        <v>3.1775727374894934E-4</v>
      </c>
      <c r="T599" s="5">
        <v>45166</v>
      </c>
      <c r="U599" s="1">
        <v>3.1775727374894934E-4</v>
      </c>
    </row>
    <row r="600" spans="3:21" x14ac:dyDescent="0.2">
      <c r="C600" s="5">
        <v>45167</v>
      </c>
      <c r="D600" s="6">
        <v>0.99992000000000003</v>
      </c>
      <c r="E600" s="6">
        <v>27702.6</v>
      </c>
      <c r="F600" s="6">
        <v>27777.03</v>
      </c>
      <c r="G600" s="6">
        <v>27707.5</v>
      </c>
      <c r="H600" s="6">
        <v>27719.97</v>
      </c>
      <c r="I600" s="5">
        <v>45167</v>
      </c>
      <c r="J600" s="7">
        <f t="shared" si="56"/>
        <v>-6.2662405478803251E-4</v>
      </c>
      <c r="K600" s="5">
        <v>45167</v>
      </c>
      <c r="L600" s="8">
        <f t="shared" si="57"/>
        <v>2.5094288550031158E-3</v>
      </c>
      <c r="M600" s="5">
        <v>45167</v>
      </c>
      <c r="N600" s="9">
        <f t="shared" si="54"/>
        <v>1.8828048002150833E-3</v>
      </c>
      <c r="O600" s="5">
        <v>45167</v>
      </c>
      <c r="P600">
        <f t="shared" si="55"/>
        <v>1.0004500586483804</v>
      </c>
      <c r="Q600" s="6">
        <f t="shared" si="58"/>
        <v>1.000080006400512</v>
      </c>
      <c r="R600">
        <f t="shared" si="59"/>
        <v>3.6995420219301041E-4</v>
      </c>
      <c r="T600" s="5">
        <v>45167</v>
      </c>
      <c r="U600" s="1">
        <v>3.6995420219301041E-4</v>
      </c>
    </row>
    <row r="601" spans="3:21" x14ac:dyDescent="0.2">
      <c r="C601" s="5">
        <v>45168</v>
      </c>
      <c r="D601" s="6">
        <v>1.0000199999999999</v>
      </c>
      <c r="E601" s="6">
        <v>27282.7</v>
      </c>
      <c r="F601" s="6">
        <v>27366.34</v>
      </c>
      <c r="G601" s="6">
        <v>27290</v>
      </c>
      <c r="H601" s="6">
        <v>27297.97</v>
      </c>
      <c r="I601" s="5">
        <v>45168</v>
      </c>
      <c r="J601" s="7">
        <f t="shared" si="56"/>
        <v>-5.5938225443138946E-4</v>
      </c>
      <c r="K601" s="5">
        <v>45168</v>
      </c>
      <c r="L601" s="8">
        <f t="shared" si="57"/>
        <v>2.7973616709417422E-3</v>
      </c>
      <c r="M601" s="5">
        <v>45168</v>
      </c>
      <c r="N601" s="9">
        <f t="shared" si="54"/>
        <v>2.2379794165103529E-3</v>
      </c>
      <c r="O601" s="5">
        <v>45168</v>
      </c>
      <c r="P601">
        <f t="shared" si="55"/>
        <v>1.0002920483693662</v>
      </c>
      <c r="Q601" s="6">
        <f t="shared" si="58"/>
        <v>0.99998000039999213</v>
      </c>
      <c r="R601">
        <f t="shared" si="59"/>
        <v>3.1200553154501392E-4</v>
      </c>
      <c r="T601" s="5">
        <v>45168</v>
      </c>
      <c r="U601" s="1">
        <v>3.1200553154501392E-4</v>
      </c>
    </row>
    <row r="602" spans="3:21" x14ac:dyDescent="0.2">
      <c r="C602" s="5">
        <v>45169</v>
      </c>
      <c r="D602" s="6">
        <v>0.99980000000000002</v>
      </c>
      <c r="E602" s="6">
        <v>25924.1</v>
      </c>
      <c r="F602" s="6">
        <v>26024.99</v>
      </c>
      <c r="G602" s="6">
        <v>25913.5</v>
      </c>
      <c r="H602" s="6">
        <v>25938</v>
      </c>
      <c r="I602" s="5">
        <v>45169</v>
      </c>
      <c r="J602" s="7">
        <f t="shared" si="56"/>
        <v>-5.3589328398494316E-4</v>
      </c>
      <c r="K602" s="5">
        <v>45169</v>
      </c>
      <c r="L602" s="8">
        <f t="shared" si="57"/>
        <v>4.3023906458024425E-3</v>
      </c>
      <c r="M602" s="5">
        <v>45169</v>
      </c>
      <c r="N602" s="9">
        <f t="shared" si="54"/>
        <v>3.7664973618174993E-3</v>
      </c>
      <c r="O602" s="5">
        <v>45169</v>
      </c>
      <c r="P602">
        <f t="shared" si="55"/>
        <v>1.0009454531421846</v>
      </c>
      <c r="Q602" s="6">
        <f t="shared" si="58"/>
        <v>1.0002000400080016</v>
      </c>
      <c r="R602">
        <f t="shared" si="59"/>
        <v>7.4498648020363955E-4</v>
      </c>
      <c r="T602" s="5">
        <v>45169</v>
      </c>
      <c r="U602" s="1">
        <v>7.4498648020363955E-4</v>
      </c>
    </row>
    <row r="603" spans="3:21" x14ac:dyDescent="0.2">
      <c r="C603" s="5">
        <v>45170</v>
      </c>
      <c r="D603" s="6">
        <v>0.99965999999999999</v>
      </c>
      <c r="E603" s="6">
        <v>25793.7</v>
      </c>
      <c r="F603" s="6">
        <v>25881.97</v>
      </c>
      <c r="G603" s="6">
        <v>25781</v>
      </c>
      <c r="H603" s="6">
        <v>25806.01</v>
      </c>
      <c r="I603" s="5">
        <v>45170</v>
      </c>
      <c r="J603" s="7">
        <f t="shared" si="56"/>
        <v>-4.7702066301600569E-4</v>
      </c>
      <c r="K603" s="5">
        <v>45170</v>
      </c>
      <c r="L603" s="8">
        <f t="shared" si="57"/>
        <v>3.9164500989100955E-3</v>
      </c>
      <c r="M603" s="5">
        <v>45170</v>
      </c>
      <c r="N603" s="9">
        <f t="shared" si="54"/>
        <v>3.4394294358940898E-3</v>
      </c>
      <c r="O603" s="5">
        <v>45170</v>
      </c>
      <c r="P603">
        <f t="shared" si="55"/>
        <v>1.0009700942554594</v>
      </c>
      <c r="Q603" s="6">
        <f t="shared" si="58"/>
        <v>1.0003401156393175</v>
      </c>
      <c r="R603">
        <f t="shared" si="59"/>
        <v>6.2956620501407074E-4</v>
      </c>
      <c r="T603" s="5">
        <v>45170</v>
      </c>
      <c r="U603" s="1">
        <v>6.2956620501407074E-4</v>
      </c>
    </row>
    <row r="604" spans="3:21" x14ac:dyDescent="0.2">
      <c r="C604" s="5">
        <v>45171</v>
      </c>
      <c r="D604" s="6">
        <v>0.99999000000000005</v>
      </c>
      <c r="E604" s="6">
        <v>25857.7</v>
      </c>
      <c r="F604" s="6">
        <v>25935.25</v>
      </c>
      <c r="G604" s="6">
        <v>25849</v>
      </c>
      <c r="H604" s="6">
        <v>25867.89</v>
      </c>
      <c r="I604" s="5">
        <v>45171</v>
      </c>
      <c r="J604" s="7">
        <f t="shared" si="56"/>
        <v>-3.9392466876883619E-4</v>
      </c>
      <c r="K604" s="5">
        <v>45171</v>
      </c>
      <c r="L604" s="8">
        <f t="shared" si="57"/>
        <v>3.3366861387287708E-3</v>
      </c>
      <c r="M604" s="5">
        <v>45171</v>
      </c>
      <c r="N604" s="9">
        <f t="shared" si="54"/>
        <v>2.9427614699599346E-3</v>
      </c>
      <c r="O604" s="5">
        <v>45171</v>
      </c>
      <c r="P604">
        <f t="shared" si="55"/>
        <v>1.0007307826221519</v>
      </c>
      <c r="Q604" s="6">
        <f t="shared" si="58"/>
        <v>1.000010000100001</v>
      </c>
      <c r="R604">
        <f t="shared" si="59"/>
        <v>7.2051568054973313E-4</v>
      </c>
      <c r="T604" s="5">
        <v>45171</v>
      </c>
      <c r="U604" s="1">
        <v>7.2051568054973313E-4</v>
      </c>
    </row>
    <row r="605" spans="3:21" x14ac:dyDescent="0.2">
      <c r="C605" s="5">
        <v>45172</v>
      </c>
      <c r="D605" s="6">
        <v>0.99983999999999995</v>
      </c>
      <c r="E605" s="6">
        <v>25959.9</v>
      </c>
      <c r="F605" s="6">
        <v>26050.18</v>
      </c>
      <c r="G605" s="6">
        <v>25950</v>
      </c>
      <c r="H605" s="6">
        <v>25971.97</v>
      </c>
      <c r="I605" s="5">
        <v>45172</v>
      </c>
      <c r="J605" s="7">
        <f t="shared" si="56"/>
        <v>-4.647317858444973E-4</v>
      </c>
      <c r="K605" s="5">
        <v>45172</v>
      </c>
      <c r="L605" s="8">
        <f t="shared" si="57"/>
        <v>3.8605009633911479E-3</v>
      </c>
      <c r="M605" s="5">
        <v>45172</v>
      </c>
      <c r="N605" s="9">
        <f t="shared" si="54"/>
        <v>3.3957691775466504E-3</v>
      </c>
      <c r="O605" s="5">
        <v>45172</v>
      </c>
      <c r="P605">
        <f t="shared" si="55"/>
        <v>1.0008466281310213</v>
      </c>
      <c r="Q605" s="6">
        <f t="shared" si="58"/>
        <v>1.0001600256040968</v>
      </c>
      <c r="R605">
        <f t="shared" si="59"/>
        <v>6.8625714221292363E-4</v>
      </c>
      <c r="T605" s="5">
        <v>45172</v>
      </c>
      <c r="U605" s="1">
        <v>6.8625714221292363E-4</v>
      </c>
    </row>
    <row r="606" spans="3:21" x14ac:dyDescent="0.2">
      <c r="C606" s="5">
        <v>45173</v>
      </c>
      <c r="D606" s="6">
        <v>0.99961999999999995</v>
      </c>
      <c r="E606" s="6">
        <v>25811.9</v>
      </c>
      <c r="F606" s="6">
        <v>25851.16</v>
      </c>
      <c r="G606" s="6">
        <v>25801.5</v>
      </c>
      <c r="H606" s="6">
        <v>25823.97</v>
      </c>
      <c r="I606" s="5">
        <v>45173</v>
      </c>
      <c r="J606" s="7">
        <f t="shared" si="56"/>
        <v>-4.6739521460099697E-4</v>
      </c>
      <c r="K606" s="5">
        <v>45173</v>
      </c>
      <c r="L606" s="8">
        <f t="shared" si="57"/>
        <v>1.9246943007189448E-3</v>
      </c>
      <c r="M606" s="5">
        <v>45173</v>
      </c>
      <c r="N606" s="9">
        <f t="shared" si="54"/>
        <v>1.4572990861179478E-3</v>
      </c>
      <c r="O606" s="5">
        <v>45173</v>
      </c>
      <c r="P606">
        <f t="shared" si="55"/>
        <v>1.0008708796000234</v>
      </c>
      <c r="Q606" s="6">
        <f t="shared" si="58"/>
        <v>1.000380144454893</v>
      </c>
      <c r="R606">
        <f t="shared" si="59"/>
        <v>4.9042838611235639E-4</v>
      </c>
      <c r="T606" s="5">
        <v>45173</v>
      </c>
      <c r="U606" s="1">
        <v>4.9042838611235639E-4</v>
      </c>
    </row>
    <row r="607" spans="3:21" x14ac:dyDescent="0.2">
      <c r="C607" s="5">
        <v>45174</v>
      </c>
      <c r="D607" s="6">
        <v>0.99950000000000006</v>
      </c>
      <c r="E607" s="6">
        <v>25781.9</v>
      </c>
      <c r="F607" s="6">
        <v>25827.99</v>
      </c>
      <c r="G607" s="6">
        <v>25763</v>
      </c>
      <c r="H607" s="6">
        <v>25793.11</v>
      </c>
      <c r="I607" s="5">
        <v>45174</v>
      </c>
      <c r="J607" s="7">
        <f t="shared" si="56"/>
        <v>-4.3461218906906251E-4</v>
      </c>
      <c r="K607" s="5">
        <v>45174</v>
      </c>
      <c r="L607" s="8">
        <f t="shared" si="57"/>
        <v>2.5226099444941039E-3</v>
      </c>
      <c r="M607" s="5">
        <v>45174</v>
      </c>
      <c r="N607" s="9">
        <f t="shared" si="54"/>
        <v>2.0879977554250414E-3</v>
      </c>
      <c r="O607" s="5">
        <v>45174</v>
      </c>
      <c r="P607">
        <f t="shared" si="55"/>
        <v>1.0011687303497263</v>
      </c>
      <c r="Q607" s="6">
        <f t="shared" si="58"/>
        <v>1.0005002501250624</v>
      </c>
      <c r="R607">
        <f t="shared" si="59"/>
        <v>6.6792287439790591E-4</v>
      </c>
      <c r="T607" s="5">
        <v>45174</v>
      </c>
      <c r="U607" s="1">
        <v>6.6792287439790591E-4</v>
      </c>
    </row>
    <row r="608" spans="3:21" x14ac:dyDescent="0.2">
      <c r="C608" s="5">
        <v>45175</v>
      </c>
      <c r="D608" s="6">
        <v>0.99951000000000001</v>
      </c>
      <c r="E608" s="6">
        <v>25749.5</v>
      </c>
      <c r="F608" s="6">
        <v>25793.15</v>
      </c>
      <c r="G608" s="6">
        <v>25738</v>
      </c>
      <c r="H608" s="6">
        <v>25759.97</v>
      </c>
      <c r="I608" s="5">
        <v>45175</v>
      </c>
      <c r="J608" s="7">
        <f t="shared" si="56"/>
        <v>-4.0644457272276185E-4</v>
      </c>
      <c r="K608" s="5">
        <v>45175</v>
      </c>
      <c r="L608" s="8">
        <f t="shared" si="57"/>
        <v>2.1427461341208117E-3</v>
      </c>
      <c r="M608" s="5">
        <v>45175</v>
      </c>
      <c r="N608" s="9">
        <f t="shared" si="54"/>
        <v>1.73630156139805E-3</v>
      </c>
      <c r="O608" s="5">
        <v>45175</v>
      </c>
      <c r="P608">
        <f t="shared" si="55"/>
        <v>1.0008536016784522</v>
      </c>
      <c r="Q608" s="6">
        <f t="shared" si="58"/>
        <v>1.0004902402177067</v>
      </c>
      <c r="R608">
        <f t="shared" si="59"/>
        <v>3.63117478497644E-4</v>
      </c>
      <c r="T608" s="5">
        <v>45175</v>
      </c>
      <c r="U608" s="1">
        <v>3.63117478497644E-4</v>
      </c>
    </row>
    <row r="609" spans="3:21" x14ac:dyDescent="0.2">
      <c r="C609" s="5">
        <v>45176</v>
      </c>
      <c r="D609" s="6">
        <v>0.99953999999999998</v>
      </c>
      <c r="E609" s="6">
        <v>26245.200000000001</v>
      </c>
      <c r="F609" s="6">
        <v>26274.6</v>
      </c>
      <c r="G609" s="6">
        <v>26237.5</v>
      </c>
      <c r="H609" s="6">
        <v>26253.97</v>
      </c>
      <c r="I609" s="5">
        <v>45176</v>
      </c>
      <c r="J609" s="7">
        <f t="shared" si="56"/>
        <v>-3.3404471780840904E-4</v>
      </c>
      <c r="K609" s="5">
        <v>45176</v>
      </c>
      <c r="L609" s="8">
        <f t="shared" si="57"/>
        <v>1.4140066698427268E-3</v>
      </c>
      <c r="M609" s="5">
        <v>45176</v>
      </c>
      <c r="N609" s="9">
        <f t="shared" si="54"/>
        <v>1.0799619520343179E-3</v>
      </c>
      <c r="O609" s="5">
        <v>45176</v>
      </c>
      <c r="P609">
        <f t="shared" si="55"/>
        <v>1.0006277274892805</v>
      </c>
      <c r="Q609" s="6">
        <f t="shared" si="58"/>
        <v>1.0004602116973809</v>
      </c>
      <c r="R609">
        <f t="shared" si="59"/>
        <v>1.6742471833494787E-4</v>
      </c>
      <c r="T609" s="5">
        <v>45176</v>
      </c>
      <c r="U609" s="1">
        <v>1.6742471833494787E-4</v>
      </c>
    </row>
    <row r="610" spans="3:21" x14ac:dyDescent="0.2">
      <c r="C610" s="5">
        <v>45177</v>
      </c>
      <c r="D610" s="6">
        <v>0.99978</v>
      </c>
      <c r="E610" s="6">
        <v>25896.9</v>
      </c>
      <c r="F610" s="6">
        <v>25954.94</v>
      </c>
      <c r="G610" s="6">
        <v>25891.5</v>
      </c>
      <c r="H610" s="6">
        <v>25909.69</v>
      </c>
      <c r="I610" s="5">
        <v>45177</v>
      </c>
      <c r="J610" s="7">
        <f t="shared" si="56"/>
        <v>-4.9363770851744025E-4</v>
      </c>
      <c r="K610" s="5">
        <v>45177</v>
      </c>
      <c r="L610" s="8">
        <f t="shared" si="57"/>
        <v>2.4502249773091047E-3</v>
      </c>
      <c r="M610" s="5">
        <v>45177</v>
      </c>
      <c r="N610" s="9">
        <f t="shared" si="54"/>
        <v>1.9565872687916644E-3</v>
      </c>
      <c r="O610" s="5">
        <v>45177</v>
      </c>
      <c r="P610">
        <f t="shared" si="55"/>
        <v>1.0007025471679896</v>
      </c>
      <c r="Q610" s="6">
        <f t="shared" si="58"/>
        <v>1.0002200484106503</v>
      </c>
      <c r="R610">
        <f t="shared" si="59"/>
        <v>4.8227629370327309E-4</v>
      </c>
      <c r="T610" s="5">
        <v>45177</v>
      </c>
      <c r="U610" s="1">
        <v>4.8227629370327309E-4</v>
      </c>
    </row>
    <row r="611" spans="3:21" x14ac:dyDescent="0.2">
      <c r="C611" s="5">
        <v>45178</v>
      </c>
      <c r="D611" s="6">
        <v>0.99972000000000005</v>
      </c>
      <c r="E611" s="6">
        <v>25889.7</v>
      </c>
      <c r="F611" s="6">
        <v>25943.73</v>
      </c>
      <c r="G611" s="6">
        <v>25881.5</v>
      </c>
      <c r="H611" s="6">
        <v>25899.97</v>
      </c>
      <c r="I611" s="5">
        <v>45178</v>
      </c>
      <c r="J611" s="7">
        <f t="shared" si="56"/>
        <v>-3.9652555582112399E-4</v>
      </c>
      <c r="K611" s="5">
        <v>45178</v>
      </c>
      <c r="L611" s="8">
        <f t="shared" si="57"/>
        <v>2.4044201456638742E-3</v>
      </c>
      <c r="M611" s="5">
        <v>45178</v>
      </c>
      <c r="N611" s="9">
        <f t="shared" si="54"/>
        <v>2.0078945898427502E-3</v>
      </c>
      <c r="O611" s="5">
        <v>45178</v>
      </c>
      <c r="P611">
        <f t="shared" si="55"/>
        <v>1.0007136371539518</v>
      </c>
      <c r="Q611" s="6">
        <f t="shared" si="58"/>
        <v>1.0002800784219581</v>
      </c>
      <c r="R611">
        <f t="shared" si="59"/>
        <v>4.3334342872103837E-4</v>
      </c>
      <c r="T611" s="5">
        <v>45178</v>
      </c>
      <c r="U611" s="1">
        <v>4.3334342872103837E-4</v>
      </c>
    </row>
    <row r="612" spans="3:21" x14ac:dyDescent="0.2">
      <c r="C612" s="5">
        <v>45179</v>
      </c>
      <c r="D612" s="6">
        <v>0.99956</v>
      </c>
      <c r="E612" s="6">
        <v>25826.400000000001</v>
      </c>
      <c r="F612" s="6">
        <v>25880.12</v>
      </c>
      <c r="G612" s="6">
        <v>25822</v>
      </c>
      <c r="H612" s="6">
        <v>25845.02</v>
      </c>
      <c r="I612" s="5">
        <v>45179</v>
      </c>
      <c r="J612" s="7">
        <f t="shared" si="56"/>
        <v>-7.2044827204618066E-4</v>
      </c>
      <c r="K612" s="5">
        <v>45179</v>
      </c>
      <c r="L612" s="8">
        <f t="shared" si="57"/>
        <v>2.2507938966772126E-3</v>
      </c>
      <c r="M612" s="5">
        <v>45179</v>
      </c>
      <c r="N612" s="9">
        <f t="shared" si="54"/>
        <v>1.530345624631032E-3</v>
      </c>
      <c r="O612" s="5">
        <v>45179</v>
      </c>
      <c r="P612">
        <f t="shared" si="55"/>
        <v>1.0008914878785533</v>
      </c>
      <c r="Q612" s="6">
        <f t="shared" si="58"/>
        <v>1.0004401936852214</v>
      </c>
      <c r="R612">
        <f t="shared" si="59"/>
        <v>4.5099391084289954E-4</v>
      </c>
      <c r="T612" s="5">
        <v>45179</v>
      </c>
      <c r="U612" s="1">
        <v>4.5099391084289954E-4</v>
      </c>
    </row>
    <row r="613" spans="3:21" x14ac:dyDescent="0.2">
      <c r="C613" s="5">
        <v>45180</v>
      </c>
      <c r="D613" s="6">
        <v>0.99963000000000002</v>
      </c>
      <c r="E613" s="6">
        <v>25154.7</v>
      </c>
      <c r="F613" s="6">
        <v>25221.55</v>
      </c>
      <c r="G613" s="6">
        <v>25143</v>
      </c>
      <c r="H613" s="6">
        <v>25166.2</v>
      </c>
      <c r="I613" s="5">
        <v>45180</v>
      </c>
      <c r="J613" s="7">
        <f t="shared" si="56"/>
        <v>-4.5696211585380392E-4</v>
      </c>
      <c r="K613" s="5">
        <v>45180</v>
      </c>
      <c r="L613" s="8">
        <f t="shared" si="57"/>
        <v>3.1241299765341953E-3</v>
      </c>
      <c r="M613" s="5">
        <v>45180</v>
      </c>
      <c r="N613" s="9">
        <f t="shared" si="54"/>
        <v>2.6671678606803913E-3</v>
      </c>
      <c r="O613" s="5">
        <v>45180</v>
      </c>
      <c r="P613">
        <f t="shared" si="55"/>
        <v>1.0009227220299886</v>
      </c>
      <c r="Q613" s="6">
        <f t="shared" si="58"/>
        <v>1.0003701369506717</v>
      </c>
      <c r="R613">
        <f t="shared" si="59"/>
        <v>5.5222811681966341E-4</v>
      </c>
      <c r="T613" s="5">
        <v>45180</v>
      </c>
      <c r="U613" s="1">
        <v>5.5222811681966341E-4</v>
      </c>
    </row>
    <row r="614" spans="3:21" x14ac:dyDescent="0.2">
      <c r="C614" s="5">
        <v>45181</v>
      </c>
      <c r="D614" s="6">
        <v>0.99992000000000003</v>
      </c>
      <c r="E614" s="6">
        <v>25825</v>
      </c>
      <c r="F614" s="6">
        <v>25863.35</v>
      </c>
      <c r="G614" s="6">
        <v>25829.5</v>
      </c>
      <c r="H614" s="6">
        <v>25837.97</v>
      </c>
      <c r="I614" s="5">
        <v>45181</v>
      </c>
      <c r="J614" s="7">
        <f t="shared" si="56"/>
        <v>-5.0197441981708179E-4</v>
      </c>
      <c r="K614" s="5">
        <v>45181</v>
      </c>
      <c r="L614" s="8">
        <f t="shared" si="57"/>
        <v>1.3105170444646062E-3</v>
      </c>
      <c r="M614" s="5">
        <v>45181</v>
      </c>
      <c r="N614" s="9">
        <f t="shared" si="54"/>
        <v>8.0854262464752445E-4</v>
      </c>
      <c r="O614" s="5">
        <v>45181</v>
      </c>
      <c r="P614">
        <f t="shared" si="55"/>
        <v>1.0003279196267834</v>
      </c>
      <c r="Q614" s="6">
        <f t="shared" si="58"/>
        <v>1.000080006400512</v>
      </c>
      <c r="R614">
        <f t="shared" si="59"/>
        <v>2.4786267272292777E-4</v>
      </c>
      <c r="T614" s="5">
        <v>45181</v>
      </c>
      <c r="U614" s="1">
        <v>2.4786267272292777E-4</v>
      </c>
    </row>
    <row r="615" spans="3:21" x14ac:dyDescent="0.2">
      <c r="C615" s="5">
        <v>45182</v>
      </c>
      <c r="D615" s="6">
        <v>0.99970000000000003</v>
      </c>
      <c r="E615" s="6">
        <v>26207.8</v>
      </c>
      <c r="F615" s="6">
        <v>26266.98</v>
      </c>
      <c r="G615" s="6">
        <v>26215</v>
      </c>
      <c r="H615" s="6">
        <v>26220.63</v>
      </c>
      <c r="I615" s="5">
        <v>45182</v>
      </c>
      <c r="J615" s="7">
        <f t="shared" si="56"/>
        <v>-4.8930937204795402E-4</v>
      </c>
      <c r="K615" s="5">
        <v>45182</v>
      </c>
      <c r="L615" s="8">
        <f t="shared" si="57"/>
        <v>1.9828342551973894E-3</v>
      </c>
      <c r="M615" s="5">
        <v>45182</v>
      </c>
      <c r="N615" s="9">
        <f t="shared" si="54"/>
        <v>1.4935248831494355E-3</v>
      </c>
      <c r="O615" s="5">
        <v>45182</v>
      </c>
      <c r="P615">
        <f t="shared" si="55"/>
        <v>1.0002147625405304</v>
      </c>
      <c r="Q615" s="6">
        <f t="shared" si="58"/>
        <v>1.000300090027008</v>
      </c>
      <c r="R615">
        <f t="shared" si="59"/>
        <v>-8.5305526644615393E-5</v>
      </c>
      <c r="T615" s="5">
        <v>45182</v>
      </c>
      <c r="U615" s="1">
        <v>-8.5305526644615393E-5</v>
      </c>
    </row>
    <row r="616" spans="3:21" x14ac:dyDescent="0.2">
      <c r="C616" s="5">
        <v>45183</v>
      </c>
      <c r="D616" s="6">
        <v>1.00023</v>
      </c>
      <c r="E616" s="6">
        <v>26510</v>
      </c>
      <c r="F616" s="6">
        <v>26549.27</v>
      </c>
      <c r="G616" s="6">
        <v>26516</v>
      </c>
      <c r="H616" s="6">
        <v>26524.75</v>
      </c>
      <c r="I616" s="5">
        <v>45183</v>
      </c>
      <c r="J616" s="7">
        <f t="shared" si="56"/>
        <v>-5.560844117286685E-4</v>
      </c>
      <c r="K616" s="5">
        <v>45183</v>
      </c>
      <c r="L616" s="8">
        <f t="shared" si="57"/>
        <v>1.2547141348619867E-3</v>
      </c>
      <c r="M616" s="5">
        <v>45183</v>
      </c>
      <c r="N616" s="9">
        <f t="shared" si="54"/>
        <v>6.9862972313331818E-4</v>
      </c>
      <c r="O616" s="5">
        <v>45183</v>
      </c>
      <c r="P616">
        <f t="shared" si="55"/>
        <v>1.0003299894403379</v>
      </c>
      <c r="Q616" s="6">
        <f t="shared" si="58"/>
        <v>0.99977005288783583</v>
      </c>
      <c r="R616">
        <f t="shared" si="59"/>
        <v>5.5990855985240773E-4</v>
      </c>
      <c r="T616" s="5">
        <v>45183</v>
      </c>
      <c r="U616" s="1">
        <v>5.5990855985240773E-4</v>
      </c>
    </row>
    <row r="617" spans="3:21" x14ac:dyDescent="0.2">
      <c r="C617" s="5">
        <v>45184</v>
      </c>
      <c r="D617" s="6">
        <v>1.0000199999999999</v>
      </c>
      <c r="E617" s="6">
        <v>26588.9</v>
      </c>
      <c r="F617" s="6">
        <v>26639.26</v>
      </c>
      <c r="G617" s="6">
        <v>26591.5</v>
      </c>
      <c r="H617" s="6">
        <v>26602.75</v>
      </c>
      <c r="I617" s="5">
        <v>45184</v>
      </c>
      <c r="J617" s="7">
        <f t="shared" si="56"/>
        <v>-5.206228679365308E-4</v>
      </c>
      <c r="K617" s="5">
        <v>45184</v>
      </c>
      <c r="L617" s="8">
        <f t="shared" si="57"/>
        <v>1.7960626515991351E-3</v>
      </c>
      <c r="M617" s="5">
        <v>45184</v>
      </c>
      <c r="N617" s="9">
        <f t="shared" si="54"/>
        <v>1.2754397836626042E-3</v>
      </c>
      <c r="O617" s="5">
        <v>45184</v>
      </c>
      <c r="P617">
        <f t="shared" si="55"/>
        <v>1.0004230675215764</v>
      </c>
      <c r="Q617" s="6">
        <f t="shared" si="58"/>
        <v>0.99998000039999213</v>
      </c>
      <c r="R617">
        <f t="shared" si="59"/>
        <v>4.4297785374798344E-4</v>
      </c>
      <c r="T617" s="5">
        <v>45184</v>
      </c>
      <c r="U617" s="1">
        <v>4.4297785374798344E-4</v>
      </c>
    </row>
    <row r="618" spans="3:21" x14ac:dyDescent="0.2">
      <c r="C618" s="5">
        <v>45185</v>
      </c>
      <c r="D618" s="6">
        <v>1.0001100000000001</v>
      </c>
      <c r="E618" s="6">
        <v>26550</v>
      </c>
      <c r="F618" s="6">
        <v>26564.18</v>
      </c>
      <c r="G618" s="6">
        <v>26556.5</v>
      </c>
      <c r="H618" s="6">
        <v>26561.99</v>
      </c>
      <c r="I618" s="5">
        <v>45185</v>
      </c>
      <c r="J618" s="7">
        <f t="shared" si="56"/>
        <v>-4.5139690211469849E-4</v>
      </c>
      <c r="K618" s="5">
        <v>45185</v>
      </c>
      <c r="L618" s="8">
        <f t="shared" si="57"/>
        <v>2.8919473575208675E-4</v>
      </c>
      <c r="M618" s="5">
        <v>45185</v>
      </c>
      <c r="N618" s="9">
        <f t="shared" si="54"/>
        <v>-1.6220216636261175E-4</v>
      </c>
      <c r="O618" s="5">
        <v>45185</v>
      </c>
      <c r="P618">
        <f t="shared" si="55"/>
        <v>1.0002067290493855</v>
      </c>
      <c r="Q618" s="6">
        <f t="shared" si="58"/>
        <v>0.99989001209866912</v>
      </c>
      <c r="R618">
        <f t="shared" si="59"/>
        <v>3.1670163432381311E-4</v>
      </c>
      <c r="T618" s="5">
        <v>45185</v>
      </c>
      <c r="U618" s="1">
        <v>3.1670163432381311E-4</v>
      </c>
    </row>
    <row r="619" spans="3:21" x14ac:dyDescent="0.2">
      <c r="C619" s="5">
        <v>45186</v>
      </c>
      <c r="D619" s="6">
        <v>1.00021</v>
      </c>
      <c r="E619" s="6">
        <v>26514.6</v>
      </c>
      <c r="F619" s="6">
        <v>26533.43</v>
      </c>
      <c r="G619" s="6">
        <v>26523</v>
      </c>
      <c r="H619" s="6">
        <v>26525.99</v>
      </c>
      <c r="I619" s="5">
        <v>45186</v>
      </c>
      <c r="J619" s="7">
        <f t="shared" si="56"/>
        <v>-4.2939019429635069E-4</v>
      </c>
      <c r="K619" s="5">
        <v>45186</v>
      </c>
      <c r="L619" s="8">
        <f t="shared" si="57"/>
        <v>3.9324359989444222E-4</v>
      </c>
      <c r="M619" s="5">
        <v>45186</v>
      </c>
      <c r="N619" s="9">
        <f t="shared" si="54"/>
        <v>-3.6146594401908474E-5</v>
      </c>
      <c r="O619" s="5">
        <v>45186</v>
      </c>
      <c r="P619">
        <f t="shared" si="55"/>
        <v>1.0001127323455115</v>
      </c>
      <c r="Q619" s="6">
        <f t="shared" si="58"/>
        <v>0.9997900440907409</v>
      </c>
      <c r="R619">
        <f t="shared" si="59"/>
        <v>3.2270394478459239E-4</v>
      </c>
      <c r="T619" s="5">
        <v>45186</v>
      </c>
      <c r="U619" s="1">
        <v>3.2270394478459239E-4</v>
      </c>
    </row>
    <row r="620" spans="3:21" x14ac:dyDescent="0.2">
      <c r="C620" s="5">
        <v>45187</v>
      </c>
      <c r="D620" s="6">
        <v>1.00013</v>
      </c>
      <c r="E620" s="6">
        <v>26749.3</v>
      </c>
      <c r="F620" s="6">
        <v>26800.23</v>
      </c>
      <c r="G620" s="6">
        <v>26753</v>
      </c>
      <c r="H620" s="6">
        <v>26764.81</v>
      </c>
      <c r="I620" s="5">
        <v>45187</v>
      </c>
      <c r="J620" s="7">
        <f t="shared" si="56"/>
        <v>-5.7949225120604395E-4</v>
      </c>
      <c r="K620" s="5">
        <v>45187</v>
      </c>
      <c r="L620" s="8">
        <f t="shared" si="57"/>
        <v>1.7654094867865123E-3</v>
      </c>
      <c r="M620" s="5">
        <v>45187</v>
      </c>
      <c r="N620" s="9">
        <f t="shared" si="54"/>
        <v>1.1859172355804682E-3</v>
      </c>
      <c r="O620" s="5">
        <v>45187</v>
      </c>
      <c r="P620">
        <f t="shared" si="55"/>
        <v>1.0004414458191604</v>
      </c>
      <c r="Q620" s="6">
        <f t="shared" si="58"/>
        <v>0.9998700168978033</v>
      </c>
      <c r="R620">
        <f t="shared" si="59"/>
        <v>5.7133996135311476E-4</v>
      </c>
      <c r="T620" s="5">
        <v>45187</v>
      </c>
      <c r="U620" s="1">
        <v>5.7133996135311476E-4</v>
      </c>
    </row>
    <row r="621" spans="3:21" x14ac:dyDescent="0.2">
      <c r="C621" s="5">
        <v>45188</v>
      </c>
      <c r="D621" s="6">
        <v>1.00017</v>
      </c>
      <c r="E621" s="6">
        <v>27193</v>
      </c>
      <c r="F621" s="6">
        <v>27245.26</v>
      </c>
      <c r="G621" s="6">
        <v>27193.5</v>
      </c>
      <c r="H621" s="6">
        <v>27206.21</v>
      </c>
      <c r="I621" s="5">
        <v>45188</v>
      </c>
      <c r="J621" s="7">
        <f t="shared" si="56"/>
        <v>-4.8555090914901883E-4</v>
      </c>
      <c r="K621" s="5">
        <v>45188</v>
      </c>
      <c r="L621" s="8">
        <f t="shared" si="57"/>
        <v>1.9033960321399746E-3</v>
      </c>
      <c r="M621" s="5">
        <v>45188</v>
      </c>
      <c r="N621" s="9">
        <f t="shared" si="54"/>
        <v>1.4178451229909558E-3</v>
      </c>
      <c r="O621" s="5">
        <v>45188</v>
      </c>
      <c r="P621">
        <f t="shared" si="55"/>
        <v>1.0004673911044919</v>
      </c>
      <c r="Q621" s="6">
        <f t="shared" si="58"/>
        <v>0.99983002889508787</v>
      </c>
      <c r="R621">
        <f t="shared" si="59"/>
        <v>6.3726746292955782E-4</v>
      </c>
      <c r="T621" s="5">
        <v>45188</v>
      </c>
      <c r="U621" s="1">
        <v>6.3726746292955782E-4</v>
      </c>
    </row>
    <row r="622" spans="3:21" x14ac:dyDescent="0.2">
      <c r="C622" s="5">
        <v>45189</v>
      </c>
      <c r="D622" s="6">
        <v>1.0000500000000001</v>
      </c>
      <c r="E622" s="6">
        <v>27110.6</v>
      </c>
      <c r="F622" s="6">
        <v>27149.69</v>
      </c>
      <c r="G622" s="6">
        <v>27106.5</v>
      </c>
      <c r="H622" s="6">
        <v>27122.01</v>
      </c>
      <c r="I622" s="5">
        <v>45189</v>
      </c>
      <c r="J622" s="7">
        <f t="shared" si="56"/>
        <v>-4.2069153429262268E-4</v>
      </c>
      <c r="K622" s="5">
        <v>45189</v>
      </c>
      <c r="L622" s="8">
        <f t="shared" si="57"/>
        <v>1.5933447697046351E-3</v>
      </c>
      <c r="M622" s="5">
        <v>45189</v>
      </c>
      <c r="N622" s="9">
        <f t="shared" si="54"/>
        <v>1.1726532354120124E-3</v>
      </c>
      <c r="O622" s="5">
        <v>45189</v>
      </c>
      <c r="P622">
        <f t="shared" si="55"/>
        <v>1.0005721874827072</v>
      </c>
      <c r="Q622" s="6">
        <f t="shared" si="58"/>
        <v>0.99995000249987487</v>
      </c>
      <c r="R622">
        <f t="shared" si="59"/>
        <v>6.2202259590896753E-4</v>
      </c>
      <c r="T622" s="5">
        <v>45189</v>
      </c>
      <c r="U622" s="1">
        <v>6.2202259590896753E-4</v>
      </c>
    </row>
    <row r="623" spans="3:21" x14ac:dyDescent="0.2">
      <c r="C623" s="5">
        <v>45190</v>
      </c>
      <c r="D623" s="6">
        <v>0.99999000000000005</v>
      </c>
      <c r="E623" s="6">
        <v>26554.5</v>
      </c>
      <c r="F623" s="6">
        <v>26591.02</v>
      </c>
      <c r="G623" s="6">
        <v>26557.5</v>
      </c>
      <c r="H623" s="6">
        <v>26568</v>
      </c>
      <c r="I623" s="5">
        <v>45190</v>
      </c>
      <c r="J623" s="7">
        <f t="shared" si="56"/>
        <v>-5.0813008130081306E-4</v>
      </c>
      <c r="K623" s="5">
        <v>45190</v>
      </c>
      <c r="L623" s="8">
        <f t="shared" si="57"/>
        <v>1.2621669961404665E-3</v>
      </c>
      <c r="M623" s="5">
        <v>45190</v>
      </c>
      <c r="N623" s="9">
        <f t="shared" si="54"/>
        <v>7.5403691483965339E-4</v>
      </c>
      <c r="O623" s="5">
        <v>45190</v>
      </c>
      <c r="P623">
        <f t="shared" si="55"/>
        <v>1.0003953685399605</v>
      </c>
      <c r="Q623" s="6">
        <f t="shared" si="58"/>
        <v>1.000010000100001</v>
      </c>
      <c r="R623">
        <f t="shared" si="59"/>
        <v>3.8529035241363874E-4</v>
      </c>
      <c r="T623" s="5">
        <v>45190</v>
      </c>
      <c r="U623" s="1">
        <v>3.8529035241363874E-4</v>
      </c>
    </row>
    <row r="624" spans="3:21" x14ac:dyDescent="0.2">
      <c r="C624" s="5">
        <v>45191</v>
      </c>
      <c r="D624" s="6">
        <v>1.00003</v>
      </c>
      <c r="E624" s="6">
        <v>26565.7</v>
      </c>
      <c r="F624" s="6">
        <v>26618.05</v>
      </c>
      <c r="G624" s="6">
        <v>26567</v>
      </c>
      <c r="H624" s="6">
        <v>26579.93</v>
      </c>
      <c r="I624" s="5">
        <v>45191</v>
      </c>
      <c r="J624" s="7">
        <f t="shared" si="56"/>
        <v>-5.3536634596101505E-4</v>
      </c>
      <c r="K624" s="5">
        <v>45191</v>
      </c>
      <c r="L624" s="8">
        <f t="shared" si="57"/>
        <v>1.9215568186095259E-3</v>
      </c>
      <c r="M624" s="5">
        <v>45191</v>
      </c>
      <c r="N624" s="9">
        <f t="shared" si="54"/>
        <v>1.3861904726485109E-3</v>
      </c>
      <c r="O624" s="5">
        <v>45191</v>
      </c>
      <c r="P624">
        <f t="shared" si="55"/>
        <v>1.0004866940188957</v>
      </c>
      <c r="Q624" s="6">
        <f t="shared" si="58"/>
        <v>0.99997000089997301</v>
      </c>
      <c r="R624">
        <f t="shared" si="59"/>
        <v>5.1657517178450732E-4</v>
      </c>
      <c r="T624" s="5">
        <v>45191</v>
      </c>
      <c r="U624" s="1">
        <v>5.1657517178450732E-4</v>
      </c>
    </row>
    <row r="625" spans="3:21" x14ac:dyDescent="0.2">
      <c r="C625" s="5">
        <v>45192</v>
      </c>
      <c r="D625" s="6">
        <v>1.0000800000000001</v>
      </c>
      <c r="E625" s="6">
        <v>26565.599999999999</v>
      </c>
      <c r="F625" s="6">
        <v>26615.34</v>
      </c>
      <c r="G625" s="6">
        <v>26572</v>
      </c>
      <c r="H625" s="6">
        <v>26577.99</v>
      </c>
      <c r="I625" s="5">
        <v>45192</v>
      </c>
      <c r="J625" s="7">
        <f t="shared" si="56"/>
        <v>-4.6617520738035702E-4</v>
      </c>
      <c r="K625" s="5">
        <v>45192</v>
      </c>
      <c r="L625" s="8">
        <f t="shared" si="57"/>
        <v>1.6310401926840337E-3</v>
      </c>
      <c r="M625" s="5">
        <v>45192</v>
      </c>
      <c r="N625" s="9">
        <f t="shared" si="54"/>
        <v>1.1648649853036766E-3</v>
      </c>
      <c r="O625" s="5">
        <v>45192</v>
      </c>
      <c r="P625">
        <f t="shared" si="55"/>
        <v>1.0002254252596721</v>
      </c>
      <c r="Q625" s="6">
        <f t="shared" si="58"/>
        <v>0.99992000639948797</v>
      </c>
      <c r="R625">
        <f t="shared" si="59"/>
        <v>3.0539665538669672E-4</v>
      </c>
      <c r="T625" s="5">
        <v>45192</v>
      </c>
      <c r="U625" s="1">
        <v>3.0539665538669672E-4</v>
      </c>
    </row>
    <row r="626" spans="3:21" x14ac:dyDescent="0.2">
      <c r="C626" s="5">
        <v>45193</v>
      </c>
      <c r="D626" s="6">
        <v>1.00007</v>
      </c>
      <c r="E626" s="6">
        <v>26232.9</v>
      </c>
      <c r="F626" s="6">
        <v>26275.83</v>
      </c>
      <c r="G626" s="6">
        <v>26238.5</v>
      </c>
      <c r="H626" s="6">
        <v>26246.86</v>
      </c>
      <c r="I626" s="5">
        <v>45193</v>
      </c>
      <c r="J626" s="7">
        <f t="shared" si="56"/>
        <v>-5.3187314596866541E-4</v>
      </c>
      <c r="K626" s="5">
        <v>45193</v>
      </c>
      <c r="L626" s="8">
        <f t="shared" si="57"/>
        <v>1.4227185243059529E-3</v>
      </c>
      <c r="M626" s="5">
        <v>45193</v>
      </c>
      <c r="N626" s="9">
        <f t="shared" si="54"/>
        <v>8.9084537833728752E-4</v>
      </c>
      <c r="O626" s="5">
        <v>45193</v>
      </c>
      <c r="P626">
        <f t="shared" si="55"/>
        <v>1.0003186157745299</v>
      </c>
      <c r="Q626" s="6">
        <f t="shared" si="58"/>
        <v>0.999930004899657</v>
      </c>
      <c r="R626">
        <f t="shared" si="59"/>
        <v>3.885625774172972E-4</v>
      </c>
      <c r="T626" s="5">
        <v>45193</v>
      </c>
      <c r="U626" s="1">
        <v>3.885625774172972E-4</v>
      </c>
    </row>
    <row r="627" spans="3:21" x14ac:dyDescent="0.2">
      <c r="C627" s="5">
        <v>45194</v>
      </c>
      <c r="D627" s="6">
        <v>0.99978999999999996</v>
      </c>
      <c r="E627" s="6">
        <v>26287.5</v>
      </c>
      <c r="F627" s="6">
        <v>26312.59</v>
      </c>
      <c r="G627" s="6">
        <v>26287.5</v>
      </c>
      <c r="H627" s="6">
        <v>26302.1</v>
      </c>
      <c r="I627" s="5">
        <v>45194</v>
      </c>
      <c r="J627" s="7">
        <f t="shared" si="56"/>
        <v>-5.550887571714253E-4</v>
      </c>
      <c r="K627" s="5">
        <v>45194</v>
      </c>
      <c r="L627" s="8">
        <f t="shared" si="57"/>
        <v>9.544460294816984E-4</v>
      </c>
      <c r="M627" s="5">
        <v>45194</v>
      </c>
      <c r="N627" s="9">
        <f t="shared" si="54"/>
        <v>3.993572723102731E-4</v>
      </c>
      <c r="O627" s="5">
        <v>45194</v>
      </c>
      <c r="P627">
        <f t="shared" si="55"/>
        <v>1.0005553970518306</v>
      </c>
      <c r="Q627" s="6">
        <f t="shared" si="58"/>
        <v>1.000210044109263</v>
      </c>
      <c r="R627">
        <f t="shared" si="59"/>
        <v>3.4522082288365594E-4</v>
      </c>
      <c r="T627" s="5">
        <v>45194</v>
      </c>
      <c r="U627" s="1">
        <v>3.4522082288365594E-4</v>
      </c>
    </row>
    <row r="628" spans="3:21" x14ac:dyDescent="0.2">
      <c r="C628" s="5">
        <v>45195</v>
      </c>
      <c r="D628" s="6">
        <v>0.99944</v>
      </c>
      <c r="E628" s="6">
        <v>26207.4</v>
      </c>
      <c r="F628" s="6">
        <v>26221.14</v>
      </c>
      <c r="G628" s="6">
        <v>26207</v>
      </c>
      <c r="H628" s="6">
        <v>26219.98</v>
      </c>
      <c r="I628" s="5">
        <v>45195</v>
      </c>
      <c r="J628" s="7">
        <f t="shared" si="56"/>
        <v>-4.7978678854820287E-4</v>
      </c>
      <c r="K628" s="5">
        <v>45195</v>
      </c>
      <c r="L628" s="8">
        <f t="shared" si="57"/>
        <v>5.3955050177431293E-4</v>
      </c>
      <c r="M628" s="5">
        <v>45195</v>
      </c>
      <c r="N628" s="9">
        <f t="shared" si="54"/>
        <v>5.9763713226110066E-5</v>
      </c>
      <c r="O628" s="5">
        <v>45195</v>
      </c>
      <c r="P628">
        <f t="shared" si="55"/>
        <v>1.0004952875186017</v>
      </c>
      <c r="Q628" s="6">
        <f t="shared" si="58"/>
        <v>1.0005603137757144</v>
      </c>
      <c r="R628">
        <f t="shared" si="59"/>
        <v>-6.4991954339969492E-5</v>
      </c>
      <c r="T628" s="5">
        <v>45195</v>
      </c>
      <c r="U628" s="1">
        <v>-6.4991954339969492E-5</v>
      </c>
    </row>
    <row r="629" spans="3:21" x14ac:dyDescent="0.2">
      <c r="C629" s="5">
        <v>45196</v>
      </c>
      <c r="D629" s="6">
        <v>0.99924000000000002</v>
      </c>
      <c r="E629" s="6">
        <v>26359.5</v>
      </c>
      <c r="F629" s="6">
        <v>26366.45</v>
      </c>
      <c r="G629" s="6">
        <v>26345</v>
      </c>
      <c r="H629" s="6">
        <v>26373.97</v>
      </c>
      <c r="I629" s="5">
        <v>45196</v>
      </c>
      <c r="J629" s="7">
        <f t="shared" si="56"/>
        <v>-5.4864701825326878E-4</v>
      </c>
      <c r="K629" s="5">
        <v>45196</v>
      </c>
      <c r="L629" s="8">
        <f t="shared" si="57"/>
        <v>8.1419624217121764E-4</v>
      </c>
      <c r="M629" s="5">
        <v>45196</v>
      </c>
      <c r="N629" s="9">
        <f t="shared" si="54"/>
        <v>2.6554922391794887E-4</v>
      </c>
      <c r="O629" s="5">
        <v>45196</v>
      </c>
      <c r="P629">
        <f t="shared" si="55"/>
        <v>1.0010996394002658</v>
      </c>
      <c r="Q629" s="6">
        <f t="shared" si="58"/>
        <v>1.0007605780393098</v>
      </c>
      <c r="R629">
        <f t="shared" si="59"/>
        <v>3.3874629331707219E-4</v>
      </c>
      <c r="T629" s="5">
        <v>45196</v>
      </c>
      <c r="U629" s="1">
        <v>3.3874629331707219E-4</v>
      </c>
    </row>
    <row r="630" spans="3:21" x14ac:dyDescent="0.2">
      <c r="C630" s="5">
        <v>45197</v>
      </c>
      <c r="D630" s="6">
        <v>0.99990000000000001</v>
      </c>
      <c r="E630" s="6">
        <v>27010.7</v>
      </c>
      <c r="F630" s="6">
        <v>27043.9</v>
      </c>
      <c r="G630" s="6">
        <v>27014.5</v>
      </c>
      <c r="H630" s="6">
        <v>27024</v>
      </c>
      <c r="I630" s="5">
        <v>45197</v>
      </c>
      <c r="J630" s="7">
        <f t="shared" si="56"/>
        <v>-4.9215512137356688E-4</v>
      </c>
      <c r="K630" s="5">
        <v>45197</v>
      </c>
      <c r="L630" s="8">
        <f t="shared" si="57"/>
        <v>1.0883044291029431E-3</v>
      </c>
      <c r="M630" s="5">
        <v>45197</v>
      </c>
      <c r="N630" s="9">
        <f t="shared" si="54"/>
        <v>5.9614930772937619E-4</v>
      </c>
      <c r="O630" s="5">
        <v>45197</v>
      </c>
      <c r="P630">
        <f t="shared" si="55"/>
        <v>1.0003516629957985</v>
      </c>
      <c r="Q630" s="6">
        <f t="shared" si="58"/>
        <v>1.000100010001</v>
      </c>
      <c r="R630">
        <f t="shared" si="59"/>
        <v>2.5159617652650238E-4</v>
      </c>
      <c r="T630" s="5">
        <v>45197</v>
      </c>
      <c r="U630" s="1">
        <v>2.5159617652650238E-4</v>
      </c>
    </row>
    <row r="631" spans="3:21" x14ac:dyDescent="0.2">
      <c r="C631" s="5">
        <v>45198</v>
      </c>
      <c r="D631" s="6">
        <v>0.99985000000000002</v>
      </c>
      <c r="E631" s="6">
        <v>26894.7</v>
      </c>
      <c r="F631" s="6">
        <v>26924.06</v>
      </c>
      <c r="G631" s="6">
        <v>26903.5</v>
      </c>
      <c r="H631" s="6">
        <v>26910</v>
      </c>
      <c r="I631" s="5">
        <v>45198</v>
      </c>
      <c r="J631" s="7">
        <f t="shared" si="56"/>
        <v>-5.6856187290967193E-4</v>
      </c>
      <c r="K631" s="5">
        <v>45198</v>
      </c>
      <c r="L631" s="8">
        <f t="shared" si="57"/>
        <v>7.6421283476132507E-4</v>
      </c>
      <c r="M631" s="5">
        <v>45198</v>
      </c>
      <c r="N631" s="9">
        <f t="shared" si="54"/>
        <v>1.9565096185165313E-4</v>
      </c>
      <c r="O631" s="5">
        <v>45198</v>
      </c>
      <c r="P631">
        <f t="shared" si="55"/>
        <v>1.0002416042522349</v>
      </c>
      <c r="Q631" s="6">
        <f t="shared" si="58"/>
        <v>1.0001500225033755</v>
      </c>
      <c r="R631">
        <f t="shared" si="59"/>
        <v>9.1563819502463926E-5</v>
      </c>
      <c r="T631" s="5">
        <v>45198</v>
      </c>
      <c r="U631" s="1">
        <v>9.1563819502463926E-5</v>
      </c>
    </row>
    <row r="632" spans="3:21" x14ac:dyDescent="0.2">
      <c r="C632" s="5">
        <v>45199</v>
      </c>
      <c r="D632" s="6">
        <v>1.0000500000000001</v>
      </c>
      <c r="E632" s="6">
        <v>26953.5</v>
      </c>
      <c r="F632" s="6">
        <v>26992.77</v>
      </c>
      <c r="G632" s="6">
        <v>26960</v>
      </c>
      <c r="H632" s="6">
        <v>26965.24</v>
      </c>
      <c r="I632" s="5">
        <v>45199</v>
      </c>
      <c r="J632" s="7">
        <f t="shared" si="56"/>
        <v>-4.3537532022713685E-4</v>
      </c>
      <c r="K632" s="5">
        <v>45199</v>
      </c>
      <c r="L632" s="8">
        <f t="shared" si="57"/>
        <v>1.215504451038592E-3</v>
      </c>
      <c r="M632" s="5">
        <v>45199</v>
      </c>
      <c r="N632" s="9">
        <f t="shared" si="54"/>
        <v>7.8012913081145505E-4</v>
      </c>
      <c r="O632" s="5">
        <v>45199</v>
      </c>
      <c r="P632">
        <f t="shared" si="55"/>
        <v>1.0001943620178042</v>
      </c>
      <c r="Q632" s="6">
        <f t="shared" si="58"/>
        <v>0.99995000249987487</v>
      </c>
      <c r="R632">
        <f t="shared" si="59"/>
        <v>2.4434188199618282E-4</v>
      </c>
      <c r="T632" s="5">
        <v>45199</v>
      </c>
      <c r="U632" s="1">
        <v>2.4434188199618282E-4</v>
      </c>
    </row>
    <row r="633" spans="3:21" x14ac:dyDescent="0.2">
      <c r="C633" s="5">
        <v>45200</v>
      </c>
      <c r="D633" s="6">
        <v>0.99987999999999999</v>
      </c>
      <c r="E633" s="6">
        <v>27979</v>
      </c>
      <c r="F633" s="6">
        <v>28015.69</v>
      </c>
      <c r="G633" s="6">
        <v>27989</v>
      </c>
      <c r="H633" s="6">
        <v>27993.52</v>
      </c>
      <c r="I633" s="5">
        <v>45200</v>
      </c>
      <c r="J633" s="7">
        <f t="shared" si="56"/>
        <v>-5.1869146859703373E-4</v>
      </c>
      <c r="K633" s="5">
        <v>45200</v>
      </c>
      <c r="L633" s="8">
        <f t="shared" si="57"/>
        <v>9.5358890992885384E-4</v>
      </c>
      <c r="M633" s="5">
        <v>45200</v>
      </c>
      <c r="N633" s="9">
        <f t="shared" si="54"/>
        <v>4.3489744133182011E-4</v>
      </c>
      <c r="O633" s="5">
        <v>45200</v>
      </c>
      <c r="P633">
        <f t="shared" si="55"/>
        <v>1.0001614920147202</v>
      </c>
      <c r="Q633" s="6">
        <f t="shared" si="58"/>
        <v>1.0001200144017282</v>
      </c>
      <c r="R633">
        <f t="shared" si="59"/>
        <v>4.1471775712573755E-5</v>
      </c>
      <c r="T633" s="5">
        <v>45200</v>
      </c>
      <c r="U633" s="1">
        <v>4.1471775712573755E-5</v>
      </c>
    </row>
    <row r="634" spans="3:21" x14ac:dyDescent="0.2">
      <c r="C634" s="5">
        <v>45201</v>
      </c>
      <c r="D634" s="6">
        <v>1.00017</v>
      </c>
      <c r="E634" s="6">
        <v>27484.1</v>
      </c>
      <c r="F634" s="6">
        <v>27514.240000000002</v>
      </c>
      <c r="G634" s="6">
        <v>27485</v>
      </c>
      <c r="H634" s="6">
        <v>27499.97</v>
      </c>
      <c r="I634" s="5">
        <v>45201</v>
      </c>
      <c r="J634" s="7">
        <f t="shared" si="56"/>
        <v>-5.7709153864541013E-4</v>
      </c>
      <c r="K634" s="5">
        <v>45201</v>
      </c>
      <c r="L634" s="8">
        <f t="shared" si="57"/>
        <v>1.0638530107331854E-3</v>
      </c>
      <c r="M634" s="5">
        <v>45201</v>
      </c>
      <c r="N634" s="9">
        <f t="shared" si="54"/>
        <v>4.8676147208777528E-4</v>
      </c>
      <c r="O634" s="5">
        <v>45201</v>
      </c>
      <c r="P634">
        <f t="shared" si="55"/>
        <v>1.0005446607240314</v>
      </c>
      <c r="Q634" s="6">
        <f t="shared" si="58"/>
        <v>0.99983002889508787</v>
      </c>
      <c r="R634">
        <f t="shared" si="59"/>
        <v>7.1449800185357138E-4</v>
      </c>
      <c r="T634" s="5">
        <v>45201</v>
      </c>
      <c r="U634" s="1">
        <v>7.1449800185357138E-4</v>
      </c>
    </row>
    <row r="635" spans="3:21" x14ac:dyDescent="0.2">
      <c r="C635" s="5">
        <v>45202</v>
      </c>
      <c r="D635" s="6">
        <v>1.00004</v>
      </c>
      <c r="E635" s="6">
        <v>27413.200000000001</v>
      </c>
      <c r="F635" s="6">
        <v>27445.32</v>
      </c>
      <c r="G635" s="6">
        <v>27411.5</v>
      </c>
      <c r="H635" s="6">
        <v>27426.77</v>
      </c>
      <c r="I635" s="5">
        <v>45202</v>
      </c>
      <c r="J635" s="7">
        <f t="shared" si="56"/>
        <v>-4.947720785203547E-4</v>
      </c>
      <c r="K635" s="5">
        <v>45202</v>
      </c>
      <c r="L635" s="8">
        <f t="shared" si="57"/>
        <v>1.2337887383032562E-3</v>
      </c>
      <c r="M635" s="5">
        <v>45202</v>
      </c>
      <c r="N635" s="9">
        <f t="shared" si="54"/>
        <v>7.3901665978290149E-4</v>
      </c>
      <c r="O635" s="5">
        <v>45202</v>
      </c>
      <c r="P635">
        <f t="shared" si="55"/>
        <v>1.0005570654652245</v>
      </c>
      <c r="Q635" s="6">
        <f t="shared" si="58"/>
        <v>0.99996000159993592</v>
      </c>
      <c r="R635">
        <f t="shared" si="59"/>
        <v>5.969095618787696E-4</v>
      </c>
      <c r="T635" s="5">
        <v>45202</v>
      </c>
      <c r="U635" s="1">
        <v>5.969095618787696E-4</v>
      </c>
    </row>
    <row r="636" spans="3:21" x14ac:dyDescent="0.2">
      <c r="C636" s="5">
        <v>45203</v>
      </c>
      <c r="D636" s="6">
        <v>1.00003</v>
      </c>
      <c r="E636" s="6">
        <v>27764.7</v>
      </c>
      <c r="F636" s="6">
        <v>27805.34</v>
      </c>
      <c r="G636" s="6">
        <v>27769</v>
      </c>
      <c r="H636" s="6">
        <v>27782</v>
      </c>
      <c r="I636" s="5">
        <v>45203</v>
      </c>
      <c r="J636" s="7">
        <f t="shared" si="56"/>
        <v>-6.2270534878695817E-4</v>
      </c>
      <c r="K636" s="5">
        <v>45203</v>
      </c>
      <c r="L636" s="8">
        <f t="shared" si="57"/>
        <v>1.3086535345169126E-3</v>
      </c>
      <c r="M636" s="5">
        <v>45203</v>
      </c>
      <c r="N636" s="9">
        <f t="shared" si="54"/>
        <v>6.8594818572995445E-4</v>
      </c>
      <c r="O636" s="5">
        <v>45203</v>
      </c>
      <c r="P636">
        <f t="shared" si="55"/>
        <v>1.0004681479347473</v>
      </c>
      <c r="Q636" s="6">
        <f t="shared" si="58"/>
        <v>0.99997000089997301</v>
      </c>
      <c r="R636">
        <f t="shared" si="59"/>
        <v>4.9803793769999068E-4</v>
      </c>
      <c r="T636" s="5">
        <v>45203</v>
      </c>
      <c r="U636" s="1">
        <v>4.9803793769999068E-4</v>
      </c>
    </row>
    <row r="637" spans="3:21" x14ac:dyDescent="0.2">
      <c r="C637" s="5">
        <v>45204</v>
      </c>
      <c r="D637" s="6">
        <v>1.0000800000000001</v>
      </c>
      <c r="E637" s="6">
        <v>27397.3</v>
      </c>
      <c r="F637" s="6">
        <v>27433.89</v>
      </c>
      <c r="G637" s="6">
        <v>27406.5</v>
      </c>
      <c r="H637" s="6">
        <v>27411.99</v>
      </c>
      <c r="I637" s="5">
        <v>45204</v>
      </c>
      <c r="J637" s="7">
        <f t="shared" si="56"/>
        <v>-5.3589688307935054E-4</v>
      </c>
      <c r="K637" s="5">
        <v>45204</v>
      </c>
      <c r="L637" s="8">
        <f t="shared" si="57"/>
        <v>9.993979530403159E-4</v>
      </c>
      <c r="M637" s="5">
        <v>45204</v>
      </c>
      <c r="N637" s="9">
        <f t="shared" si="54"/>
        <v>4.6350106996096536E-4</v>
      </c>
      <c r="O637" s="5">
        <v>45204</v>
      </c>
      <c r="P637">
        <f t="shared" si="55"/>
        <v>1.0002003174429424</v>
      </c>
      <c r="Q637" s="6">
        <f t="shared" si="58"/>
        <v>0.99992000639948797</v>
      </c>
      <c r="R637">
        <f t="shared" si="59"/>
        <v>2.8029418225311955E-4</v>
      </c>
      <c r="T637" s="5">
        <v>45204</v>
      </c>
      <c r="U637" s="1">
        <v>2.8029418225311955E-4</v>
      </c>
    </row>
    <row r="638" spans="3:21" x14ac:dyDescent="0.2">
      <c r="C638" s="5">
        <v>45205</v>
      </c>
      <c r="D638" s="6">
        <v>1.00044</v>
      </c>
      <c r="E638" s="6">
        <v>27912.5</v>
      </c>
      <c r="F638" s="6">
        <v>27977.94</v>
      </c>
      <c r="G638" s="6">
        <v>27940</v>
      </c>
      <c r="H638" s="6">
        <v>27929.99</v>
      </c>
      <c r="I638" s="5">
        <v>45205</v>
      </c>
      <c r="J638" s="7">
        <f t="shared" si="56"/>
        <v>-6.2620860229458016E-4</v>
      </c>
      <c r="K638" s="5">
        <v>45205</v>
      </c>
      <c r="L638" s="8">
        <f t="shared" si="57"/>
        <v>1.3579098067286574E-3</v>
      </c>
      <c r="M638" s="5">
        <v>45205</v>
      </c>
      <c r="N638" s="9">
        <f t="shared" si="54"/>
        <v>7.3170120443407727E-4</v>
      </c>
      <c r="O638" s="5">
        <v>45205</v>
      </c>
      <c r="P638">
        <f t="shared" si="55"/>
        <v>0.99964173228346465</v>
      </c>
      <c r="Q638" s="6">
        <f t="shared" si="58"/>
        <v>0.99956019351485348</v>
      </c>
      <c r="R638">
        <f t="shared" si="59"/>
        <v>8.1571318638793934E-5</v>
      </c>
      <c r="T638" s="5">
        <v>45205</v>
      </c>
      <c r="U638" s="1">
        <v>8.1571318638793934E-5</v>
      </c>
    </row>
    <row r="639" spans="3:21" x14ac:dyDescent="0.2">
      <c r="C639" s="5">
        <v>45206</v>
      </c>
      <c r="D639" s="6">
        <v>1.0005599999999999</v>
      </c>
      <c r="E639" s="6">
        <v>27942.3</v>
      </c>
      <c r="F639" s="6">
        <v>28015.439999999999</v>
      </c>
      <c r="G639" s="6">
        <v>27954.5</v>
      </c>
      <c r="H639" s="6">
        <v>27957.1</v>
      </c>
      <c r="I639" s="5">
        <v>45206</v>
      </c>
      <c r="J639" s="7">
        <f t="shared" si="56"/>
        <v>-5.2938251821538261E-4</v>
      </c>
      <c r="K639" s="5">
        <v>45206</v>
      </c>
      <c r="L639" s="8">
        <f t="shared" si="57"/>
        <v>2.179971024343082E-3</v>
      </c>
      <c r="M639" s="5">
        <v>45206</v>
      </c>
      <c r="N639" s="9">
        <f t="shared" si="54"/>
        <v>1.6505885061276994E-3</v>
      </c>
      <c r="O639" s="5">
        <v>45206</v>
      </c>
      <c r="P639">
        <f t="shared" si="55"/>
        <v>1.0000930082813142</v>
      </c>
      <c r="Q639" s="6">
        <f t="shared" si="58"/>
        <v>0.99944031342448236</v>
      </c>
      <c r="R639">
        <f t="shared" si="59"/>
        <v>6.5284721482611644E-4</v>
      </c>
      <c r="T639" s="5">
        <v>45206</v>
      </c>
      <c r="U639" s="1">
        <v>6.5284721482611644E-4</v>
      </c>
    </row>
    <row r="640" spans="3:21" x14ac:dyDescent="0.2">
      <c r="C640" s="5">
        <v>45207</v>
      </c>
      <c r="D640" s="6">
        <v>1.00051</v>
      </c>
      <c r="E640" s="6">
        <v>27899</v>
      </c>
      <c r="F640" s="6">
        <v>27953.84</v>
      </c>
      <c r="G640" s="6">
        <v>27920.5</v>
      </c>
      <c r="H640" s="6">
        <v>27916.02</v>
      </c>
      <c r="I640" s="5">
        <v>45207</v>
      </c>
      <c r="J640" s="7">
        <f t="shared" si="56"/>
        <v>-6.0968576466131051E-4</v>
      </c>
      <c r="K640" s="5">
        <v>45207</v>
      </c>
      <c r="L640" s="8">
        <f t="shared" si="57"/>
        <v>1.1941046901022599E-3</v>
      </c>
      <c r="M640" s="5">
        <v>45207</v>
      </c>
      <c r="N640" s="9">
        <f t="shared" si="54"/>
        <v>5.8441892544094942E-4</v>
      </c>
      <c r="O640" s="5">
        <v>45207</v>
      </c>
      <c r="P640">
        <f t="shared" si="55"/>
        <v>0.99983954442076606</v>
      </c>
      <c r="Q640" s="6">
        <f t="shared" si="58"/>
        <v>0.99949025996741658</v>
      </c>
      <c r="R640">
        <f t="shared" si="59"/>
        <v>3.4940154059246706E-4</v>
      </c>
      <c r="T640" s="5">
        <v>45207</v>
      </c>
      <c r="U640" s="1">
        <v>3.4940154059246706E-4</v>
      </c>
    </row>
    <row r="641" spans="3:21" x14ac:dyDescent="0.2">
      <c r="C641" s="5">
        <v>45208</v>
      </c>
      <c r="D641" s="6">
        <v>1.0001800000000001</v>
      </c>
      <c r="E641" s="6">
        <v>27579.200000000001</v>
      </c>
      <c r="F641" s="6">
        <v>27610.34</v>
      </c>
      <c r="G641" s="6">
        <v>27590.5</v>
      </c>
      <c r="H641" s="6">
        <v>27591.27</v>
      </c>
      <c r="I641" s="5">
        <v>45208</v>
      </c>
      <c r="J641" s="7">
        <f t="shared" si="56"/>
        <v>-4.3745721019727287E-4</v>
      </c>
      <c r="K641" s="5">
        <v>45208</v>
      </c>
      <c r="L641" s="8">
        <f t="shared" si="57"/>
        <v>7.1908809191570085E-4</v>
      </c>
      <c r="M641" s="5">
        <v>45208</v>
      </c>
      <c r="N641" s="9">
        <f t="shared" si="54"/>
        <v>2.8163088171842798E-4</v>
      </c>
      <c r="O641" s="5">
        <v>45208</v>
      </c>
      <c r="P641">
        <f t="shared" si="55"/>
        <v>1.0000279081567931</v>
      </c>
      <c r="Q641" s="6">
        <f t="shared" si="58"/>
        <v>0.99982003239416894</v>
      </c>
      <c r="R641">
        <f t="shared" si="59"/>
        <v>2.0789156931162885E-4</v>
      </c>
      <c r="T641" s="5">
        <v>45208</v>
      </c>
      <c r="U641" s="1">
        <v>2.0789156931162885E-4</v>
      </c>
    </row>
    <row r="642" spans="3:21" x14ac:dyDescent="0.2">
      <c r="C642" s="5">
        <v>45209</v>
      </c>
      <c r="D642" s="6">
        <v>1.0001</v>
      </c>
      <c r="E642" s="6">
        <v>27378</v>
      </c>
      <c r="F642" s="6">
        <v>27408.19</v>
      </c>
      <c r="G642" s="6">
        <v>27380</v>
      </c>
      <c r="H642" s="6">
        <v>27392.83</v>
      </c>
      <c r="I642" s="5">
        <v>45209</v>
      </c>
      <c r="J642" s="7">
        <f t="shared" si="56"/>
        <v>-5.4138254426438397E-4</v>
      </c>
      <c r="K642" s="5">
        <v>45209</v>
      </c>
      <c r="L642" s="8">
        <f t="shared" si="57"/>
        <v>1.029583637691698E-3</v>
      </c>
      <c r="M642" s="5">
        <v>45209</v>
      </c>
      <c r="N642" s="9">
        <f t="shared" si="54"/>
        <v>4.8820109342731402E-4</v>
      </c>
      <c r="O642" s="5">
        <v>45209</v>
      </c>
      <c r="P642">
        <f t="shared" si="55"/>
        <v>1.0004685902118335</v>
      </c>
      <c r="Q642" s="6">
        <f t="shared" si="58"/>
        <v>0.99990000999900008</v>
      </c>
      <c r="R642">
        <f t="shared" si="59"/>
        <v>5.6847545805857906E-4</v>
      </c>
      <c r="T642" s="5">
        <v>45209</v>
      </c>
      <c r="U642" s="1">
        <v>5.6847545805857906E-4</v>
      </c>
    </row>
    <row r="643" spans="3:21" x14ac:dyDescent="0.2">
      <c r="C643" s="5">
        <v>45210</v>
      </c>
      <c r="D643" s="6">
        <v>0.99977000000000005</v>
      </c>
      <c r="E643" s="6">
        <v>26865.5</v>
      </c>
      <c r="F643" s="6">
        <v>26895.93</v>
      </c>
      <c r="G643" s="6">
        <v>26862</v>
      </c>
      <c r="H643" s="6">
        <v>26875.96</v>
      </c>
      <c r="I643" s="5">
        <v>45210</v>
      </c>
      <c r="J643" s="7">
        <f t="shared" si="56"/>
        <v>-3.8919539990382214E-4</v>
      </c>
      <c r="K643" s="5">
        <v>45210</v>
      </c>
      <c r="L643" s="8">
        <f t="shared" si="57"/>
        <v>1.2631226267590012E-3</v>
      </c>
      <c r="M643" s="5">
        <v>45210</v>
      </c>
      <c r="N643" s="9">
        <f t="shared" si="54"/>
        <v>8.739272268551791E-4</v>
      </c>
      <c r="O643" s="5">
        <v>45210</v>
      </c>
      <c r="P643">
        <f t="shared" si="55"/>
        <v>1.0005196932469658</v>
      </c>
      <c r="Q643" s="6">
        <f t="shared" si="58"/>
        <v>1.0002300529121697</v>
      </c>
      <c r="R643">
        <f t="shared" si="59"/>
        <v>2.8953179914220428E-4</v>
      </c>
      <c r="T643" s="5">
        <v>45210</v>
      </c>
      <c r="U643" s="1">
        <v>2.8953179914220428E-4</v>
      </c>
    </row>
    <row r="644" spans="3:21" x14ac:dyDescent="0.2">
      <c r="C644" s="5">
        <v>45211</v>
      </c>
      <c r="D644" s="6">
        <v>0.99968999999999997</v>
      </c>
      <c r="E644" s="6">
        <v>26746.400000000001</v>
      </c>
      <c r="F644" s="6">
        <v>26773.54</v>
      </c>
      <c r="G644" s="6">
        <v>26752</v>
      </c>
      <c r="H644" s="6">
        <v>26761.11</v>
      </c>
      <c r="I644" s="5">
        <v>45211</v>
      </c>
      <c r="J644" s="7">
        <f t="shared" si="56"/>
        <v>-5.4967824578274697E-4</v>
      </c>
      <c r="K644" s="5">
        <v>45211</v>
      </c>
      <c r="L644" s="8">
        <f t="shared" si="57"/>
        <v>8.0517344497610919E-4</v>
      </c>
      <c r="M644" s="5">
        <v>45211</v>
      </c>
      <c r="N644" s="9">
        <f t="shared" si="54"/>
        <v>2.5549519919336222E-4</v>
      </c>
      <c r="O644" s="5">
        <v>45211</v>
      </c>
      <c r="P644">
        <f t="shared" si="55"/>
        <v>1.0003405352870813</v>
      </c>
      <c r="Q644" s="6">
        <f t="shared" si="58"/>
        <v>1.0003100961298004</v>
      </c>
      <c r="R644">
        <f t="shared" si="59"/>
        <v>3.04292581676277E-5</v>
      </c>
      <c r="T644" s="5">
        <v>45211</v>
      </c>
      <c r="U644" s="1">
        <v>3.04292581676277E-5</v>
      </c>
    </row>
    <row r="645" spans="3:21" x14ac:dyDescent="0.2">
      <c r="C645" s="5">
        <v>45212</v>
      </c>
      <c r="D645" s="6">
        <v>0.99970999999999999</v>
      </c>
      <c r="E645" s="6">
        <v>26846.7</v>
      </c>
      <c r="F645" s="6">
        <v>26873.77</v>
      </c>
      <c r="G645" s="6">
        <v>26856</v>
      </c>
      <c r="H645" s="6">
        <v>26865.33</v>
      </c>
      <c r="I645" s="5">
        <v>45212</v>
      </c>
      <c r="J645" s="7">
        <f t="shared" si="56"/>
        <v>-6.9345881848467965E-4</v>
      </c>
      <c r="K645" s="5">
        <v>45212</v>
      </c>
      <c r="L645" s="8">
        <f t="shared" si="57"/>
        <v>6.6167709264225633E-4</v>
      </c>
      <c r="M645" s="5">
        <v>45212</v>
      </c>
      <c r="N645" s="9">
        <f t="shared" si="54"/>
        <v>-3.1781725842423315E-5</v>
      </c>
      <c r="O645" s="5">
        <v>45212</v>
      </c>
      <c r="P645">
        <f t="shared" si="55"/>
        <v>1.0003474084003574</v>
      </c>
      <c r="Q645" s="6">
        <f t="shared" si="58"/>
        <v>1.000290084124396</v>
      </c>
      <c r="R645">
        <f t="shared" si="59"/>
        <v>5.7306009900716589E-5</v>
      </c>
      <c r="T645" s="5">
        <v>45212</v>
      </c>
      <c r="U645" s="1">
        <v>5.7306009900716589E-5</v>
      </c>
    </row>
    <row r="646" spans="3:21" x14ac:dyDescent="0.2">
      <c r="C646" s="5">
        <v>45213</v>
      </c>
      <c r="D646" s="6">
        <v>0.99992999999999999</v>
      </c>
      <c r="E646" s="6">
        <v>26841.599999999999</v>
      </c>
      <c r="F646" s="6">
        <v>26884.58</v>
      </c>
      <c r="G646" s="6">
        <v>26842.5</v>
      </c>
      <c r="H646" s="6">
        <v>26854.05</v>
      </c>
      <c r="I646" s="5">
        <v>45213</v>
      </c>
      <c r="J646" s="7">
        <f t="shared" si="56"/>
        <v>-4.6361721974900354E-4</v>
      </c>
      <c r="K646" s="5">
        <v>45213</v>
      </c>
      <c r="L646" s="8">
        <f t="shared" si="57"/>
        <v>1.5676632206389773E-3</v>
      </c>
      <c r="M646" s="5">
        <v>45213</v>
      </c>
      <c r="N646" s="9">
        <f t="shared" si="54"/>
        <v>1.1040460008899739E-3</v>
      </c>
      <c r="O646" s="5">
        <v>45213</v>
      </c>
      <c r="P646">
        <f t="shared" si="55"/>
        <v>1.0004302877898854</v>
      </c>
      <c r="Q646" s="6">
        <f t="shared" si="58"/>
        <v>1.000070004900343</v>
      </c>
      <c r="R646">
        <f t="shared" si="59"/>
        <v>3.6019279252703191E-4</v>
      </c>
      <c r="T646" s="5">
        <v>45213</v>
      </c>
      <c r="U646" s="1">
        <v>3.6019279252703191E-4</v>
      </c>
    </row>
    <row r="647" spans="3:21" x14ac:dyDescent="0.2">
      <c r="C647" s="5">
        <v>45214</v>
      </c>
      <c r="D647" s="6">
        <v>1.0000199999999999</v>
      </c>
      <c r="E647" s="6">
        <v>27139.3</v>
      </c>
      <c r="F647" s="6">
        <v>27178.12</v>
      </c>
      <c r="G647" s="6">
        <v>27159.5</v>
      </c>
      <c r="H647" s="6">
        <v>27156.639999999999</v>
      </c>
      <c r="I647" s="5">
        <v>45214</v>
      </c>
      <c r="J647" s="7">
        <f t="shared" si="56"/>
        <v>-6.3851787260869332E-4</v>
      </c>
      <c r="K647" s="5">
        <v>45214</v>
      </c>
      <c r="L647" s="8">
        <f t="shared" si="57"/>
        <v>6.8557963143647642E-4</v>
      </c>
      <c r="M647" s="5">
        <v>45214</v>
      </c>
      <c r="N647" s="9">
        <f t="shared" si="54"/>
        <v>4.7061758827783096E-5</v>
      </c>
      <c r="O647" s="5">
        <v>45214</v>
      </c>
      <c r="P647">
        <f t="shared" si="55"/>
        <v>0.99989469614683624</v>
      </c>
      <c r="Q647" s="6">
        <f t="shared" si="58"/>
        <v>0.99998000039999213</v>
      </c>
      <c r="R647">
        <f t="shared" si="59"/>
        <v>-8.5309598001225516E-5</v>
      </c>
      <c r="T647" s="5">
        <v>45214</v>
      </c>
      <c r="U647" s="1">
        <v>-8.5309598001225516E-5</v>
      </c>
    </row>
    <row r="648" spans="3:21" x14ac:dyDescent="0.2">
      <c r="C648" s="5">
        <v>45215</v>
      </c>
      <c r="D648" s="6">
        <v>1.00048</v>
      </c>
      <c r="E648" s="6">
        <v>28480.9</v>
      </c>
      <c r="F648" s="6">
        <v>28546.36</v>
      </c>
      <c r="G648" s="6">
        <v>28506.5</v>
      </c>
      <c r="H648" s="6">
        <v>28503.02</v>
      </c>
      <c r="I648" s="5">
        <v>45215</v>
      </c>
      <c r="J648" s="7">
        <f t="shared" si="56"/>
        <v>-7.7605811594697613E-4</v>
      </c>
      <c r="K648" s="5">
        <v>45215</v>
      </c>
      <c r="L648" s="8">
        <f t="shared" si="57"/>
        <v>1.3982775858137821E-3</v>
      </c>
      <c r="M648" s="5">
        <v>45215</v>
      </c>
      <c r="N648" s="9">
        <f t="shared" ref="N648:N711" si="60">J648+L648</f>
        <v>6.2221946986680597E-4</v>
      </c>
      <c r="O648" s="5">
        <v>45215</v>
      </c>
      <c r="P648">
        <f t="shared" ref="P648:P711" si="61">(1/G648)*H648</f>
        <v>0.99987792257906094</v>
      </c>
      <c r="Q648" s="6">
        <f t="shared" si="58"/>
        <v>0.99952023028946102</v>
      </c>
      <c r="R648">
        <f t="shared" si="59"/>
        <v>3.5779996385679582E-4</v>
      </c>
      <c r="T648" s="5">
        <v>45215</v>
      </c>
      <c r="U648" s="1">
        <v>3.5779996385679582E-4</v>
      </c>
    </row>
    <row r="649" spans="3:21" x14ac:dyDescent="0.2">
      <c r="C649" s="5">
        <v>45216</v>
      </c>
      <c r="D649" s="6">
        <v>1.0004</v>
      </c>
      <c r="E649" s="6">
        <v>28380.7</v>
      </c>
      <c r="F649" s="6">
        <v>28431.71</v>
      </c>
      <c r="G649" s="6">
        <v>28404</v>
      </c>
      <c r="H649" s="6">
        <v>28397.83</v>
      </c>
      <c r="I649" s="5">
        <v>45216</v>
      </c>
      <c r="J649" s="7">
        <f t="shared" ref="J649:J712" si="62">(E649-H649)/H649</f>
        <v>-6.0321510481614322E-4</v>
      </c>
      <c r="K649" s="5">
        <v>45216</v>
      </c>
      <c r="L649" s="8">
        <f t="shared" ref="L649:L712" si="63">(F649-G649)/G649</f>
        <v>9.7556682157439541E-4</v>
      </c>
      <c r="M649" s="5">
        <v>45216</v>
      </c>
      <c r="N649" s="9">
        <f t="shared" si="60"/>
        <v>3.7235171675825218E-4</v>
      </c>
      <c r="O649" s="5">
        <v>45216</v>
      </c>
      <c r="P649">
        <f t="shared" si="61"/>
        <v>0.9997827770736516</v>
      </c>
      <c r="Q649" s="6">
        <f t="shared" ref="Q649:Q712" si="64">1/D649</f>
        <v>0.99960015993602558</v>
      </c>
      <c r="R649">
        <f t="shared" ref="R649:R712" si="65">LN(P649/Q649)</f>
        <v>1.8267349866146675E-4</v>
      </c>
      <c r="T649" s="5">
        <v>45216</v>
      </c>
      <c r="U649" s="1">
        <v>1.8267349866146675E-4</v>
      </c>
    </row>
    <row r="650" spans="3:21" x14ac:dyDescent="0.2">
      <c r="C650" s="5">
        <v>45217</v>
      </c>
      <c r="D650" s="6">
        <v>1.00014</v>
      </c>
      <c r="E650" s="6">
        <v>28309.1</v>
      </c>
      <c r="F650" s="6">
        <v>28356.1</v>
      </c>
      <c r="G650" s="6">
        <v>28312</v>
      </c>
      <c r="H650" s="6">
        <v>28321.34</v>
      </c>
      <c r="I650" s="5">
        <v>45217</v>
      </c>
      <c r="J650" s="7">
        <f t="shared" si="62"/>
        <v>-4.3218294049651609E-4</v>
      </c>
      <c r="K650" s="5">
        <v>45217</v>
      </c>
      <c r="L650" s="8">
        <f t="shared" si="63"/>
        <v>1.5576434020909348E-3</v>
      </c>
      <c r="M650" s="5">
        <v>45217</v>
      </c>
      <c r="N650" s="9">
        <f t="shared" si="60"/>
        <v>1.1254604615944187E-3</v>
      </c>
      <c r="O650" s="5">
        <v>45217</v>
      </c>
      <c r="P650">
        <f t="shared" si="61"/>
        <v>1.0003298954506923</v>
      </c>
      <c r="Q650" s="6">
        <f t="shared" si="64"/>
        <v>0.99986001959725634</v>
      </c>
      <c r="R650">
        <f t="shared" si="65"/>
        <v>4.698312480673422E-4</v>
      </c>
      <c r="T650" s="5">
        <v>45217</v>
      </c>
      <c r="U650" s="1">
        <v>4.698312480673422E-4</v>
      </c>
    </row>
    <row r="651" spans="3:21" x14ac:dyDescent="0.2">
      <c r="C651" s="5">
        <v>45218</v>
      </c>
      <c r="D651" s="6">
        <v>1.0003899999999999</v>
      </c>
      <c r="E651" s="6">
        <v>28696.9</v>
      </c>
      <c r="F651" s="6">
        <v>28758.69</v>
      </c>
      <c r="G651" s="6">
        <v>28712.5</v>
      </c>
      <c r="H651" s="6">
        <v>28715.89</v>
      </c>
      <c r="I651" s="5">
        <v>45218</v>
      </c>
      <c r="J651" s="7">
        <f t="shared" si="62"/>
        <v>-6.6130633596931743E-4</v>
      </c>
      <c r="K651" s="5">
        <v>45218</v>
      </c>
      <c r="L651" s="8">
        <f t="shared" si="63"/>
        <v>1.6087070091423139E-3</v>
      </c>
      <c r="M651" s="5">
        <v>45218</v>
      </c>
      <c r="N651" s="9">
        <f t="shared" si="60"/>
        <v>9.4740067317299645E-4</v>
      </c>
      <c r="O651" s="5">
        <v>45218</v>
      </c>
      <c r="P651">
        <f t="shared" si="61"/>
        <v>1.0001180670439702</v>
      </c>
      <c r="Q651" s="6">
        <f t="shared" si="64"/>
        <v>0.99961015204070425</v>
      </c>
      <c r="R651">
        <f t="shared" si="65"/>
        <v>5.0798404437242051E-4</v>
      </c>
      <c r="T651" s="5">
        <v>45218</v>
      </c>
      <c r="U651" s="1">
        <v>5.0798404437242051E-4</v>
      </c>
    </row>
    <row r="652" spans="3:21" x14ac:dyDescent="0.2">
      <c r="C652" s="5">
        <v>45219</v>
      </c>
      <c r="D652" s="6">
        <v>1.0004500000000001</v>
      </c>
      <c r="E652" s="6">
        <v>29652.7</v>
      </c>
      <c r="F652" s="6">
        <v>29698.43</v>
      </c>
      <c r="G652" s="6">
        <v>29667.5</v>
      </c>
      <c r="H652" s="6">
        <v>29666.73</v>
      </c>
      <c r="I652" s="5">
        <v>45219</v>
      </c>
      <c r="J652" s="7">
        <f t="shared" si="62"/>
        <v>-4.7292033870935006E-4</v>
      </c>
      <c r="K652" s="5">
        <v>45219</v>
      </c>
      <c r="L652" s="8">
        <f t="shared" si="63"/>
        <v>1.04255498441056E-3</v>
      </c>
      <c r="M652" s="5">
        <v>45219</v>
      </c>
      <c r="N652" s="9">
        <f t="shared" si="60"/>
        <v>5.6963464570121002E-4</v>
      </c>
      <c r="O652" s="5">
        <v>45219</v>
      </c>
      <c r="P652">
        <f t="shared" si="61"/>
        <v>0.99997404567287429</v>
      </c>
      <c r="Q652" s="6">
        <f t="shared" si="64"/>
        <v>0.9995502024089159</v>
      </c>
      <c r="R652">
        <f t="shared" si="65"/>
        <v>4.2394411641974661E-4</v>
      </c>
      <c r="T652" s="5">
        <v>45219</v>
      </c>
      <c r="U652" s="1">
        <v>4.2394411641974661E-4</v>
      </c>
    </row>
    <row r="653" spans="3:21" x14ac:dyDescent="0.2">
      <c r="C653" s="5">
        <v>45220</v>
      </c>
      <c r="D653" s="6">
        <v>1.0003599999999999</v>
      </c>
      <c r="E653" s="6">
        <v>29891.599999999999</v>
      </c>
      <c r="F653" s="6">
        <v>29957.78</v>
      </c>
      <c r="G653" s="6">
        <v>29909</v>
      </c>
      <c r="H653" s="6">
        <v>29909.99</v>
      </c>
      <c r="I653" s="5">
        <v>45220</v>
      </c>
      <c r="J653" s="7">
        <f t="shared" si="62"/>
        <v>-6.1484473916584574E-4</v>
      </c>
      <c r="K653" s="5">
        <v>45220</v>
      </c>
      <c r="L653" s="8">
        <f t="shared" si="63"/>
        <v>1.6309472065264246E-3</v>
      </c>
      <c r="M653" s="5">
        <v>45220</v>
      </c>
      <c r="N653" s="9">
        <f t="shared" si="60"/>
        <v>1.0161024673605789E-3</v>
      </c>
      <c r="O653" s="5">
        <v>45220</v>
      </c>
      <c r="P653">
        <f t="shared" si="61"/>
        <v>1.0000331004045606</v>
      </c>
      <c r="Q653" s="6">
        <f t="shared" si="64"/>
        <v>0.9996401295533609</v>
      </c>
      <c r="R653">
        <f t="shared" si="65"/>
        <v>3.9303507230201482E-4</v>
      </c>
      <c r="T653" s="5">
        <v>45220</v>
      </c>
      <c r="U653" s="1">
        <v>3.9303507230201482E-4</v>
      </c>
    </row>
    <row r="654" spans="3:21" x14ac:dyDescent="0.2">
      <c r="C654" s="5">
        <v>45221</v>
      </c>
      <c r="D654" s="6">
        <v>1.0002800000000001</v>
      </c>
      <c r="E654" s="6">
        <v>29978.7</v>
      </c>
      <c r="F654" s="6">
        <v>30016.35</v>
      </c>
      <c r="G654" s="6">
        <v>29990.5</v>
      </c>
      <c r="H654" s="6">
        <v>29991.439999999999</v>
      </c>
      <c r="I654" s="5">
        <v>45221</v>
      </c>
      <c r="J654" s="7">
        <f t="shared" si="62"/>
        <v>-4.2478787280630616E-4</v>
      </c>
      <c r="K654" s="5">
        <v>45221</v>
      </c>
      <c r="L654" s="8">
        <f t="shared" si="63"/>
        <v>8.6193961421111832E-4</v>
      </c>
      <c r="M654" s="5">
        <v>45221</v>
      </c>
      <c r="N654" s="9">
        <f t="shared" si="60"/>
        <v>4.3715174140481215E-4</v>
      </c>
      <c r="O654" s="5">
        <v>45221</v>
      </c>
      <c r="P654">
        <f t="shared" si="61"/>
        <v>1.0000313432586985</v>
      </c>
      <c r="Q654" s="6">
        <f t="shared" si="64"/>
        <v>0.9997200783780541</v>
      </c>
      <c r="R654">
        <f t="shared" si="65"/>
        <v>3.1130357482472203E-4</v>
      </c>
      <c r="T654" s="5">
        <v>45221</v>
      </c>
      <c r="U654" s="1">
        <v>3.1130357482472203E-4</v>
      </c>
    </row>
    <row r="655" spans="3:21" x14ac:dyDescent="0.2">
      <c r="C655" s="5">
        <v>45222</v>
      </c>
      <c r="D655" s="6">
        <v>1.0003899999999999</v>
      </c>
      <c r="E655" s="6">
        <v>33092.9</v>
      </c>
      <c r="F655" s="6">
        <v>33068.29</v>
      </c>
      <c r="G655" s="6">
        <v>33106.5</v>
      </c>
      <c r="H655" s="6">
        <v>33065.47</v>
      </c>
      <c r="I655" s="5">
        <v>45222</v>
      </c>
      <c r="J655" s="7">
        <f t="shared" si="62"/>
        <v>8.2956631192601497E-4</v>
      </c>
      <c r="K655" s="5">
        <v>45222</v>
      </c>
      <c r="L655" s="8">
        <f t="shared" si="63"/>
        <v>-1.1541540180930972E-3</v>
      </c>
      <c r="M655" s="5">
        <v>45222</v>
      </c>
      <c r="N655" s="9">
        <f t="shared" si="60"/>
        <v>-3.2458770616708226E-4</v>
      </c>
      <c r="O655" s="5">
        <v>45222</v>
      </c>
      <c r="P655">
        <f t="shared" si="61"/>
        <v>0.99876066633440563</v>
      </c>
      <c r="Q655" s="6">
        <f t="shared" si="64"/>
        <v>0.99961015204070425</v>
      </c>
      <c r="R655">
        <f t="shared" si="65"/>
        <v>-8.5017830490229812E-4</v>
      </c>
      <c r="T655" s="5">
        <v>45222</v>
      </c>
      <c r="U655" s="1">
        <v>-8.5017830490229812E-4</v>
      </c>
    </row>
    <row r="656" spans="3:21" x14ac:dyDescent="0.2">
      <c r="C656" s="5">
        <v>45223</v>
      </c>
      <c r="D656" s="6">
        <v>1.0000500000000001</v>
      </c>
      <c r="E656" s="6">
        <v>33935.800000000003</v>
      </c>
      <c r="F656" s="6">
        <v>33935.07</v>
      </c>
      <c r="G656" s="6">
        <v>33931.5</v>
      </c>
      <c r="H656" s="6">
        <v>33923.33</v>
      </c>
      <c r="I656" s="5">
        <v>45223</v>
      </c>
      <c r="J656" s="7">
        <f t="shared" si="62"/>
        <v>3.6759362951694789E-4</v>
      </c>
      <c r="K656" s="5">
        <v>45223</v>
      </c>
      <c r="L656" s="8">
        <f t="shared" si="63"/>
        <v>1.0521197117721613E-4</v>
      </c>
      <c r="M656" s="5">
        <v>45223</v>
      </c>
      <c r="N656" s="9">
        <f t="shared" si="60"/>
        <v>4.7280560069416403E-4</v>
      </c>
      <c r="O656" s="5">
        <v>45223</v>
      </c>
      <c r="P656">
        <f t="shared" si="61"/>
        <v>0.99975922078304824</v>
      </c>
      <c r="Q656" s="6">
        <f t="shared" si="64"/>
        <v>0.99995000249987487</v>
      </c>
      <c r="R656">
        <f t="shared" si="65"/>
        <v>-1.908094588794958E-4</v>
      </c>
      <c r="T656" s="5">
        <v>45223</v>
      </c>
      <c r="U656" s="1">
        <v>-1.908094588794958E-4</v>
      </c>
    </row>
    <row r="657" spans="3:21" x14ac:dyDescent="0.2">
      <c r="C657" s="5">
        <v>45224</v>
      </c>
      <c r="D657" s="6">
        <v>1.00031</v>
      </c>
      <c r="E657" s="6">
        <v>34505</v>
      </c>
      <c r="F657" s="6">
        <v>34538.480000000003</v>
      </c>
      <c r="G657" s="6">
        <v>34522.5</v>
      </c>
      <c r="H657" s="6">
        <v>34495.11</v>
      </c>
      <c r="I657" s="5">
        <v>45224</v>
      </c>
      <c r="J657" s="7">
        <f t="shared" si="62"/>
        <v>2.8670730431065207E-4</v>
      </c>
      <c r="K657" s="5">
        <v>45224</v>
      </c>
      <c r="L657" s="8">
        <f t="shared" si="63"/>
        <v>4.6288652328201031E-4</v>
      </c>
      <c r="M657" s="5">
        <v>45224</v>
      </c>
      <c r="N657" s="9">
        <f t="shared" si="60"/>
        <v>7.4959382759266237E-4</v>
      </c>
      <c r="O657" s="5">
        <v>45224</v>
      </c>
      <c r="P657">
        <f t="shared" si="61"/>
        <v>0.99920660438844233</v>
      </c>
      <c r="Q657" s="6">
        <f t="shared" si="64"/>
        <v>0.99969009607021819</v>
      </c>
      <c r="R657">
        <f t="shared" si="65"/>
        <v>-4.8375855650161458E-4</v>
      </c>
      <c r="T657" s="5">
        <v>45224</v>
      </c>
      <c r="U657" s="1">
        <v>-4.8375855650161458E-4</v>
      </c>
    </row>
    <row r="658" spans="3:21" x14ac:dyDescent="0.2">
      <c r="C658" s="5">
        <v>45225</v>
      </c>
      <c r="D658" s="6">
        <v>1.0001500000000001</v>
      </c>
      <c r="E658" s="6">
        <v>34166.1</v>
      </c>
      <c r="F658" s="6">
        <v>34183.18</v>
      </c>
      <c r="G658" s="6">
        <v>34186</v>
      </c>
      <c r="H658" s="6">
        <v>34150.019999999997</v>
      </c>
      <c r="I658" s="5">
        <v>45225</v>
      </c>
      <c r="J658" s="7">
        <f t="shared" si="62"/>
        <v>4.7086356025565276E-4</v>
      </c>
      <c r="K658" s="5">
        <v>45225</v>
      </c>
      <c r="L658" s="8">
        <f t="shared" si="63"/>
        <v>-8.248990814952638E-5</v>
      </c>
      <c r="M658" s="5">
        <v>45225</v>
      </c>
      <c r="N658" s="9">
        <f t="shared" si="60"/>
        <v>3.8837365210612638E-4</v>
      </c>
      <c r="O658" s="5">
        <v>45225</v>
      </c>
      <c r="P658">
        <f t="shared" si="61"/>
        <v>0.99894752237758133</v>
      </c>
      <c r="Q658" s="6">
        <f t="shared" si="64"/>
        <v>0.99985002249662536</v>
      </c>
      <c r="R658">
        <f t="shared" si="65"/>
        <v>-9.0304311478653983E-4</v>
      </c>
      <c r="T658" s="5">
        <v>45225</v>
      </c>
      <c r="U658" s="1">
        <v>-9.0304311478653983E-4</v>
      </c>
    </row>
    <row r="659" spans="3:21" x14ac:dyDescent="0.2">
      <c r="C659" s="5">
        <v>45226</v>
      </c>
      <c r="D659" s="6">
        <v>1.0001800000000001</v>
      </c>
      <c r="E659" s="6">
        <v>33911</v>
      </c>
      <c r="F659" s="6">
        <v>33898.81</v>
      </c>
      <c r="G659" s="6">
        <v>33923.5</v>
      </c>
      <c r="H659" s="6">
        <v>33893.870000000003</v>
      </c>
      <c r="I659" s="5">
        <v>45226</v>
      </c>
      <c r="J659" s="7">
        <f t="shared" si="62"/>
        <v>5.0540112415600161E-4</v>
      </c>
      <c r="K659" s="5">
        <v>45226</v>
      </c>
      <c r="L659" s="8">
        <f t="shared" si="63"/>
        <v>-7.2781405220576675E-4</v>
      </c>
      <c r="M659" s="5">
        <v>45226</v>
      </c>
      <c r="N659" s="9">
        <f t="shared" si="60"/>
        <v>-2.2241292804976514E-4</v>
      </c>
      <c r="O659" s="5">
        <v>45226</v>
      </c>
      <c r="P659">
        <f t="shared" si="61"/>
        <v>0.99912656418117241</v>
      </c>
      <c r="Q659" s="6">
        <f t="shared" si="64"/>
        <v>0.99982003239416894</v>
      </c>
      <c r="R659">
        <f t="shared" si="65"/>
        <v>-6.9383368420603377E-4</v>
      </c>
      <c r="T659" s="5">
        <v>45226</v>
      </c>
      <c r="U659" s="1">
        <v>-6.9383368420603377E-4</v>
      </c>
    </row>
    <row r="660" spans="3:21" x14ac:dyDescent="0.2">
      <c r="C660" s="5">
        <v>45227</v>
      </c>
      <c r="D660" s="6">
        <v>1.0001500000000001</v>
      </c>
      <c r="E660" s="6">
        <v>34097.4</v>
      </c>
      <c r="F660" s="6">
        <v>34127.040000000001</v>
      </c>
      <c r="G660" s="6">
        <v>34116</v>
      </c>
      <c r="H660" s="6">
        <v>34082.21</v>
      </c>
      <c r="I660" s="5">
        <v>45227</v>
      </c>
      <c r="J660" s="7">
        <f t="shared" si="62"/>
        <v>4.4568706078632601E-4</v>
      </c>
      <c r="K660" s="5">
        <v>45227</v>
      </c>
      <c r="L660" s="8">
        <f t="shared" si="63"/>
        <v>3.2360182905384198E-4</v>
      </c>
      <c r="M660" s="5">
        <v>45227</v>
      </c>
      <c r="N660" s="9">
        <f t="shared" si="60"/>
        <v>7.6928888984016805E-4</v>
      </c>
      <c r="O660" s="5">
        <v>45227</v>
      </c>
      <c r="P660">
        <f t="shared" si="61"/>
        <v>0.99900955563372018</v>
      </c>
      <c r="Q660" s="6">
        <f t="shared" si="64"/>
        <v>0.99985002249662536</v>
      </c>
      <c r="R660">
        <f t="shared" si="65"/>
        <v>-8.4094642928561408E-4</v>
      </c>
      <c r="T660" s="5">
        <v>45227</v>
      </c>
      <c r="U660" s="1">
        <v>-8.4094642928561408E-4</v>
      </c>
    </row>
    <row r="661" spans="3:21" x14ac:dyDescent="0.2">
      <c r="C661" s="5">
        <v>45228</v>
      </c>
      <c r="D661" s="6">
        <v>1.00037</v>
      </c>
      <c r="E661" s="6">
        <v>34535.800000000003</v>
      </c>
      <c r="F661" s="6">
        <v>34595.79</v>
      </c>
      <c r="G661" s="6">
        <v>34557</v>
      </c>
      <c r="H661" s="6">
        <v>34524.839999999997</v>
      </c>
      <c r="I661" s="5">
        <v>45228</v>
      </c>
      <c r="J661" s="7">
        <f t="shared" si="62"/>
        <v>3.1745259355311722E-4</v>
      </c>
      <c r="K661" s="5">
        <v>45228</v>
      </c>
      <c r="L661" s="8">
        <f t="shared" si="63"/>
        <v>1.1224932719854407E-3</v>
      </c>
      <c r="M661" s="5">
        <v>45228</v>
      </c>
      <c r="N661" s="9">
        <f t="shared" si="60"/>
        <v>1.4399458655385579E-3</v>
      </c>
      <c r="O661" s="5">
        <v>45228</v>
      </c>
      <c r="P661">
        <f t="shared" si="61"/>
        <v>0.99906936366003984</v>
      </c>
      <c r="Q661" s="6">
        <f t="shared" si="64"/>
        <v>0.99963013684936575</v>
      </c>
      <c r="R661">
        <f t="shared" si="65"/>
        <v>-5.6113808393660244E-4</v>
      </c>
      <c r="T661" s="5">
        <v>45228</v>
      </c>
      <c r="U661" s="1">
        <v>-5.6113808393660244E-4</v>
      </c>
    </row>
    <row r="662" spans="3:21" x14ac:dyDescent="0.2">
      <c r="C662" s="5">
        <v>45229</v>
      </c>
      <c r="D662" s="6">
        <v>1.0003599999999999</v>
      </c>
      <c r="E662" s="6">
        <v>34501.599999999999</v>
      </c>
      <c r="F662" s="6">
        <v>34525.72</v>
      </c>
      <c r="G662" s="6">
        <v>34517</v>
      </c>
      <c r="H662" s="6">
        <v>34478.449999999997</v>
      </c>
      <c r="I662" s="5">
        <v>45229</v>
      </c>
      <c r="J662" s="7">
        <f t="shared" si="62"/>
        <v>6.7143389566530563E-4</v>
      </c>
      <c r="K662" s="5">
        <v>45229</v>
      </c>
      <c r="L662" s="8">
        <f t="shared" si="63"/>
        <v>2.5262913926474387E-4</v>
      </c>
      <c r="M662" s="5">
        <v>45229</v>
      </c>
      <c r="N662" s="9">
        <f t="shared" si="60"/>
        <v>9.2406303493004945E-4</v>
      </c>
      <c r="O662" s="5">
        <v>45229</v>
      </c>
      <c r="P662">
        <f t="shared" si="61"/>
        <v>0.99888315902308988</v>
      </c>
      <c r="Q662" s="6">
        <f t="shared" si="64"/>
        <v>0.9996401295533609</v>
      </c>
      <c r="R662">
        <f t="shared" si="65"/>
        <v>-7.5752989299345149E-4</v>
      </c>
      <c r="T662" s="5">
        <v>45229</v>
      </c>
      <c r="U662" s="1">
        <v>-7.5752989299345149E-4</v>
      </c>
    </row>
    <row r="663" spans="3:21" x14ac:dyDescent="0.2">
      <c r="C663" s="5">
        <v>45230</v>
      </c>
      <c r="D663" s="6">
        <v>1.0003599999999999</v>
      </c>
      <c r="E663" s="6">
        <v>34667.1</v>
      </c>
      <c r="F663" s="6">
        <v>34686.1</v>
      </c>
      <c r="G663" s="6">
        <v>34689.5</v>
      </c>
      <c r="H663" s="6">
        <v>34641.07</v>
      </c>
      <c r="I663" s="5">
        <v>45230</v>
      </c>
      <c r="J663" s="7">
        <f t="shared" si="62"/>
        <v>7.5142020728571131E-4</v>
      </c>
      <c r="K663" s="5">
        <v>45230</v>
      </c>
      <c r="L663" s="8">
        <f t="shared" si="63"/>
        <v>-9.8012366854565656E-5</v>
      </c>
      <c r="M663" s="5">
        <v>45230</v>
      </c>
      <c r="N663" s="9">
        <f t="shared" si="60"/>
        <v>6.5340784043114563E-4</v>
      </c>
      <c r="O663" s="5">
        <v>45230</v>
      </c>
      <c r="P663">
        <f t="shared" si="61"/>
        <v>0.99860390031565738</v>
      </c>
      <c r="Q663" s="6">
        <f t="shared" si="64"/>
        <v>0.9996401295533609</v>
      </c>
      <c r="R663">
        <f t="shared" si="65"/>
        <v>-1.0371399239533349E-3</v>
      </c>
      <c r="T663" s="5">
        <v>45230</v>
      </c>
      <c r="U663" s="1">
        <v>-1.0371399239533349E-3</v>
      </c>
    </row>
    <row r="664" spans="3:21" x14ac:dyDescent="0.2">
      <c r="C664" s="5">
        <v>45231</v>
      </c>
      <c r="D664" s="6">
        <v>1.0004299999999999</v>
      </c>
      <c r="E664" s="6">
        <v>35442.400000000001</v>
      </c>
      <c r="F664" s="6">
        <v>35484.410000000003</v>
      </c>
      <c r="G664" s="6">
        <v>35463.5</v>
      </c>
      <c r="H664" s="6">
        <v>35420.03</v>
      </c>
      <c r="I664" s="5">
        <v>45231</v>
      </c>
      <c r="J664" s="7">
        <f t="shared" si="62"/>
        <v>6.315635531647664E-4</v>
      </c>
      <c r="K664" s="5">
        <v>45231</v>
      </c>
      <c r="L664" s="8">
        <f t="shared" si="63"/>
        <v>5.8962031384390975E-4</v>
      </c>
      <c r="M664" s="5">
        <v>45231</v>
      </c>
      <c r="N664" s="9">
        <f t="shared" si="60"/>
        <v>1.221183867008676E-3</v>
      </c>
      <c r="O664" s="5">
        <v>45231</v>
      </c>
      <c r="P664">
        <f t="shared" si="61"/>
        <v>0.9987742326617508</v>
      </c>
      <c r="Q664" s="6">
        <f t="shared" si="64"/>
        <v>0.99957018482052729</v>
      </c>
      <c r="R664">
        <f t="shared" si="65"/>
        <v>-7.9661162901159815E-4</v>
      </c>
      <c r="T664" s="5">
        <v>45231</v>
      </c>
      <c r="U664" s="1">
        <v>-7.9661162901159815E-4</v>
      </c>
    </row>
    <row r="665" spans="3:21" x14ac:dyDescent="0.2">
      <c r="C665" s="5">
        <v>45232</v>
      </c>
      <c r="D665" s="6">
        <v>1.00024</v>
      </c>
      <c r="E665" s="6">
        <v>34958.5</v>
      </c>
      <c r="F665" s="6">
        <v>34991.03</v>
      </c>
      <c r="G665" s="6">
        <v>34976.5</v>
      </c>
      <c r="H665" s="6">
        <v>34940.76</v>
      </c>
      <c r="I665" s="5">
        <v>45232</v>
      </c>
      <c r="J665" s="7">
        <f t="shared" si="62"/>
        <v>5.0771648928065567E-4</v>
      </c>
      <c r="K665" s="5">
        <v>45232</v>
      </c>
      <c r="L665" s="8">
        <f t="shared" si="63"/>
        <v>4.1542178319725631E-4</v>
      </c>
      <c r="M665" s="5">
        <v>45232</v>
      </c>
      <c r="N665" s="9">
        <f t="shared" si="60"/>
        <v>9.2313827247791197E-4</v>
      </c>
      <c r="O665" s="5">
        <v>45232</v>
      </c>
      <c r="P665">
        <f t="shared" si="61"/>
        <v>0.99897817105771025</v>
      </c>
      <c r="Q665" s="6">
        <f t="shared" si="64"/>
        <v>0.99976005758617925</v>
      </c>
      <c r="R665">
        <f t="shared" si="65"/>
        <v>-7.8238016079123401E-4</v>
      </c>
      <c r="T665" s="5">
        <v>45232</v>
      </c>
      <c r="U665" s="1">
        <v>-7.8238016079123401E-4</v>
      </c>
    </row>
    <row r="666" spans="3:21" x14ac:dyDescent="0.2">
      <c r="C666" s="5">
        <v>45233</v>
      </c>
      <c r="D666" s="6">
        <v>1.00048</v>
      </c>
      <c r="E666" s="6">
        <v>34720.1</v>
      </c>
      <c r="F666" s="6">
        <v>34786.550000000003</v>
      </c>
      <c r="G666" s="6">
        <v>34736.5</v>
      </c>
      <c r="H666" s="6">
        <v>34714.400000000001</v>
      </c>
      <c r="I666" s="5">
        <v>45233</v>
      </c>
      <c r="J666" s="7">
        <f t="shared" si="62"/>
        <v>1.6419699029789048E-4</v>
      </c>
      <c r="K666" s="5">
        <v>45233</v>
      </c>
      <c r="L666" s="8">
        <f t="shared" si="63"/>
        <v>1.4408475234984214E-3</v>
      </c>
      <c r="M666" s="5">
        <v>45233</v>
      </c>
      <c r="N666" s="9">
        <f t="shared" si="60"/>
        <v>1.6050445137963118E-3</v>
      </c>
      <c r="O666" s="5">
        <v>45233</v>
      </c>
      <c r="P666">
        <f t="shared" si="61"/>
        <v>0.99936378161300077</v>
      </c>
      <c r="Q666" s="6">
        <f t="shared" si="64"/>
        <v>0.99952023028946102</v>
      </c>
      <c r="R666">
        <f t="shared" si="65"/>
        <v>-1.5653602294894139E-4</v>
      </c>
      <c r="T666" s="5">
        <v>45233</v>
      </c>
      <c r="U666" s="1">
        <v>-1.5653602294894139E-4</v>
      </c>
    </row>
    <row r="667" spans="3:21" x14ac:dyDescent="0.2">
      <c r="C667" s="5">
        <v>45234</v>
      </c>
      <c r="D667" s="6">
        <v>1.00064</v>
      </c>
      <c r="E667" s="6">
        <v>35075</v>
      </c>
      <c r="F667" s="6">
        <v>35152.370000000003</v>
      </c>
      <c r="G667" s="6">
        <v>35091</v>
      </c>
      <c r="H667" s="6">
        <v>35062.33</v>
      </c>
      <c r="I667" s="5">
        <v>45234</v>
      </c>
      <c r="J667" s="7">
        <f t="shared" si="62"/>
        <v>3.613564757390126E-4</v>
      </c>
      <c r="K667" s="5">
        <v>45234</v>
      </c>
      <c r="L667" s="8">
        <f t="shared" si="63"/>
        <v>1.7488814795817338E-3</v>
      </c>
      <c r="M667" s="5">
        <v>45234</v>
      </c>
      <c r="N667" s="9">
        <f t="shared" si="60"/>
        <v>2.1102379553207462E-3</v>
      </c>
      <c r="O667" s="5">
        <v>45234</v>
      </c>
      <c r="P667">
        <f t="shared" si="61"/>
        <v>0.99918298139123995</v>
      </c>
      <c r="Q667" s="6">
        <f t="shared" si="64"/>
        <v>0.99936040933802373</v>
      </c>
      <c r="R667">
        <f t="shared" si="65"/>
        <v>-1.7755726302763728E-4</v>
      </c>
      <c r="T667" s="5">
        <v>45234</v>
      </c>
      <c r="U667" s="1">
        <v>-1.7755726302763728E-4</v>
      </c>
    </row>
    <row r="668" spans="3:21" x14ac:dyDescent="0.2">
      <c r="C668" s="5">
        <v>45235</v>
      </c>
      <c r="D668" s="6">
        <v>1.0006900000000001</v>
      </c>
      <c r="E668" s="6">
        <v>35035.800000000003</v>
      </c>
      <c r="F668" s="6">
        <v>35061.29</v>
      </c>
      <c r="G668" s="6">
        <v>35051.5</v>
      </c>
      <c r="H668" s="6">
        <v>35014.18</v>
      </c>
      <c r="I668" s="5">
        <v>45235</v>
      </c>
      <c r="J668" s="7">
        <f t="shared" si="62"/>
        <v>6.1746412453476333E-4</v>
      </c>
      <c r="K668" s="5">
        <v>45235</v>
      </c>
      <c r="L668" s="8">
        <f t="shared" si="63"/>
        <v>2.7930331084264221E-4</v>
      </c>
      <c r="M668" s="5">
        <v>45235</v>
      </c>
      <c r="N668" s="9">
        <f t="shared" si="60"/>
        <v>8.9676743537740549E-4</v>
      </c>
      <c r="O668" s="5">
        <v>45235</v>
      </c>
      <c r="P668">
        <f t="shared" si="61"/>
        <v>0.99893528094375417</v>
      </c>
      <c r="Q668" s="6">
        <f t="shared" si="64"/>
        <v>0.99931047577171739</v>
      </c>
      <c r="R668">
        <f t="shared" si="65"/>
        <v>-3.7552421278660812E-4</v>
      </c>
      <c r="T668" s="5">
        <v>45235</v>
      </c>
      <c r="U668" s="1">
        <v>-3.7552421278660812E-4</v>
      </c>
    </row>
    <row r="669" spans="3:21" x14ac:dyDescent="0.2">
      <c r="C669" s="5">
        <v>45236</v>
      </c>
      <c r="D669" s="6">
        <v>1.00034</v>
      </c>
      <c r="E669" s="6">
        <v>35072.9</v>
      </c>
      <c r="F669" s="6">
        <v>35062.14</v>
      </c>
      <c r="G669" s="6">
        <v>35079.5</v>
      </c>
      <c r="H669" s="6">
        <v>35045.919999999998</v>
      </c>
      <c r="I669" s="5">
        <v>45236</v>
      </c>
      <c r="J669" s="7">
        <f t="shared" si="62"/>
        <v>7.6984710345749815E-4</v>
      </c>
      <c r="K669" s="5">
        <v>45236</v>
      </c>
      <c r="L669" s="8">
        <f t="shared" si="63"/>
        <v>-4.9487592468537415E-4</v>
      </c>
      <c r="M669" s="5">
        <v>45236</v>
      </c>
      <c r="N669" s="9">
        <f t="shared" si="60"/>
        <v>2.74971178772124E-4</v>
      </c>
      <c r="O669" s="5">
        <v>45236</v>
      </c>
      <c r="P669">
        <f t="shared" si="61"/>
        <v>0.99904274576319496</v>
      </c>
      <c r="Q669" s="6">
        <f t="shared" si="64"/>
        <v>0.99966011556070933</v>
      </c>
      <c r="R669">
        <f t="shared" si="65"/>
        <v>-6.1777048414274414E-4</v>
      </c>
      <c r="T669" s="5">
        <v>45236</v>
      </c>
      <c r="U669" s="1">
        <v>-6.1777048414274414E-4</v>
      </c>
    </row>
    <row r="670" spans="3:21" x14ac:dyDescent="0.2">
      <c r="C670" s="5">
        <v>45237</v>
      </c>
      <c r="D670" s="6">
        <v>1.0003299999999999</v>
      </c>
      <c r="E670" s="6">
        <v>35424.5</v>
      </c>
      <c r="F670" s="6">
        <v>35430.89</v>
      </c>
      <c r="G670" s="6">
        <v>35426.5</v>
      </c>
      <c r="H670" s="6">
        <v>35400</v>
      </c>
      <c r="I670" s="5">
        <v>45237</v>
      </c>
      <c r="J670" s="7">
        <f t="shared" si="62"/>
        <v>6.9209039548022596E-4</v>
      </c>
      <c r="K670" s="5">
        <v>45237</v>
      </c>
      <c r="L670" s="8">
        <f t="shared" si="63"/>
        <v>1.2391853555952234E-4</v>
      </c>
      <c r="M670" s="5">
        <v>45237</v>
      </c>
      <c r="N670" s="9">
        <f t="shared" si="60"/>
        <v>8.1600893103974835E-4</v>
      </c>
      <c r="O670" s="5">
        <v>45237</v>
      </c>
      <c r="P670">
        <f t="shared" si="61"/>
        <v>0.99925197239354724</v>
      </c>
      <c r="Q670" s="6">
        <f t="shared" si="64"/>
        <v>0.99967010886407492</v>
      </c>
      <c r="R670">
        <f t="shared" si="65"/>
        <v>-4.1836195672357831E-4</v>
      </c>
      <c r="T670" s="5">
        <v>45237</v>
      </c>
      <c r="U670" s="1">
        <v>-4.1836195672357831E-4</v>
      </c>
    </row>
    <row r="671" spans="3:21" x14ac:dyDescent="0.2">
      <c r="C671" s="5">
        <v>45238</v>
      </c>
      <c r="D671" s="6">
        <v>1.0007200000000001</v>
      </c>
      <c r="E671" s="6">
        <v>35641.699999999997</v>
      </c>
      <c r="F671" s="6">
        <v>35674.11</v>
      </c>
      <c r="G671" s="6">
        <v>35640.5</v>
      </c>
      <c r="H671" s="6">
        <v>35622.019999999997</v>
      </c>
      <c r="I671" s="5">
        <v>45238</v>
      </c>
      <c r="J671" s="7">
        <f t="shared" si="62"/>
        <v>5.5246726603377049E-4</v>
      </c>
      <c r="K671" s="5">
        <v>45238</v>
      </c>
      <c r="L671" s="8">
        <f t="shared" si="63"/>
        <v>9.4302829646050366E-4</v>
      </c>
      <c r="M671" s="5">
        <v>45238</v>
      </c>
      <c r="N671" s="9">
        <f t="shared" si="60"/>
        <v>1.4954955624942741E-3</v>
      </c>
      <c r="O671" s="5">
        <v>45238</v>
      </c>
      <c r="P671">
        <f t="shared" si="61"/>
        <v>0.99948148875576925</v>
      </c>
      <c r="Q671" s="6">
        <f t="shared" si="64"/>
        <v>0.99928051802702045</v>
      </c>
      <c r="R671">
        <f t="shared" si="65"/>
        <v>2.0109520667703718E-4</v>
      </c>
      <c r="T671" s="5">
        <v>45238</v>
      </c>
      <c r="U671" s="1">
        <v>2.0109520667703718E-4</v>
      </c>
    </row>
    <row r="672" spans="3:21" x14ac:dyDescent="0.2">
      <c r="C672" s="5">
        <v>45239</v>
      </c>
      <c r="D672" s="6">
        <v>1.0001599999999999</v>
      </c>
      <c r="E672" s="6">
        <v>36726.5</v>
      </c>
      <c r="F672" s="6">
        <v>36732.35</v>
      </c>
      <c r="G672" s="6">
        <v>36739</v>
      </c>
      <c r="H672" s="6">
        <v>36708</v>
      </c>
      <c r="I672" s="5">
        <v>45239</v>
      </c>
      <c r="J672" s="7">
        <f t="shared" si="62"/>
        <v>5.0397733464095022E-4</v>
      </c>
      <c r="K672" s="5">
        <v>45239</v>
      </c>
      <c r="L672" s="8">
        <f t="shared" si="63"/>
        <v>-1.8100655978664241E-4</v>
      </c>
      <c r="M672" s="5">
        <v>45239</v>
      </c>
      <c r="N672" s="9">
        <f t="shared" si="60"/>
        <v>3.2297077485430778E-4</v>
      </c>
      <c r="O672" s="5">
        <v>45239</v>
      </c>
      <c r="P672">
        <f t="shared" si="61"/>
        <v>0.99915621002204735</v>
      </c>
      <c r="Q672" s="6">
        <f t="shared" si="64"/>
        <v>0.99984002559590468</v>
      </c>
      <c r="R672">
        <f t="shared" si="65"/>
        <v>-6.8415896773201673E-4</v>
      </c>
      <c r="T672" s="5">
        <v>45239</v>
      </c>
      <c r="U672" s="1">
        <v>-6.8415896773201673E-4</v>
      </c>
    </row>
    <row r="673" spans="3:21" x14ac:dyDescent="0.2">
      <c r="C673" s="5">
        <v>45240</v>
      </c>
      <c r="D673" s="6">
        <v>1.00054</v>
      </c>
      <c r="E673" s="6">
        <v>37335.199999999997</v>
      </c>
      <c r="F673" s="6">
        <v>37361.67</v>
      </c>
      <c r="G673" s="6">
        <v>37340</v>
      </c>
      <c r="H673" s="6">
        <v>37299.370000000003</v>
      </c>
      <c r="I673" s="5">
        <v>45240</v>
      </c>
      <c r="J673" s="7">
        <f t="shared" si="62"/>
        <v>9.6060603704551761E-4</v>
      </c>
      <c r="K673" s="5">
        <v>45240</v>
      </c>
      <c r="L673" s="8">
        <f t="shared" si="63"/>
        <v>5.8034279592925162E-4</v>
      </c>
      <c r="M673" s="5">
        <v>45240</v>
      </c>
      <c r="N673" s="9">
        <f t="shared" si="60"/>
        <v>1.5409488329747693E-3</v>
      </c>
      <c r="O673" s="5">
        <v>45240</v>
      </c>
      <c r="P673">
        <f t="shared" si="61"/>
        <v>0.9989118907337976</v>
      </c>
      <c r="Q673" s="6">
        <f t="shared" si="64"/>
        <v>0.99946029144262105</v>
      </c>
      <c r="R673">
        <f t="shared" si="65"/>
        <v>-5.4884743440790037E-4</v>
      </c>
      <c r="T673" s="5">
        <v>45240</v>
      </c>
      <c r="U673" s="1">
        <v>-5.4884743440790037E-4</v>
      </c>
    </row>
    <row r="674" spans="3:21" x14ac:dyDescent="0.2">
      <c r="C674" s="5">
        <v>45241</v>
      </c>
      <c r="D674" s="6">
        <v>1.0001500000000001</v>
      </c>
      <c r="E674" s="6">
        <v>37163</v>
      </c>
      <c r="F674" s="6">
        <v>37228.25</v>
      </c>
      <c r="G674" s="6">
        <v>37174.5</v>
      </c>
      <c r="H674" s="6">
        <v>37130.01</v>
      </c>
      <c r="I674" s="5">
        <v>45241</v>
      </c>
      <c r="J674" s="7">
        <f t="shared" si="62"/>
        <v>8.8849962604367627E-4</v>
      </c>
      <c r="K674" s="5">
        <v>45241</v>
      </c>
      <c r="L674" s="8">
        <f t="shared" si="63"/>
        <v>1.4458836030074378E-3</v>
      </c>
      <c r="M674" s="5">
        <v>45241</v>
      </c>
      <c r="N674" s="9">
        <f t="shared" si="60"/>
        <v>2.3343832290511142E-3</v>
      </c>
      <c r="O674" s="5">
        <v>45241</v>
      </c>
      <c r="P674">
        <f t="shared" si="61"/>
        <v>0.99880321187911081</v>
      </c>
      <c r="Q674" s="6">
        <f t="shared" si="64"/>
        <v>0.99985002249662536</v>
      </c>
      <c r="R674">
        <f t="shared" si="65"/>
        <v>-1.0475160925679356E-3</v>
      </c>
      <c r="T674" s="5">
        <v>45241</v>
      </c>
      <c r="U674" s="1">
        <v>-1.0475160925679356E-3</v>
      </c>
    </row>
    <row r="675" spans="3:21" x14ac:dyDescent="0.2">
      <c r="C675" s="5">
        <v>45242</v>
      </c>
      <c r="D675" s="6">
        <v>1.0006200000000001</v>
      </c>
      <c r="E675" s="6">
        <v>37089.5</v>
      </c>
      <c r="F675" s="6">
        <v>37133.360000000001</v>
      </c>
      <c r="G675" s="6">
        <v>37109</v>
      </c>
      <c r="H675" s="6">
        <v>37064</v>
      </c>
      <c r="I675" s="5">
        <v>45242</v>
      </c>
      <c r="J675" s="7">
        <f t="shared" si="62"/>
        <v>6.8799913662853445E-4</v>
      </c>
      <c r="K675" s="5">
        <v>45242</v>
      </c>
      <c r="L675" s="8">
        <f t="shared" si="63"/>
        <v>6.564445282815646E-4</v>
      </c>
      <c r="M675" s="5">
        <v>45242</v>
      </c>
      <c r="N675" s="9">
        <f t="shared" si="60"/>
        <v>1.3444436649100991E-3</v>
      </c>
      <c r="O675" s="5">
        <v>45242</v>
      </c>
      <c r="P675">
        <f t="shared" si="61"/>
        <v>0.99878735616696757</v>
      </c>
      <c r="Q675" s="6">
        <f t="shared" si="64"/>
        <v>0.99938038416181962</v>
      </c>
      <c r="R675">
        <f t="shared" si="65"/>
        <v>-5.9357180110026662E-4</v>
      </c>
      <c r="T675" s="5">
        <v>45242</v>
      </c>
      <c r="U675" s="1">
        <v>-5.9357180110026662E-4</v>
      </c>
    </row>
    <row r="676" spans="3:21" x14ac:dyDescent="0.2">
      <c r="C676" s="5">
        <v>45243</v>
      </c>
      <c r="D676" s="6">
        <v>1.0001899999999999</v>
      </c>
      <c r="E676" s="6">
        <v>36485.199999999997</v>
      </c>
      <c r="F676" s="6">
        <v>36493.97</v>
      </c>
      <c r="G676" s="6">
        <v>36491.5</v>
      </c>
      <c r="H676" s="6">
        <v>36463.4</v>
      </c>
      <c r="I676" s="5">
        <v>45243</v>
      </c>
      <c r="J676" s="7">
        <f t="shared" si="62"/>
        <v>5.9785977171617659E-4</v>
      </c>
      <c r="K676" s="5">
        <v>45243</v>
      </c>
      <c r="L676" s="8">
        <f t="shared" si="63"/>
        <v>6.7686995601747368E-5</v>
      </c>
      <c r="M676" s="5">
        <v>45243</v>
      </c>
      <c r="N676" s="9">
        <f t="shared" si="60"/>
        <v>6.6554676731792398E-4</v>
      </c>
      <c r="O676" s="5">
        <v>45243</v>
      </c>
      <c r="P676">
        <f t="shared" si="61"/>
        <v>0.99922995766137324</v>
      </c>
      <c r="Q676" s="6">
        <f t="shared" si="64"/>
        <v>0.99981003609314234</v>
      </c>
      <c r="R676">
        <f t="shared" si="65"/>
        <v>-5.8035702123310597E-4</v>
      </c>
      <c r="T676" s="5">
        <v>45243</v>
      </c>
      <c r="U676" s="1">
        <v>-5.8035702123310597E-4</v>
      </c>
    </row>
    <row r="677" spans="3:21" x14ac:dyDescent="0.2">
      <c r="C677" s="5">
        <v>45244</v>
      </c>
      <c r="D677" s="6">
        <v>1.00021</v>
      </c>
      <c r="E677" s="6">
        <v>35560.5</v>
      </c>
      <c r="F677" s="6">
        <v>35612.699999999997</v>
      </c>
      <c r="G677" s="6">
        <v>35562</v>
      </c>
      <c r="H677" s="6">
        <v>35547.360000000001</v>
      </c>
      <c r="I677" s="5">
        <v>45244</v>
      </c>
      <c r="J677" s="7">
        <f t="shared" si="62"/>
        <v>3.6964770379570853E-4</v>
      </c>
      <c r="K677" s="5">
        <v>45244</v>
      </c>
      <c r="L677" s="8">
        <f t="shared" si="63"/>
        <v>1.4256790956638291E-3</v>
      </c>
      <c r="M677" s="5">
        <v>45244</v>
      </c>
      <c r="N677" s="9">
        <f t="shared" si="60"/>
        <v>1.7953267994595375E-3</v>
      </c>
      <c r="O677" s="5">
        <v>45244</v>
      </c>
      <c r="P677">
        <f t="shared" si="61"/>
        <v>0.99958832461616343</v>
      </c>
      <c r="Q677" s="6">
        <f t="shared" si="64"/>
        <v>0.9997900440907409</v>
      </c>
      <c r="R677">
        <f t="shared" si="65"/>
        <v>-2.0178219232445656E-4</v>
      </c>
      <c r="T677" s="5">
        <v>45244</v>
      </c>
      <c r="U677" s="1">
        <v>-2.0178219232445656E-4</v>
      </c>
    </row>
    <row r="678" spans="3:21" x14ac:dyDescent="0.2">
      <c r="C678" s="5">
        <v>45245</v>
      </c>
      <c r="D678" s="6">
        <v>1.00068</v>
      </c>
      <c r="E678" s="6">
        <v>37893.9</v>
      </c>
      <c r="F678" s="6">
        <v>37922.949999999997</v>
      </c>
      <c r="G678" s="6">
        <v>37897.5</v>
      </c>
      <c r="H678" s="6">
        <v>37859.99</v>
      </c>
      <c r="I678" s="5">
        <v>45245</v>
      </c>
      <c r="J678" s="7">
        <f t="shared" si="62"/>
        <v>8.9566848802663426E-4</v>
      </c>
      <c r="K678" s="5">
        <v>45245</v>
      </c>
      <c r="L678" s="8">
        <f t="shared" si="63"/>
        <v>6.7154825516187319E-4</v>
      </c>
      <c r="M678" s="5">
        <v>45245</v>
      </c>
      <c r="N678" s="9">
        <f t="shared" si="60"/>
        <v>1.5672167431885074E-3</v>
      </c>
      <c r="O678" s="5">
        <v>45245</v>
      </c>
      <c r="P678">
        <f t="shared" si="61"/>
        <v>0.99901022494887515</v>
      </c>
      <c r="Q678" s="6">
        <f t="shared" si="64"/>
        <v>0.99932046208578162</v>
      </c>
      <c r="R678">
        <f t="shared" si="65"/>
        <v>-3.1049629714621633E-4</v>
      </c>
      <c r="T678" s="5">
        <v>45245</v>
      </c>
      <c r="U678" s="1">
        <v>-3.1049629714621633E-4</v>
      </c>
    </row>
    <row r="679" spans="3:21" x14ac:dyDescent="0.2">
      <c r="C679" s="5">
        <v>45246</v>
      </c>
      <c r="D679" s="6">
        <v>1.00003</v>
      </c>
      <c r="E679" s="6">
        <v>36178.5</v>
      </c>
      <c r="F679" s="6">
        <v>36226.25</v>
      </c>
      <c r="G679" s="6">
        <v>36186</v>
      </c>
      <c r="H679" s="6">
        <v>36164.76</v>
      </c>
      <c r="I679" s="5">
        <v>45246</v>
      </c>
      <c r="J679" s="7">
        <f t="shared" si="62"/>
        <v>3.7992786347809199E-4</v>
      </c>
      <c r="K679" s="5">
        <v>45246</v>
      </c>
      <c r="L679" s="8">
        <f t="shared" si="63"/>
        <v>1.112308627646051E-3</v>
      </c>
      <c r="M679" s="5">
        <v>45246</v>
      </c>
      <c r="N679" s="9">
        <f t="shared" si="60"/>
        <v>1.492236491124143E-3</v>
      </c>
      <c r="O679" s="5">
        <v>45246</v>
      </c>
      <c r="P679">
        <f t="shared" si="61"/>
        <v>0.99941303266456638</v>
      </c>
      <c r="Q679" s="6">
        <f t="shared" si="64"/>
        <v>0.99997000089997301</v>
      </c>
      <c r="R679">
        <f t="shared" si="65"/>
        <v>-5.5714011819013717E-4</v>
      </c>
      <c r="T679" s="5">
        <v>45246</v>
      </c>
      <c r="U679" s="1">
        <v>-5.5714011819013717E-4</v>
      </c>
    </row>
    <row r="680" spans="3:21" x14ac:dyDescent="0.2">
      <c r="C680" s="5">
        <v>45247</v>
      </c>
      <c r="D680" s="6">
        <v>1.0003500000000001</v>
      </c>
      <c r="E680" s="6">
        <v>36638.199999999997</v>
      </c>
      <c r="F680" s="6">
        <v>36678.51</v>
      </c>
      <c r="G680" s="6">
        <v>36629.5</v>
      </c>
      <c r="H680" s="6">
        <v>36608.910000000003</v>
      </c>
      <c r="I680" s="5">
        <v>45247</v>
      </c>
      <c r="J680" s="7">
        <f t="shared" si="62"/>
        <v>8.0007845084690025E-4</v>
      </c>
      <c r="K680" s="5">
        <v>45247</v>
      </c>
      <c r="L680" s="8">
        <f t="shared" si="63"/>
        <v>1.3379926015916689E-3</v>
      </c>
      <c r="M680" s="5">
        <v>45247</v>
      </c>
      <c r="N680" s="9">
        <f t="shared" si="60"/>
        <v>2.1380710524385692E-3</v>
      </c>
      <c r="O680" s="5">
        <v>45247</v>
      </c>
      <c r="P680">
        <f t="shared" si="61"/>
        <v>0.99943788476501183</v>
      </c>
      <c r="Q680" s="6">
        <f t="shared" si="64"/>
        <v>0.99965012245713991</v>
      </c>
      <c r="R680">
        <f t="shared" si="65"/>
        <v>-2.1233451669837007E-4</v>
      </c>
      <c r="T680" s="5">
        <v>45247</v>
      </c>
      <c r="U680" s="1">
        <v>-2.1233451669837007E-4</v>
      </c>
    </row>
    <row r="681" spans="3:21" x14ac:dyDescent="0.2">
      <c r="C681" s="5">
        <v>45248</v>
      </c>
      <c r="D681" s="6">
        <v>1.00057</v>
      </c>
      <c r="E681" s="6">
        <v>36597.4</v>
      </c>
      <c r="F681" s="6">
        <v>36686.050000000003</v>
      </c>
      <c r="G681" s="6">
        <v>36598.5</v>
      </c>
      <c r="H681" s="6">
        <v>36571.949999999997</v>
      </c>
      <c r="I681" s="5">
        <v>45248</v>
      </c>
      <c r="J681" s="7">
        <f t="shared" si="62"/>
        <v>6.9588851565214238E-4</v>
      </c>
      <c r="K681" s="5">
        <v>45248</v>
      </c>
      <c r="L681" s="8">
        <f t="shared" si="63"/>
        <v>2.3921745426725934E-3</v>
      </c>
      <c r="M681" s="5">
        <v>45248</v>
      </c>
      <c r="N681" s="9">
        <f t="shared" si="60"/>
        <v>3.0880630583247359E-3</v>
      </c>
      <c r="O681" s="5">
        <v>45248</v>
      </c>
      <c r="P681">
        <f t="shared" si="61"/>
        <v>0.9992745604328046</v>
      </c>
      <c r="Q681" s="6">
        <f t="shared" si="64"/>
        <v>0.99943032471491255</v>
      </c>
      <c r="R681">
        <f t="shared" si="65"/>
        <v>-1.5586521410020066E-4</v>
      </c>
      <c r="T681" s="5">
        <v>45248</v>
      </c>
      <c r="U681" s="1">
        <v>-1.5586521410020066E-4</v>
      </c>
    </row>
    <row r="682" spans="3:21" x14ac:dyDescent="0.2">
      <c r="C682" s="5">
        <v>45249</v>
      </c>
      <c r="D682" s="6">
        <v>1.00058</v>
      </c>
      <c r="E682" s="6">
        <v>37386.9</v>
      </c>
      <c r="F682" s="6">
        <v>37388.400000000001</v>
      </c>
      <c r="G682" s="6">
        <v>37379</v>
      </c>
      <c r="H682" s="6">
        <v>37364</v>
      </c>
      <c r="I682" s="5">
        <v>45249</v>
      </c>
      <c r="J682" s="7">
        <f t="shared" si="62"/>
        <v>6.1288941226853271E-4</v>
      </c>
      <c r="K682" s="5">
        <v>45249</v>
      </c>
      <c r="L682" s="8">
        <f t="shared" si="63"/>
        <v>2.5147810267801319E-4</v>
      </c>
      <c r="M682" s="5">
        <v>45249</v>
      </c>
      <c r="N682" s="9">
        <f t="shared" si="60"/>
        <v>8.6436751494654591E-4</v>
      </c>
      <c r="O682" s="5">
        <v>45249</v>
      </c>
      <c r="P682">
        <f t="shared" si="61"/>
        <v>0.99959870515530114</v>
      </c>
      <c r="Q682" s="6">
        <f t="shared" si="64"/>
        <v>0.99942033620500104</v>
      </c>
      <c r="R682">
        <f t="shared" si="65"/>
        <v>1.7845647998637661E-4</v>
      </c>
      <c r="T682" s="5">
        <v>45249</v>
      </c>
      <c r="U682" s="1">
        <v>1.7845647998637661E-4</v>
      </c>
    </row>
    <row r="683" spans="3:21" x14ac:dyDescent="0.2">
      <c r="C683" s="5">
        <v>45250</v>
      </c>
      <c r="D683" s="6">
        <v>1.0007299999999999</v>
      </c>
      <c r="E683" s="6">
        <v>37469.300000000003</v>
      </c>
      <c r="F683" s="6">
        <v>37498.1</v>
      </c>
      <c r="G683" s="6">
        <v>37476</v>
      </c>
      <c r="H683" s="6">
        <v>37450.67</v>
      </c>
      <c r="I683" s="5">
        <v>45250</v>
      </c>
      <c r="J683" s="7">
        <f t="shared" si="62"/>
        <v>4.9745438466133331E-4</v>
      </c>
      <c r="K683" s="5">
        <v>45250</v>
      </c>
      <c r="L683" s="8">
        <f t="shared" si="63"/>
        <v>5.8971074821215035E-4</v>
      </c>
      <c r="M683" s="5">
        <v>45250</v>
      </c>
      <c r="N683" s="9">
        <f t="shared" si="60"/>
        <v>1.0871651328734837E-3</v>
      </c>
      <c r="O683" s="5">
        <v>45250</v>
      </c>
      <c r="P683">
        <f t="shared" si="61"/>
        <v>0.9993241007578183</v>
      </c>
      <c r="Q683" s="6">
        <f t="shared" si="64"/>
        <v>0.99927053251126685</v>
      </c>
      <c r="R683">
        <f t="shared" si="65"/>
        <v>5.3605914548787266E-5</v>
      </c>
      <c r="T683" s="5">
        <v>45250</v>
      </c>
      <c r="U683" s="1">
        <v>5.3605914548787266E-5</v>
      </c>
    </row>
    <row r="684" spans="3:21" x14ac:dyDescent="0.2">
      <c r="C684" s="5">
        <v>45251</v>
      </c>
      <c r="D684" s="6">
        <v>1.0004</v>
      </c>
      <c r="E684" s="6">
        <v>35741.1</v>
      </c>
      <c r="F684" s="6">
        <v>35777.69</v>
      </c>
      <c r="G684" s="6">
        <v>35723.5</v>
      </c>
      <c r="H684" s="6">
        <v>35747.03</v>
      </c>
      <c r="I684" s="5">
        <v>45251</v>
      </c>
      <c r="J684" s="7">
        <f t="shared" si="62"/>
        <v>-1.6588790733105077E-4</v>
      </c>
      <c r="K684" s="5">
        <v>45251</v>
      </c>
      <c r="L684" s="8">
        <f t="shared" si="63"/>
        <v>1.5169286324129027E-3</v>
      </c>
      <c r="M684" s="5">
        <v>45251</v>
      </c>
      <c r="N684" s="9">
        <f t="shared" si="60"/>
        <v>1.3510407250818519E-3</v>
      </c>
      <c r="O684" s="5">
        <v>45251</v>
      </c>
      <c r="P684">
        <f t="shared" si="61"/>
        <v>1.0006586700631237</v>
      </c>
      <c r="Q684" s="6">
        <f t="shared" si="64"/>
        <v>0.99960015993602558</v>
      </c>
      <c r="R684">
        <f t="shared" si="65"/>
        <v>1.0583732565315265E-3</v>
      </c>
      <c r="T684" s="5">
        <v>45251</v>
      </c>
      <c r="U684" s="1">
        <v>1.0583732565315265E-3</v>
      </c>
    </row>
    <row r="685" spans="3:21" x14ac:dyDescent="0.2">
      <c r="C685" s="5">
        <v>45252</v>
      </c>
      <c r="D685" s="6">
        <v>1.00037</v>
      </c>
      <c r="E685" s="6">
        <v>37424</v>
      </c>
      <c r="F685" s="6">
        <v>37413.26</v>
      </c>
      <c r="G685" s="6">
        <v>37429</v>
      </c>
      <c r="H685" s="6">
        <v>37409.39</v>
      </c>
      <c r="I685" s="5">
        <v>45252</v>
      </c>
      <c r="J685" s="7">
        <f t="shared" si="62"/>
        <v>3.9054365762180519E-4</v>
      </c>
      <c r="K685" s="5">
        <v>45252</v>
      </c>
      <c r="L685" s="8">
        <f t="shared" si="63"/>
        <v>-4.2052953592128998E-4</v>
      </c>
      <c r="M685" s="5">
        <v>45252</v>
      </c>
      <c r="N685" s="9">
        <f t="shared" si="60"/>
        <v>-2.9985878299484796E-5</v>
      </c>
      <c r="O685" s="5">
        <v>45252</v>
      </c>
      <c r="P685">
        <f t="shared" si="61"/>
        <v>0.99947607470143462</v>
      </c>
      <c r="Q685" s="6">
        <f t="shared" si="64"/>
        <v>0.99963013684936575</v>
      </c>
      <c r="R685">
        <f t="shared" si="65"/>
        <v>-1.5413102850262244E-4</v>
      </c>
      <c r="T685" s="5">
        <v>45252</v>
      </c>
      <c r="U685" s="1">
        <v>-1.5413102850262244E-4</v>
      </c>
    </row>
    <row r="686" spans="3:21" x14ac:dyDescent="0.2">
      <c r="C686" s="5">
        <v>45253</v>
      </c>
      <c r="D686" s="6">
        <v>1.0001199999999999</v>
      </c>
      <c r="E686" s="6">
        <v>37297.699999999997</v>
      </c>
      <c r="F686" s="6">
        <v>37299.25</v>
      </c>
      <c r="G686" s="6">
        <v>37297</v>
      </c>
      <c r="H686" s="6">
        <v>37295.61</v>
      </c>
      <c r="I686" s="5">
        <v>45253</v>
      </c>
      <c r="J686" s="7">
        <f t="shared" si="62"/>
        <v>5.6038767029055364E-5</v>
      </c>
      <c r="K686" s="5">
        <v>45253</v>
      </c>
      <c r="L686" s="8">
        <f t="shared" si="63"/>
        <v>6.0326567820468133E-5</v>
      </c>
      <c r="M686" s="5">
        <v>45253</v>
      </c>
      <c r="N686" s="9">
        <f t="shared" si="60"/>
        <v>1.1636533484952349E-4</v>
      </c>
      <c r="O686" s="5">
        <v>45253</v>
      </c>
      <c r="P686">
        <f t="shared" si="61"/>
        <v>0.99996273158699089</v>
      </c>
      <c r="Q686" s="6">
        <f t="shared" si="64"/>
        <v>0.99988001439827234</v>
      </c>
      <c r="R686">
        <f t="shared" si="65"/>
        <v>8.2723693082139424E-5</v>
      </c>
      <c r="T686" s="5">
        <v>45253</v>
      </c>
      <c r="U686" s="1">
        <v>8.2723693082139424E-5</v>
      </c>
    </row>
    <row r="687" spans="3:21" x14ac:dyDescent="0.2">
      <c r="C687" s="5">
        <v>45254</v>
      </c>
      <c r="D687" s="6">
        <v>1.0007200000000001</v>
      </c>
      <c r="E687" s="6">
        <v>37725</v>
      </c>
      <c r="F687" s="6">
        <v>37717.08</v>
      </c>
      <c r="G687" s="6">
        <v>37761</v>
      </c>
      <c r="H687" s="6">
        <v>37713.79</v>
      </c>
      <c r="I687" s="5">
        <v>45254</v>
      </c>
      <c r="J687" s="7">
        <f t="shared" si="62"/>
        <v>2.972387553730115E-4</v>
      </c>
      <c r="K687" s="5">
        <v>45254</v>
      </c>
      <c r="L687" s="8">
        <f t="shared" si="63"/>
        <v>-1.163104790656981E-3</v>
      </c>
      <c r="M687" s="5">
        <v>45254</v>
      </c>
      <c r="N687" s="9">
        <f t="shared" si="60"/>
        <v>-8.658660352839694E-4</v>
      </c>
      <c r="O687" s="5">
        <v>45254</v>
      </c>
      <c r="P687">
        <f t="shared" si="61"/>
        <v>0.99874976827944173</v>
      </c>
      <c r="Q687" s="6">
        <f t="shared" si="64"/>
        <v>0.99928051802702045</v>
      </c>
      <c r="R687">
        <f t="shared" si="65"/>
        <v>-5.3127298790205373E-4</v>
      </c>
      <c r="T687" s="5">
        <v>45254</v>
      </c>
      <c r="U687" s="1">
        <v>-5.3127298790205373E-4</v>
      </c>
    </row>
    <row r="688" spans="3:21" x14ac:dyDescent="0.2">
      <c r="C688" s="5">
        <v>45255</v>
      </c>
      <c r="D688" s="6">
        <v>1.00054</v>
      </c>
      <c r="E688" s="6">
        <v>37791</v>
      </c>
      <c r="F688" s="6">
        <v>37672.879999999997</v>
      </c>
      <c r="G688" s="6">
        <v>37816.5</v>
      </c>
      <c r="H688" s="6">
        <v>37784.01</v>
      </c>
      <c r="I688" s="5">
        <v>45255</v>
      </c>
      <c r="J688" s="7">
        <f t="shared" si="62"/>
        <v>1.8499889238855172E-4</v>
      </c>
      <c r="K688" s="5">
        <v>45255</v>
      </c>
      <c r="L688" s="8">
        <f t="shared" si="63"/>
        <v>-3.797813123901012E-3</v>
      </c>
      <c r="M688" s="5">
        <v>45255</v>
      </c>
      <c r="N688" s="9">
        <f t="shared" si="60"/>
        <v>-3.6128142315124605E-3</v>
      </c>
      <c r="O688" s="5">
        <v>45255</v>
      </c>
      <c r="P688">
        <f t="shared" si="61"/>
        <v>0.99914085121573926</v>
      </c>
      <c r="Q688" s="6">
        <f t="shared" si="64"/>
        <v>0.99946029144262105</v>
      </c>
      <c r="R688">
        <f t="shared" si="65"/>
        <v>-3.1966381163687721E-4</v>
      </c>
      <c r="T688" s="5">
        <v>45255</v>
      </c>
      <c r="U688" s="1">
        <v>-3.1966381163687721E-4</v>
      </c>
    </row>
    <row r="689" spans="3:21" x14ac:dyDescent="0.2">
      <c r="C689" s="5">
        <v>45256</v>
      </c>
      <c r="D689" s="6">
        <v>1.00041</v>
      </c>
      <c r="E689" s="6">
        <v>37455.4</v>
      </c>
      <c r="F689" s="6">
        <v>37399.4</v>
      </c>
      <c r="G689" s="6">
        <v>37459.5</v>
      </c>
      <c r="H689" s="6">
        <v>37442</v>
      </c>
      <c r="I689" s="5">
        <v>45256</v>
      </c>
      <c r="J689" s="7">
        <f t="shared" si="62"/>
        <v>3.5788686501793323E-4</v>
      </c>
      <c r="K689" s="5">
        <v>45256</v>
      </c>
      <c r="L689" s="8">
        <f t="shared" si="63"/>
        <v>-1.604399418038109E-3</v>
      </c>
      <c r="M689" s="5">
        <v>45256</v>
      </c>
      <c r="N689" s="9">
        <f t="shared" si="60"/>
        <v>-1.2465125530201756E-3</v>
      </c>
      <c r="O689" s="5">
        <v>45256</v>
      </c>
      <c r="P689">
        <f t="shared" si="61"/>
        <v>0.99953282878842475</v>
      </c>
      <c r="Q689" s="6">
        <f t="shared" si="64"/>
        <v>0.99959016803110723</v>
      </c>
      <c r="R689">
        <f t="shared" si="65"/>
        <v>-5.7364397077492958E-5</v>
      </c>
      <c r="T689" s="5">
        <v>45256</v>
      </c>
      <c r="U689" s="1">
        <v>-5.7364397077492958E-5</v>
      </c>
    </row>
    <row r="690" spans="3:21" x14ac:dyDescent="0.2">
      <c r="C690" s="5">
        <v>45257</v>
      </c>
      <c r="D690" s="6">
        <v>0.99994000000000005</v>
      </c>
      <c r="E690" s="6">
        <v>37256</v>
      </c>
      <c r="F690" s="6">
        <v>37273.660000000003</v>
      </c>
      <c r="G690" s="6">
        <v>37256</v>
      </c>
      <c r="H690" s="6">
        <v>37243.800000000003</v>
      </c>
      <c r="I690" s="5">
        <v>45257</v>
      </c>
      <c r="J690" s="7">
        <f t="shared" si="62"/>
        <v>3.2757130045798464E-4</v>
      </c>
      <c r="K690" s="5">
        <v>45257</v>
      </c>
      <c r="L690" s="8">
        <f t="shared" si="63"/>
        <v>4.7401760790217665E-4</v>
      </c>
      <c r="M690" s="5">
        <v>45257</v>
      </c>
      <c r="N690" s="9">
        <f t="shared" si="60"/>
        <v>8.0158890836016128E-4</v>
      </c>
      <c r="O690" s="5">
        <v>45257</v>
      </c>
      <c r="P690">
        <f t="shared" si="61"/>
        <v>0.99967253596736105</v>
      </c>
      <c r="Q690" s="6">
        <f t="shared" si="64"/>
        <v>1.0000600036002159</v>
      </c>
      <c r="R690">
        <f t="shared" si="65"/>
        <v>-3.8751946076499865E-4</v>
      </c>
      <c r="T690" s="5">
        <v>45257</v>
      </c>
      <c r="U690" s="1">
        <v>-3.8751946076499865E-4</v>
      </c>
    </row>
    <row r="691" spans="3:21" x14ac:dyDescent="0.2">
      <c r="C691" s="5">
        <v>45258</v>
      </c>
      <c r="D691" s="6">
        <v>1.0004599999999999</v>
      </c>
      <c r="E691" s="6">
        <v>37820</v>
      </c>
      <c r="F691" s="6">
        <v>37843.01</v>
      </c>
      <c r="G691" s="6">
        <v>37817.5</v>
      </c>
      <c r="H691" s="6">
        <v>37817.480000000003</v>
      </c>
      <c r="I691" s="5">
        <v>45258</v>
      </c>
      <c r="J691" s="7">
        <f t="shared" si="62"/>
        <v>6.6635851992168657E-5</v>
      </c>
      <c r="K691" s="5">
        <v>45258</v>
      </c>
      <c r="L691" s="8">
        <f t="shared" si="63"/>
        <v>6.7455543068690516E-4</v>
      </c>
      <c r="M691" s="5">
        <v>45258</v>
      </c>
      <c r="N691" s="9">
        <f t="shared" si="60"/>
        <v>7.4119128267907382E-4</v>
      </c>
      <c r="O691" s="5">
        <v>45258</v>
      </c>
      <c r="P691">
        <f t="shared" si="61"/>
        <v>0.99999947114431165</v>
      </c>
      <c r="Q691" s="6">
        <f t="shared" si="64"/>
        <v>0.99954021150270889</v>
      </c>
      <c r="R691">
        <f t="shared" si="65"/>
        <v>4.5936537660584459E-4</v>
      </c>
      <c r="T691" s="5">
        <v>45258</v>
      </c>
      <c r="U691" s="1">
        <v>4.5936537660584459E-4</v>
      </c>
    </row>
    <row r="692" spans="3:21" x14ac:dyDescent="0.2">
      <c r="C692" s="5">
        <v>45259</v>
      </c>
      <c r="D692" s="6">
        <v>1.0002500000000001</v>
      </c>
      <c r="E692" s="6">
        <v>37858.6</v>
      </c>
      <c r="F692" s="6">
        <v>37880.559999999998</v>
      </c>
      <c r="G692" s="6">
        <v>37855.5</v>
      </c>
      <c r="H692" s="6">
        <v>37853.47</v>
      </c>
      <c r="I692" s="5">
        <v>45259</v>
      </c>
      <c r="J692" s="7">
        <f t="shared" si="62"/>
        <v>1.3552258220969916E-4</v>
      </c>
      <c r="K692" s="5">
        <v>45259</v>
      </c>
      <c r="L692" s="8">
        <f t="shared" si="63"/>
        <v>6.6199099206185811E-4</v>
      </c>
      <c r="M692" s="5">
        <v>45259</v>
      </c>
      <c r="N692" s="9">
        <f t="shared" si="60"/>
        <v>7.975135742715573E-4</v>
      </c>
      <c r="O692" s="5">
        <v>45259</v>
      </c>
      <c r="P692">
        <f t="shared" si="61"/>
        <v>0.99994637503136929</v>
      </c>
      <c r="Q692" s="6">
        <f t="shared" si="64"/>
        <v>0.99975006248437881</v>
      </c>
      <c r="R692">
        <f t="shared" si="65"/>
        <v>1.9634234870674177E-4</v>
      </c>
      <c r="T692" s="5">
        <v>45259</v>
      </c>
      <c r="U692" s="1">
        <v>1.9634234870674177E-4</v>
      </c>
    </row>
    <row r="693" spans="3:21" x14ac:dyDescent="0.2">
      <c r="C693" s="5">
        <v>45260</v>
      </c>
      <c r="D693" s="6">
        <v>1.00014</v>
      </c>
      <c r="E693" s="6">
        <v>37727.4</v>
      </c>
      <c r="F693" s="6">
        <v>37739.550000000003</v>
      </c>
      <c r="G693" s="6">
        <v>37727</v>
      </c>
      <c r="H693" s="6">
        <v>37725.18</v>
      </c>
      <c r="I693" s="5">
        <v>45260</v>
      </c>
      <c r="J693" s="7">
        <f t="shared" si="62"/>
        <v>5.8846637709910573E-5</v>
      </c>
      <c r="K693" s="5">
        <v>45260</v>
      </c>
      <c r="L693" s="8">
        <f t="shared" si="63"/>
        <v>3.3265300713024916E-4</v>
      </c>
      <c r="M693" s="5">
        <v>45260</v>
      </c>
      <c r="N693" s="9">
        <f t="shared" si="60"/>
        <v>3.9149964484015974E-4</v>
      </c>
      <c r="O693" s="5">
        <v>45260</v>
      </c>
      <c r="P693">
        <f t="shared" si="61"/>
        <v>0.99995175868741215</v>
      </c>
      <c r="Q693" s="6">
        <f t="shared" si="64"/>
        <v>0.99986001959725634</v>
      </c>
      <c r="R693">
        <f t="shared" si="65"/>
        <v>9.174772467732531E-5</v>
      </c>
      <c r="T693" s="5">
        <v>45260</v>
      </c>
      <c r="U693" s="1">
        <v>9.174772467732531E-5</v>
      </c>
    </row>
    <row r="694" spans="3:21" x14ac:dyDescent="0.2">
      <c r="C694" s="5">
        <v>45261</v>
      </c>
      <c r="D694" s="6">
        <v>1.0004999999999999</v>
      </c>
      <c r="E694" s="6">
        <v>38684.800000000003</v>
      </c>
      <c r="F694" s="6">
        <v>38721.19</v>
      </c>
      <c r="G694" s="6">
        <v>38706.5</v>
      </c>
      <c r="H694" s="6">
        <v>38685</v>
      </c>
      <c r="I694" s="5">
        <v>45261</v>
      </c>
      <c r="J694" s="7">
        <f t="shared" si="62"/>
        <v>-5.1699625176965134E-6</v>
      </c>
      <c r="K694" s="5">
        <v>45261</v>
      </c>
      <c r="L694" s="8">
        <f t="shared" si="63"/>
        <v>3.7952281916479993E-4</v>
      </c>
      <c r="M694" s="5">
        <v>45261</v>
      </c>
      <c r="N694" s="9">
        <f t="shared" si="60"/>
        <v>3.743528566471034E-4</v>
      </c>
      <c r="O694" s="5">
        <v>45261</v>
      </c>
      <c r="P694">
        <f t="shared" si="61"/>
        <v>0.99944453773913933</v>
      </c>
      <c r="Q694" s="6">
        <f t="shared" si="64"/>
        <v>0.99950024987506247</v>
      </c>
      <c r="R694">
        <f t="shared" si="65"/>
        <v>-5.574154552223804E-5</v>
      </c>
      <c r="T694" s="5">
        <v>45261</v>
      </c>
      <c r="U694" s="1">
        <v>-5.574154552223804E-5</v>
      </c>
    </row>
    <row r="695" spans="3:21" x14ac:dyDescent="0.2">
      <c r="C695" s="5">
        <v>45262</v>
      </c>
      <c r="D695" s="6">
        <v>1.00041</v>
      </c>
      <c r="E695" s="6">
        <v>39455</v>
      </c>
      <c r="F695" s="6">
        <v>39498.870000000003</v>
      </c>
      <c r="G695" s="6">
        <v>39481.5</v>
      </c>
      <c r="H695" s="6">
        <v>39450.32</v>
      </c>
      <c r="I695" s="5">
        <v>45262</v>
      </c>
      <c r="J695" s="7">
        <f t="shared" si="62"/>
        <v>1.186302164342467E-4</v>
      </c>
      <c r="K695" s="5">
        <v>45262</v>
      </c>
      <c r="L695" s="8">
        <f t="shared" si="63"/>
        <v>4.3995288932797944E-4</v>
      </c>
      <c r="M695" s="5">
        <v>45262</v>
      </c>
      <c r="N695" s="9">
        <f t="shared" si="60"/>
        <v>5.585831057622261E-4</v>
      </c>
      <c r="O695" s="5">
        <v>45262</v>
      </c>
      <c r="P695">
        <f t="shared" si="61"/>
        <v>0.99921026303458571</v>
      </c>
      <c r="Q695" s="6">
        <f t="shared" si="64"/>
        <v>0.99959016803110723</v>
      </c>
      <c r="R695">
        <f t="shared" si="65"/>
        <v>-3.8013299896451477E-4</v>
      </c>
      <c r="T695" s="5">
        <v>45262</v>
      </c>
      <c r="U695" s="1">
        <v>-3.8013299896451477E-4</v>
      </c>
    </row>
    <row r="696" spans="3:21" x14ac:dyDescent="0.2">
      <c r="C696" s="5">
        <v>45263</v>
      </c>
      <c r="D696" s="6">
        <v>1.0004</v>
      </c>
      <c r="E696" s="6">
        <v>39999.9</v>
      </c>
      <c r="F696" s="6">
        <v>39985.86</v>
      </c>
      <c r="G696" s="6">
        <v>40027</v>
      </c>
      <c r="H696" s="6">
        <v>39969.61</v>
      </c>
      <c r="I696" s="5">
        <v>45263</v>
      </c>
      <c r="J696" s="7">
        <f t="shared" si="62"/>
        <v>7.5782575811975334E-4</v>
      </c>
      <c r="K696" s="5">
        <v>45263</v>
      </c>
      <c r="L696" s="8">
        <f t="shared" si="63"/>
        <v>-1.0278062307941993E-3</v>
      </c>
      <c r="M696" s="5">
        <v>45263</v>
      </c>
      <c r="N696" s="9">
        <f t="shared" si="60"/>
        <v>-2.6998047267444598E-4</v>
      </c>
      <c r="O696" s="5">
        <v>45263</v>
      </c>
      <c r="P696">
        <f t="shared" si="61"/>
        <v>0.99856621780298305</v>
      </c>
      <c r="Q696" s="6">
        <f t="shared" si="64"/>
        <v>0.99960015993602558</v>
      </c>
      <c r="R696">
        <f t="shared" si="65"/>
        <v>-1.034891024932316E-3</v>
      </c>
      <c r="T696" s="5">
        <v>45263</v>
      </c>
      <c r="U696" s="1">
        <v>-1.034891024932316E-3</v>
      </c>
    </row>
    <row r="697" spans="3:21" x14ac:dyDescent="0.2">
      <c r="C697" s="5">
        <v>45264</v>
      </c>
      <c r="D697" s="6">
        <v>0.99997000000000003</v>
      </c>
      <c r="E697" s="6">
        <v>42006.9</v>
      </c>
      <c r="F697" s="6">
        <v>42030.65</v>
      </c>
      <c r="G697" s="6">
        <v>42004</v>
      </c>
      <c r="H697" s="6">
        <v>41985.41</v>
      </c>
      <c r="I697" s="5">
        <v>45264</v>
      </c>
      <c r="J697" s="7">
        <f t="shared" si="62"/>
        <v>5.1184447168666359E-4</v>
      </c>
      <c r="K697" s="5">
        <v>45264</v>
      </c>
      <c r="L697" s="8">
        <f t="shared" si="63"/>
        <v>6.344633844396118E-4</v>
      </c>
      <c r="M697" s="5">
        <v>45264</v>
      </c>
      <c r="N697" s="9">
        <f t="shared" si="60"/>
        <v>1.1463078561262754E-3</v>
      </c>
      <c r="O697" s="5">
        <v>45264</v>
      </c>
      <c r="P697">
        <f t="shared" si="61"/>
        <v>0.99955742310256168</v>
      </c>
      <c r="Q697" s="6">
        <f t="shared" si="64"/>
        <v>1.0000300009000269</v>
      </c>
      <c r="R697">
        <f t="shared" si="65"/>
        <v>-4.7267531350833402E-4</v>
      </c>
      <c r="T697" s="5">
        <v>45264</v>
      </c>
      <c r="U697" s="1">
        <v>-4.7267531350833402E-4</v>
      </c>
    </row>
    <row r="698" spans="3:21" x14ac:dyDescent="0.2">
      <c r="C698" s="5">
        <v>45265</v>
      </c>
      <c r="D698" s="6">
        <v>1.0001800000000001</v>
      </c>
      <c r="E698" s="6">
        <v>44103.4</v>
      </c>
      <c r="F698" s="6">
        <v>44110.11</v>
      </c>
      <c r="G698" s="6">
        <v>44102</v>
      </c>
      <c r="H698" s="6">
        <v>44073.67</v>
      </c>
      <c r="I698" s="5">
        <v>45265</v>
      </c>
      <c r="J698" s="7">
        <f t="shared" si="62"/>
        <v>6.7455240282924482E-4</v>
      </c>
      <c r="K698" s="5">
        <v>45265</v>
      </c>
      <c r="L698" s="8">
        <f t="shared" si="63"/>
        <v>1.8389188698926539E-4</v>
      </c>
      <c r="M698" s="5">
        <v>45265</v>
      </c>
      <c r="N698" s="9">
        <f t="shared" si="60"/>
        <v>8.5844428981851021E-4</v>
      </c>
      <c r="O698" s="5">
        <v>45265</v>
      </c>
      <c r="P698">
        <f t="shared" si="61"/>
        <v>0.99935762550451224</v>
      </c>
      <c r="Q698" s="6">
        <f t="shared" si="64"/>
        <v>0.99982003239416894</v>
      </c>
      <c r="R698">
        <f t="shared" si="65"/>
        <v>-4.6259710444032859E-4</v>
      </c>
      <c r="T698" s="5">
        <v>45265</v>
      </c>
      <c r="U698" s="1">
        <v>-4.6259710444032859E-4</v>
      </c>
    </row>
    <row r="699" spans="3:21" x14ac:dyDescent="0.2">
      <c r="C699" s="5">
        <v>45266</v>
      </c>
      <c r="D699" s="6">
        <v>1.0000800000000001</v>
      </c>
      <c r="E699" s="6">
        <v>43785.2</v>
      </c>
      <c r="F699" s="6">
        <v>43792.52</v>
      </c>
      <c r="G699" s="6">
        <v>43780.5</v>
      </c>
      <c r="H699" s="6">
        <v>43761.75</v>
      </c>
      <c r="I699" s="5">
        <v>45266</v>
      </c>
      <c r="J699" s="7">
        <f t="shared" si="62"/>
        <v>5.3585608436584669E-4</v>
      </c>
      <c r="K699" s="5">
        <v>45266</v>
      </c>
      <c r="L699" s="8">
        <f t="shared" si="63"/>
        <v>2.7455145555662448E-4</v>
      </c>
      <c r="M699" s="5">
        <v>45266</v>
      </c>
      <c r="N699" s="9">
        <f t="shared" si="60"/>
        <v>8.1040753992247117E-4</v>
      </c>
      <c r="O699" s="5">
        <v>45266</v>
      </c>
      <c r="P699">
        <f t="shared" si="61"/>
        <v>0.99957172713879472</v>
      </c>
      <c r="Q699" s="6">
        <f t="shared" si="64"/>
        <v>0.99992000639948797</v>
      </c>
      <c r="R699">
        <f t="shared" si="65"/>
        <v>-3.4836779604907993E-4</v>
      </c>
      <c r="T699" s="5">
        <v>45266</v>
      </c>
      <c r="U699" s="1">
        <v>-3.4836779604907993E-4</v>
      </c>
    </row>
    <row r="700" spans="3:21" x14ac:dyDescent="0.2">
      <c r="C700" s="5">
        <v>45267</v>
      </c>
      <c r="D700" s="6">
        <v>1.0002500000000001</v>
      </c>
      <c r="E700" s="6">
        <v>43308</v>
      </c>
      <c r="F700" s="6">
        <v>43322.21</v>
      </c>
      <c r="G700" s="6">
        <v>43319</v>
      </c>
      <c r="H700" s="6">
        <v>43272.71</v>
      </c>
      <c r="I700" s="5">
        <v>45267</v>
      </c>
      <c r="J700" s="7">
        <f t="shared" si="62"/>
        <v>8.1552553560895248E-4</v>
      </c>
      <c r="K700" s="5">
        <v>45267</v>
      </c>
      <c r="L700" s="8">
        <f t="shared" si="63"/>
        <v>7.4101433551077513E-5</v>
      </c>
      <c r="M700" s="5">
        <v>45267</v>
      </c>
      <c r="N700" s="9">
        <f t="shared" si="60"/>
        <v>8.8962696916003003E-4</v>
      </c>
      <c r="O700" s="5">
        <v>45267</v>
      </c>
      <c r="P700">
        <f t="shared" si="61"/>
        <v>0.99893141577598743</v>
      </c>
      <c r="Q700" s="6">
        <f t="shared" si="64"/>
        <v>0.99975006248437881</v>
      </c>
      <c r="R700">
        <f t="shared" si="65"/>
        <v>-8.1918681198210922E-4</v>
      </c>
      <c r="T700" s="5">
        <v>45267</v>
      </c>
      <c r="U700" s="1">
        <v>-8.1918681198210922E-4</v>
      </c>
    </row>
    <row r="701" spans="3:21" x14ac:dyDescent="0.2">
      <c r="C701" s="5">
        <v>45268</v>
      </c>
      <c r="D701" s="6">
        <v>1.0002500000000001</v>
      </c>
      <c r="E701" s="6">
        <v>44209.7</v>
      </c>
      <c r="F701" s="6">
        <v>44237.47</v>
      </c>
      <c r="G701" s="6">
        <v>44198</v>
      </c>
      <c r="H701" s="6">
        <v>44170.71</v>
      </c>
      <c r="I701" s="5">
        <v>45268</v>
      </c>
      <c r="J701" s="7">
        <f t="shared" si="62"/>
        <v>8.8271164307745934E-4</v>
      </c>
      <c r="K701" s="5">
        <v>45268</v>
      </c>
      <c r="L701" s="8">
        <f t="shared" si="63"/>
        <v>8.9302683379341061E-4</v>
      </c>
      <c r="M701" s="5">
        <v>45268</v>
      </c>
      <c r="N701" s="9">
        <f t="shared" si="60"/>
        <v>1.7757384768708698E-3</v>
      </c>
      <c r="O701" s="5">
        <v>45268</v>
      </c>
      <c r="P701">
        <f t="shared" si="61"/>
        <v>0.99938255124666275</v>
      </c>
      <c r="Q701" s="6">
        <f t="shared" si="64"/>
        <v>0.99975006248437881</v>
      </c>
      <c r="R701">
        <f t="shared" si="65"/>
        <v>-3.676706981136872E-4</v>
      </c>
      <c r="T701" s="5">
        <v>45268</v>
      </c>
      <c r="U701" s="1">
        <v>-3.676706981136872E-4</v>
      </c>
    </row>
    <row r="702" spans="3:21" x14ac:dyDescent="0.2">
      <c r="C702" s="5">
        <v>45269</v>
      </c>
      <c r="D702" s="6">
        <v>0.99999000000000005</v>
      </c>
      <c r="E702" s="6">
        <v>43740</v>
      </c>
      <c r="F702" s="6">
        <v>43786.46</v>
      </c>
      <c r="G702" s="6">
        <v>43753.5</v>
      </c>
      <c r="H702" s="6">
        <v>43711.98</v>
      </c>
      <c r="I702" s="5">
        <v>45269</v>
      </c>
      <c r="J702" s="7">
        <f t="shared" si="62"/>
        <v>6.4101420251374555E-4</v>
      </c>
      <c r="K702" s="5">
        <v>45269</v>
      </c>
      <c r="L702" s="8">
        <f t="shared" si="63"/>
        <v>7.5331116367831439E-4</v>
      </c>
      <c r="M702" s="5">
        <v>45269</v>
      </c>
      <c r="N702" s="9">
        <f t="shared" si="60"/>
        <v>1.3943253661920598E-3</v>
      </c>
      <c r="O702" s="5">
        <v>45269</v>
      </c>
      <c r="P702">
        <f t="shared" si="61"/>
        <v>0.99905104734478389</v>
      </c>
      <c r="Q702" s="6">
        <f t="shared" si="64"/>
        <v>1.000010000100001</v>
      </c>
      <c r="R702">
        <f t="shared" si="65"/>
        <v>-9.5940324583773326E-4</v>
      </c>
      <c r="T702" s="5">
        <v>45269</v>
      </c>
      <c r="U702" s="1">
        <v>-9.5940324583773326E-4</v>
      </c>
    </row>
    <row r="703" spans="3:21" x14ac:dyDescent="0.2">
      <c r="C703" s="5">
        <v>45270</v>
      </c>
      <c r="D703" s="6">
        <v>1.0000599999999999</v>
      </c>
      <c r="E703" s="6">
        <v>43823.8</v>
      </c>
      <c r="F703" s="6">
        <v>43831.67</v>
      </c>
      <c r="G703" s="6">
        <v>43841.5</v>
      </c>
      <c r="H703" s="6">
        <v>43790.53</v>
      </c>
      <c r="I703" s="5">
        <v>45270</v>
      </c>
      <c r="J703" s="7">
        <f t="shared" si="62"/>
        <v>7.5975330739326693E-4</v>
      </c>
      <c r="K703" s="5">
        <v>45270</v>
      </c>
      <c r="L703" s="8">
        <f t="shared" si="63"/>
        <v>-2.2421678090397788E-4</v>
      </c>
      <c r="M703" s="5">
        <v>45270</v>
      </c>
      <c r="N703" s="9">
        <f t="shared" si="60"/>
        <v>5.355365264892891E-4</v>
      </c>
      <c r="O703" s="5">
        <v>45270</v>
      </c>
      <c r="P703">
        <f t="shared" si="61"/>
        <v>0.99883740291732714</v>
      </c>
      <c r="Q703" s="6">
        <f t="shared" si="64"/>
        <v>0.99994000359978408</v>
      </c>
      <c r="R703">
        <f t="shared" si="65"/>
        <v>-1.1032752228475582E-3</v>
      </c>
      <c r="T703" s="5">
        <v>45270</v>
      </c>
      <c r="U703" s="1">
        <v>-1.1032752228475582E-3</v>
      </c>
    </row>
    <row r="704" spans="3:21" x14ac:dyDescent="0.2">
      <c r="C704" s="5">
        <v>45271</v>
      </c>
      <c r="D704" s="6">
        <v>0.99960000000000004</v>
      </c>
      <c r="E704" s="6">
        <v>41272.1</v>
      </c>
      <c r="F704" s="6">
        <v>41288</v>
      </c>
      <c r="G704" s="6">
        <v>41245</v>
      </c>
      <c r="H704" s="6">
        <v>41252.559999999998</v>
      </c>
      <c r="I704" s="5">
        <v>45271</v>
      </c>
      <c r="J704" s="7">
        <f t="shared" si="62"/>
        <v>4.7366757360030201E-4</v>
      </c>
      <c r="K704" s="5">
        <v>45271</v>
      </c>
      <c r="L704" s="8">
        <f t="shared" si="63"/>
        <v>1.0425506121954176E-3</v>
      </c>
      <c r="M704" s="5">
        <v>45271</v>
      </c>
      <c r="N704" s="9">
        <f t="shared" si="60"/>
        <v>1.5162181857957197E-3</v>
      </c>
      <c r="O704" s="5">
        <v>45271</v>
      </c>
      <c r="P704">
        <f t="shared" si="61"/>
        <v>1.0001832949448417</v>
      </c>
      <c r="Q704" s="6">
        <f t="shared" si="64"/>
        <v>1.0004001600640255</v>
      </c>
      <c r="R704">
        <f t="shared" si="65"/>
        <v>-2.1680187296392242E-4</v>
      </c>
      <c r="T704" s="5">
        <v>45271</v>
      </c>
      <c r="U704" s="1">
        <v>-2.1680187296392242E-4</v>
      </c>
    </row>
    <row r="705" spans="3:21" x14ac:dyDescent="0.2">
      <c r="C705" s="5">
        <v>45272</v>
      </c>
      <c r="D705" s="6">
        <v>0.99948000000000004</v>
      </c>
      <c r="E705" s="6">
        <v>41526</v>
      </c>
      <c r="F705" s="6">
        <v>41512.06</v>
      </c>
      <c r="G705" s="6">
        <v>41499.5</v>
      </c>
      <c r="H705" s="6">
        <v>41489.47</v>
      </c>
      <c r="I705" s="5">
        <v>45272</v>
      </c>
      <c r="J705" s="7">
        <f t="shared" si="62"/>
        <v>8.8046436842887689E-4</v>
      </c>
      <c r="K705" s="5">
        <v>45272</v>
      </c>
      <c r="L705" s="8">
        <f t="shared" si="63"/>
        <v>3.0265424884631554E-4</v>
      </c>
      <c r="M705" s="5">
        <v>45272</v>
      </c>
      <c r="N705" s="9">
        <f t="shared" si="60"/>
        <v>1.1831186172751925E-3</v>
      </c>
      <c r="O705" s="5">
        <v>45272</v>
      </c>
      <c r="P705">
        <f t="shared" si="61"/>
        <v>0.99975831034108853</v>
      </c>
      <c r="Q705" s="6">
        <f t="shared" si="64"/>
        <v>1.000520270540681</v>
      </c>
      <c r="R705">
        <f t="shared" si="65"/>
        <v>-7.6185411745143482E-4</v>
      </c>
      <c r="T705" s="5">
        <v>45272</v>
      </c>
      <c r="U705" s="1">
        <v>-7.6185411745143482E-4</v>
      </c>
    </row>
    <row r="706" spans="3:21" x14ac:dyDescent="0.2">
      <c r="C706" s="5">
        <v>45273</v>
      </c>
      <c r="D706" s="6">
        <v>1.0001599999999999</v>
      </c>
      <c r="E706" s="6">
        <v>42896.9</v>
      </c>
      <c r="F706" s="6">
        <v>42956.27</v>
      </c>
      <c r="G706" s="6">
        <v>42894</v>
      </c>
      <c r="H706" s="6">
        <v>42867.51</v>
      </c>
      <c r="I706" s="5">
        <v>45273</v>
      </c>
      <c r="J706" s="7">
        <f t="shared" si="62"/>
        <v>6.8560081982833659E-4</v>
      </c>
      <c r="K706" s="5">
        <v>45273</v>
      </c>
      <c r="L706" s="8">
        <f t="shared" si="63"/>
        <v>1.4517181890240313E-3</v>
      </c>
      <c r="M706" s="5">
        <v>45273</v>
      </c>
      <c r="N706" s="9">
        <f t="shared" si="60"/>
        <v>2.137319008852368E-3</v>
      </c>
      <c r="O706" s="5">
        <v>45273</v>
      </c>
      <c r="P706">
        <f t="shared" si="61"/>
        <v>0.99938243110924607</v>
      </c>
      <c r="Q706" s="6">
        <f t="shared" si="64"/>
        <v>0.99984002559590468</v>
      </c>
      <c r="R706">
        <f t="shared" si="65"/>
        <v>-4.5777246360437929E-4</v>
      </c>
      <c r="T706" s="5">
        <v>45273</v>
      </c>
      <c r="U706" s="1">
        <v>-4.5777246360437929E-4</v>
      </c>
    </row>
    <row r="707" spans="3:21" x14ac:dyDescent="0.2">
      <c r="C707" s="5">
        <v>45274</v>
      </c>
      <c r="D707" s="6">
        <v>1.0001899999999999</v>
      </c>
      <c r="E707" s="6">
        <v>43050</v>
      </c>
      <c r="F707" s="6">
        <v>43040.38</v>
      </c>
      <c r="G707" s="6">
        <v>43049.5</v>
      </c>
      <c r="H707" s="6">
        <v>43020.44</v>
      </c>
      <c r="I707" s="5">
        <v>45274</v>
      </c>
      <c r="J707" s="7">
        <f t="shared" si="62"/>
        <v>6.8711524103420765E-4</v>
      </c>
      <c r="K707" s="5">
        <v>45274</v>
      </c>
      <c r="L707" s="8">
        <f t="shared" si="63"/>
        <v>-2.1184915039669728E-4</v>
      </c>
      <c r="M707" s="5">
        <v>45274</v>
      </c>
      <c r="N707" s="9">
        <f t="shared" si="60"/>
        <v>4.7526609063751037E-4</v>
      </c>
      <c r="O707" s="5">
        <v>45274</v>
      </c>
      <c r="P707">
        <f t="shared" si="61"/>
        <v>0.99932496312384589</v>
      </c>
      <c r="Q707" s="6">
        <f t="shared" si="64"/>
        <v>0.99981003609314234</v>
      </c>
      <c r="R707">
        <f t="shared" si="65"/>
        <v>-4.8528286384463148E-4</v>
      </c>
      <c r="T707" s="5">
        <v>45274</v>
      </c>
      <c r="U707" s="1">
        <v>-4.8528286384463148E-4</v>
      </c>
    </row>
    <row r="708" spans="3:21" x14ac:dyDescent="0.2">
      <c r="C708" s="5">
        <v>45275</v>
      </c>
      <c r="D708" s="6">
        <v>0.99992999999999999</v>
      </c>
      <c r="E708" s="6">
        <v>41979.7</v>
      </c>
      <c r="F708" s="6">
        <v>41958.22</v>
      </c>
      <c r="G708" s="6">
        <v>41969.5</v>
      </c>
      <c r="H708" s="6">
        <v>41941.980000000003</v>
      </c>
      <c r="I708" s="5">
        <v>45275</v>
      </c>
      <c r="J708" s="7">
        <f t="shared" si="62"/>
        <v>8.9933760876319822E-4</v>
      </c>
      <c r="K708" s="5">
        <v>45275</v>
      </c>
      <c r="L708" s="8">
        <f t="shared" si="63"/>
        <v>-2.6876660431977595E-4</v>
      </c>
      <c r="M708" s="5">
        <v>45275</v>
      </c>
      <c r="N708" s="9">
        <f t="shared" si="60"/>
        <v>6.3057100444342232E-4</v>
      </c>
      <c r="O708" s="5">
        <v>45275</v>
      </c>
      <c r="P708">
        <f t="shared" si="61"/>
        <v>0.99934428573130496</v>
      </c>
      <c r="Q708" s="6">
        <f t="shared" si="64"/>
        <v>1.000070004900343</v>
      </c>
      <c r="R708">
        <f t="shared" si="65"/>
        <v>-7.259317934339587E-4</v>
      </c>
      <c r="T708" s="5">
        <v>45275</v>
      </c>
      <c r="U708" s="1">
        <v>-7.259317934339587E-4</v>
      </c>
    </row>
    <row r="709" spans="3:21" x14ac:dyDescent="0.2">
      <c r="C709" s="5">
        <v>45276</v>
      </c>
      <c r="D709" s="6">
        <v>0.99924999999999997</v>
      </c>
      <c r="E709" s="6">
        <v>42296.3</v>
      </c>
      <c r="F709" s="6">
        <v>42210.7</v>
      </c>
      <c r="G709" s="6">
        <v>42278.5</v>
      </c>
      <c r="H709" s="6">
        <v>42276</v>
      </c>
      <c r="I709" s="5">
        <v>45276</v>
      </c>
      <c r="J709" s="7">
        <f t="shared" si="62"/>
        <v>4.8017787870193281E-4</v>
      </c>
      <c r="K709" s="5">
        <v>45276</v>
      </c>
      <c r="L709" s="8">
        <f t="shared" si="63"/>
        <v>-1.6036519744078647E-3</v>
      </c>
      <c r="M709" s="5">
        <v>45276</v>
      </c>
      <c r="N709" s="9">
        <f t="shared" si="60"/>
        <v>-1.1234740957059319E-3</v>
      </c>
      <c r="O709" s="5">
        <v>45276</v>
      </c>
      <c r="P709">
        <f t="shared" si="61"/>
        <v>0.99994086829002926</v>
      </c>
      <c r="Q709" s="6">
        <f t="shared" si="64"/>
        <v>1.0007505629221918</v>
      </c>
      <c r="R709">
        <f t="shared" si="65"/>
        <v>-8.0941484902345457E-4</v>
      </c>
      <c r="T709" s="5">
        <v>45276</v>
      </c>
      <c r="U709" s="1">
        <v>-8.0941484902345457E-4</v>
      </c>
    </row>
    <row r="710" spans="3:21" x14ac:dyDescent="0.2">
      <c r="C710" s="5">
        <v>45277</v>
      </c>
      <c r="D710" s="6">
        <v>0.99921000000000004</v>
      </c>
      <c r="E710" s="6">
        <v>41395.199999999997</v>
      </c>
      <c r="F710" s="6">
        <v>41362</v>
      </c>
      <c r="G710" s="6">
        <v>41353</v>
      </c>
      <c r="H710" s="6">
        <v>41378.83</v>
      </c>
      <c r="I710" s="5">
        <v>45277</v>
      </c>
      <c r="J710" s="7">
        <f t="shared" si="62"/>
        <v>3.9561292573993376E-4</v>
      </c>
      <c r="K710" s="5">
        <v>45277</v>
      </c>
      <c r="L710" s="8">
        <f t="shared" si="63"/>
        <v>2.1763838173772157E-4</v>
      </c>
      <c r="M710" s="5">
        <v>45277</v>
      </c>
      <c r="N710" s="9">
        <f t="shared" si="60"/>
        <v>6.132513074776553E-4</v>
      </c>
      <c r="O710" s="5">
        <v>45277</v>
      </c>
      <c r="P710">
        <f t="shared" si="61"/>
        <v>1.0006246221555872</v>
      </c>
      <c r="Q710" s="6">
        <f t="shared" si="64"/>
        <v>1.0007906245934288</v>
      </c>
      <c r="R710">
        <f t="shared" si="65"/>
        <v>-1.6588505408053562E-4</v>
      </c>
      <c r="T710" s="5">
        <v>45277</v>
      </c>
      <c r="U710" s="1">
        <v>-1.6588505408053562E-4</v>
      </c>
    </row>
    <row r="711" spans="3:21" x14ac:dyDescent="0.2">
      <c r="C711" s="5">
        <v>45278</v>
      </c>
      <c r="D711" s="6">
        <v>0.99977000000000005</v>
      </c>
      <c r="E711" s="6">
        <v>42683.6</v>
      </c>
      <c r="F711" s="6">
        <v>42642.44</v>
      </c>
      <c r="G711" s="6">
        <v>42682</v>
      </c>
      <c r="H711" s="6">
        <v>42658.51</v>
      </c>
      <c r="I711" s="5">
        <v>45278</v>
      </c>
      <c r="J711" s="7">
        <f t="shared" si="62"/>
        <v>5.8815931451887339E-4</v>
      </c>
      <c r="K711" s="5">
        <v>45278</v>
      </c>
      <c r="L711" s="8">
        <f t="shared" si="63"/>
        <v>-9.2685441169574224E-4</v>
      </c>
      <c r="M711" s="5">
        <v>45278</v>
      </c>
      <c r="N711" s="9">
        <f t="shared" si="60"/>
        <v>-3.3869509717686884E-4</v>
      </c>
      <c r="O711" s="5">
        <v>45278</v>
      </c>
      <c r="P711">
        <f t="shared" si="61"/>
        <v>0.99944965090670557</v>
      </c>
      <c r="Q711" s="6">
        <f t="shared" si="64"/>
        <v>1.0002300529121697</v>
      </c>
      <c r="R711">
        <f t="shared" si="65"/>
        <v>-7.8052704499992993E-4</v>
      </c>
      <c r="T711" s="5">
        <v>45278</v>
      </c>
      <c r="U711" s="1">
        <v>-7.8052704499992993E-4</v>
      </c>
    </row>
    <row r="712" spans="3:21" x14ac:dyDescent="0.2">
      <c r="C712" s="5">
        <v>45279</v>
      </c>
      <c r="D712" s="6">
        <v>0.99973999999999996</v>
      </c>
      <c r="E712" s="6">
        <v>42298</v>
      </c>
      <c r="F712" s="6">
        <v>42269.1</v>
      </c>
      <c r="G712" s="6">
        <v>42291.5</v>
      </c>
      <c r="H712" s="6">
        <v>42275.62</v>
      </c>
      <c r="I712" s="5">
        <v>45279</v>
      </c>
      <c r="J712" s="7">
        <f t="shared" si="62"/>
        <v>5.2938312909420085E-4</v>
      </c>
      <c r="K712" s="5">
        <v>45279</v>
      </c>
      <c r="L712" s="8">
        <f t="shared" si="63"/>
        <v>-5.2965725973307771E-4</v>
      </c>
      <c r="M712" s="5">
        <v>45279</v>
      </c>
      <c r="N712" s="9">
        <f t="shared" ref="N712:N775" si="66">J712+L712</f>
        <v>-2.7413063887686377E-7</v>
      </c>
      <c r="O712" s="5">
        <v>45279</v>
      </c>
      <c r="P712">
        <f t="shared" ref="P712:P775" si="67">(1/G712)*H712</f>
        <v>0.99962451083551074</v>
      </c>
      <c r="Q712" s="6">
        <f t="shared" si="64"/>
        <v>1.0002600676175806</v>
      </c>
      <c r="R712">
        <f t="shared" si="65"/>
        <v>-6.355934840573935E-4</v>
      </c>
      <c r="T712" s="5">
        <v>45279</v>
      </c>
      <c r="U712" s="1">
        <v>-6.355934840573935E-4</v>
      </c>
    </row>
    <row r="713" spans="3:21" x14ac:dyDescent="0.2">
      <c r="C713" s="5">
        <v>45280</v>
      </c>
      <c r="D713" s="6">
        <v>1.0000199999999999</v>
      </c>
      <c r="E713" s="6">
        <v>43710</v>
      </c>
      <c r="F713" s="6">
        <v>43688.22</v>
      </c>
      <c r="G713" s="6">
        <v>43699.5</v>
      </c>
      <c r="H713" s="6">
        <v>43666.91</v>
      </c>
      <c r="I713" s="5">
        <v>45280</v>
      </c>
      <c r="J713" s="7">
        <f t="shared" ref="J713:J776" si="68">(E713-H713)/H713</f>
        <v>9.867883942325322E-4</v>
      </c>
      <c r="K713" s="5">
        <v>45280</v>
      </c>
      <c r="L713" s="8">
        <f t="shared" ref="L713:L776" si="69">(F713-G713)/G713</f>
        <v>-2.5812652318673749E-4</v>
      </c>
      <c r="M713" s="5">
        <v>45280</v>
      </c>
      <c r="N713" s="9">
        <f t="shared" si="66"/>
        <v>7.2866187104579476E-4</v>
      </c>
      <c r="O713" s="5">
        <v>45280</v>
      </c>
      <c r="P713">
        <f t="shared" si="67"/>
        <v>0.99925422487671489</v>
      </c>
      <c r="Q713" s="6">
        <f t="shared" ref="Q713:Q776" si="70">1/D713</f>
        <v>0.99998000039999213</v>
      </c>
      <c r="R713">
        <f t="shared" ref="R713:R776" si="71">LN(P713/Q713)</f>
        <v>-7.2605355188907171E-4</v>
      </c>
      <c r="T713" s="5">
        <v>45280</v>
      </c>
      <c r="U713" s="1">
        <v>-7.2605355188907171E-4</v>
      </c>
    </row>
    <row r="714" spans="3:21" x14ac:dyDescent="0.2">
      <c r="C714" s="5">
        <v>45281</v>
      </c>
      <c r="D714" s="6">
        <v>1.0001599999999999</v>
      </c>
      <c r="E714" s="6">
        <v>43902.1</v>
      </c>
      <c r="F714" s="6">
        <v>43891.28</v>
      </c>
      <c r="G714" s="6">
        <v>43906.5</v>
      </c>
      <c r="H714" s="6">
        <v>43862.01</v>
      </c>
      <c r="I714" s="5">
        <v>45281</v>
      </c>
      <c r="J714" s="7">
        <f t="shared" si="68"/>
        <v>9.1400280105714501E-4</v>
      </c>
      <c r="K714" s="5">
        <v>45281</v>
      </c>
      <c r="L714" s="8">
        <f t="shared" si="69"/>
        <v>-3.4664571304934724E-4</v>
      </c>
      <c r="M714" s="5">
        <v>45281</v>
      </c>
      <c r="N714" s="9">
        <f t="shared" si="66"/>
        <v>5.6735708800779777E-4</v>
      </c>
      <c r="O714" s="5">
        <v>45281</v>
      </c>
      <c r="P714">
        <f t="shared" si="67"/>
        <v>0.9989867103959551</v>
      </c>
      <c r="Q714" s="6">
        <f t="shared" si="70"/>
        <v>0.99984002559590468</v>
      </c>
      <c r="R714">
        <f t="shared" si="71"/>
        <v>-8.5381612765465819E-4</v>
      </c>
      <c r="T714" s="5">
        <v>45281</v>
      </c>
      <c r="U714" s="1">
        <v>-8.5381612765465819E-4</v>
      </c>
    </row>
    <row r="715" spans="3:21" x14ac:dyDescent="0.2">
      <c r="C715" s="5">
        <v>45282</v>
      </c>
      <c r="D715" s="6">
        <v>1.0007600000000001</v>
      </c>
      <c r="E715" s="6">
        <v>44010</v>
      </c>
      <c r="F715" s="6">
        <v>44070.06</v>
      </c>
      <c r="G715" s="6">
        <v>44046</v>
      </c>
      <c r="H715" s="6">
        <v>43969.91</v>
      </c>
      <c r="I715" s="5">
        <v>45282</v>
      </c>
      <c r="J715" s="7">
        <f t="shared" si="68"/>
        <v>9.1175988306540774E-4</v>
      </c>
      <c r="K715" s="5">
        <v>45282</v>
      </c>
      <c r="L715" s="8">
        <f t="shared" si="69"/>
        <v>5.4624710529895275E-4</v>
      </c>
      <c r="M715" s="5">
        <v>45282</v>
      </c>
      <c r="N715" s="9">
        <f t="shared" si="66"/>
        <v>1.4580069883643604E-3</v>
      </c>
      <c r="O715" s="5">
        <v>45282</v>
      </c>
      <c r="P715">
        <f t="shared" si="67"/>
        <v>0.99827248785360767</v>
      </c>
      <c r="Q715" s="6">
        <f t="shared" si="70"/>
        <v>0.99924057716135728</v>
      </c>
      <c r="R715">
        <f t="shared" si="71"/>
        <v>-9.6929466995824903E-4</v>
      </c>
      <c r="T715" s="5">
        <v>45282</v>
      </c>
      <c r="U715" s="1">
        <v>-9.6929466995824903E-4</v>
      </c>
    </row>
    <row r="716" spans="3:21" x14ac:dyDescent="0.2">
      <c r="C716" s="5">
        <v>45283</v>
      </c>
      <c r="D716" s="6">
        <v>1.0004900000000001</v>
      </c>
      <c r="E716" s="6">
        <v>43735.7</v>
      </c>
      <c r="F716" s="6">
        <v>43982.75</v>
      </c>
      <c r="G716" s="6">
        <v>43737</v>
      </c>
      <c r="H716" s="6">
        <v>43704.06</v>
      </c>
      <c r="I716" s="5">
        <v>45283</v>
      </c>
      <c r="J716" s="7">
        <f t="shared" si="68"/>
        <v>7.2396019957869867E-4</v>
      </c>
      <c r="K716" s="5">
        <v>45283</v>
      </c>
      <c r="L716" s="8">
        <f t="shared" si="69"/>
        <v>5.618812447127146E-3</v>
      </c>
      <c r="M716" s="5">
        <v>45283</v>
      </c>
      <c r="N716" s="9">
        <f t="shared" si="66"/>
        <v>6.3427726467058451E-3</v>
      </c>
      <c r="O716" s="5">
        <v>45283</v>
      </c>
      <c r="P716">
        <f t="shared" si="67"/>
        <v>0.99924686192468615</v>
      </c>
      <c r="Q716" s="6">
        <f t="shared" si="70"/>
        <v>0.99951023998240851</v>
      </c>
      <c r="R716">
        <f t="shared" si="71"/>
        <v>-2.6354183707008751E-4</v>
      </c>
      <c r="T716" s="5">
        <v>45283</v>
      </c>
      <c r="U716" s="1">
        <v>-2.6354183707008751E-4</v>
      </c>
    </row>
    <row r="717" spans="3:21" x14ac:dyDescent="0.2">
      <c r="C717" s="5">
        <v>45284</v>
      </c>
      <c r="D717" s="6">
        <v>1.0006999999999999</v>
      </c>
      <c r="E717" s="6">
        <v>43022.3</v>
      </c>
      <c r="F717" s="6">
        <v>43403.44</v>
      </c>
      <c r="G717" s="6">
        <v>43038</v>
      </c>
      <c r="H717" s="6">
        <v>42997.91</v>
      </c>
      <c r="I717" s="5">
        <v>45284</v>
      </c>
      <c r="J717" s="7">
        <f t="shared" si="68"/>
        <v>5.672368726758909E-4</v>
      </c>
      <c r="K717" s="5">
        <v>45284</v>
      </c>
      <c r="L717" s="8">
        <f t="shared" si="69"/>
        <v>8.4911008875877669E-3</v>
      </c>
      <c r="M717" s="5">
        <v>45284</v>
      </c>
      <c r="N717" s="9">
        <f t="shared" si="66"/>
        <v>9.0583377602636572E-3</v>
      </c>
      <c r="O717" s="5">
        <v>45284</v>
      </c>
      <c r="P717">
        <f t="shared" si="67"/>
        <v>0.99906849760676619</v>
      </c>
      <c r="Q717" s="6">
        <f t="shared" si="70"/>
        <v>0.99930048965724005</v>
      </c>
      <c r="R717">
        <f t="shared" si="71"/>
        <v>-2.3218139692378459E-4</v>
      </c>
      <c r="T717" s="5">
        <v>45284</v>
      </c>
      <c r="U717" s="1">
        <v>-2.3218139692378459E-4</v>
      </c>
    </row>
    <row r="718" spans="3:21" x14ac:dyDescent="0.2">
      <c r="C718" s="5">
        <v>45285</v>
      </c>
      <c r="D718" s="6">
        <v>1.00021</v>
      </c>
      <c r="E718" s="6">
        <v>43611.8</v>
      </c>
      <c r="F718" s="6">
        <v>43746.17</v>
      </c>
      <c r="G718" s="6">
        <v>43620</v>
      </c>
      <c r="H718" s="6">
        <v>43572</v>
      </c>
      <c r="I718" s="5">
        <v>45285</v>
      </c>
      <c r="J718" s="7">
        <f t="shared" si="68"/>
        <v>9.1343064353261068E-4</v>
      </c>
      <c r="K718" s="5">
        <v>45285</v>
      </c>
      <c r="L718" s="8">
        <f t="shared" si="69"/>
        <v>2.8924805135258657E-3</v>
      </c>
      <c r="M718" s="5">
        <v>45285</v>
      </c>
      <c r="N718" s="9">
        <f t="shared" si="66"/>
        <v>3.8059111570584764E-3</v>
      </c>
      <c r="O718" s="5">
        <v>45285</v>
      </c>
      <c r="P718">
        <f t="shared" si="67"/>
        <v>0.99889958734525441</v>
      </c>
      <c r="Q718" s="6">
        <f t="shared" si="70"/>
        <v>0.9997900440907409</v>
      </c>
      <c r="R718">
        <f t="shared" si="71"/>
        <v>-8.9104060019743424E-4</v>
      </c>
      <c r="T718" s="5">
        <v>45285</v>
      </c>
      <c r="U718" s="1">
        <v>-8.9104060019743424E-4</v>
      </c>
    </row>
    <row r="719" spans="3:21" x14ac:dyDescent="0.2">
      <c r="C719" s="5">
        <v>45286</v>
      </c>
      <c r="D719" s="6">
        <v>0.99995999999999996</v>
      </c>
      <c r="E719" s="6">
        <v>42552</v>
      </c>
      <c r="F719" s="6">
        <v>42581.84</v>
      </c>
      <c r="G719" s="6">
        <v>42552</v>
      </c>
      <c r="H719" s="6">
        <v>42512.18</v>
      </c>
      <c r="I719" s="5">
        <v>45286</v>
      </c>
      <c r="J719" s="7">
        <f t="shared" si="68"/>
        <v>9.3667273708381244E-4</v>
      </c>
      <c r="K719" s="5">
        <v>45286</v>
      </c>
      <c r="L719" s="8">
        <f t="shared" si="69"/>
        <v>7.0125963526970552E-4</v>
      </c>
      <c r="M719" s="5">
        <v>45286</v>
      </c>
      <c r="N719" s="9">
        <f t="shared" si="66"/>
        <v>1.637932372353518E-3</v>
      </c>
      <c r="O719" s="5">
        <v>45286</v>
      </c>
      <c r="P719">
        <f t="shared" si="67"/>
        <v>0.99906420379770644</v>
      </c>
      <c r="Q719" s="6">
        <f t="shared" si="70"/>
        <v>1.0000400016000641</v>
      </c>
      <c r="R719">
        <f t="shared" si="71"/>
        <v>-9.7623513293638043E-4</v>
      </c>
      <c r="T719" s="5">
        <v>45286</v>
      </c>
      <c r="U719" s="1">
        <v>-9.7623513293638043E-4</v>
      </c>
    </row>
    <row r="720" spans="3:21" x14ac:dyDescent="0.2">
      <c r="C720" s="5">
        <v>45287</v>
      </c>
      <c r="D720" s="6">
        <v>1.0006600000000001</v>
      </c>
      <c r="E720" s="6">
        <v>43454</v>
      </c>
      <c r="F720" s="6">
        <v>43480.75</v>
      </c>
      <c r="G720" s="6">
        <v>43469.5</v>
      </c>
      <c r="H720" s="6">
        <v>43433.25</v>
      </c>
      <c r="I720" s="5">
        <v>45287</v>
      </c>
      <c r="J720" s="7">
        <f t="shared" si="68"/>
        <v>4.7774458508170585E-4</v>
      </c>
      <c r="K720" s="5">
        <v>45287</v>
      </c>
      <c r="L720" s="8">
        <f t="shared" si="69"/>
        <v>2.5880214863294951E-4</v>
      </c>
      <c r="M720" s="5">
        <v>45287</v>
      </c>
      <c r="N720" s="9">
        <f t="shared" si="66"/>
        <v>7.3654673371465536E-4</v>
      </c>
      <c r="O720" s="5">
        <v>45287</v>
      </c>
      <c r="P720">
        <f t="shared" si="67"/>
        <v>0.99916608196551604</v>
      </c>
      <c r="Q720" s="6">
        <f t="shared" si="70"/>
        <v>0.99934043531269356</v>
      </c>
      <c r="R720">
        <f t="shared" si="71"/>
        <v>-1.7448364177202451E-4</v>
      </c>
      <c r="T720" s="5">
        <v>45287</v>
      </c>
      <c r="U720" s="1">
        <v>-1.7448364177202451E-4</v>
      </c>
    </row>
    <row r="721" spans="3:21" x14ac:dyDescent="0.2">
      <c r="C721" s="5">
        <v>45288</v>
      </c>
      <c r="D721" s="6">
        <v>1.0003899999999999</v>
      </c>
      <c r="E721" s="6">
        <v>42607</v>
      </c>
      <c r="F721" s="6">
        <v>42661.599999999999</v>
      </c>
      <c r="G721" s="6">
        <v>42621</v>
      </c>
      <c r="H721" s="6">
        <v>42565.01</v>
      </c>
      <c r="I721" s="5">
        <v>45288</v>
      </c>
      <c r="J721" s="7">
        <f t="shared" si="68"/>
        <v>9.8649101691736848E-4</v>
      </c>
      <c r="K721" s="5">
        <v>45288</v>
      </c>
      <c r="L721" s="8">
        <f t="shared" si="69"/>
        <v>9.5258206048658047E-4</v>
      </c>
      <c r="M721" s="5">
        <v>45288</v>
      </c>
      <c r="N721" s="9">
        <f t="shared" si="66"/>
        <v>1.9390730774039491E-3</v>
      </c>
      <c r="O721" s="5">
        <v>45288</v>
      </c>
      <c r="P721">
        <f t="shared" si="67"/>
        <v>0.99868632833579696</v>
      </c>
      <c r="Q721" s="6">
        <f t="shared" si="70"/>
        <v>0.99961015204070425</v>
      </c>
      <c r="R721">
        <f t="shared" si="71"/>
        <v>-9.2461131748425534E-4</v>
      </c>
      <c r="T721" s="5">
        <v>45288</v>
      </c>
      <c r="U721" s="1">
        <v>-9.2461131748425534E-4</v>
      </c>
    </row>
    <row r="722" spans="3:21" x14ac:dyDescent="0.2">
      <c r="C722" s="5">
        <v>45289</v>
      </c>
      <c r="D722" s="6">
        <v>1.00013</v>
      </c>
      <c r="E722" s="6">
        <v>42095.3</v>
      </c>
      <c r="F722" s="6">
        <v>42199.49</v>
      </c>
      <c r="G722" s="6">
        <v>42090.5</v>
      </c>
      <c r="H722" s="6">
        <v>42064</v>
      </c>
      <c r="I722" s="5">
        <v>45289</v>
      </c>
      <c r="J722" s="7">
        <f t="shared" si="68"/>
        <v>7.4410422213776412E-4</v>
      </c>
      <c r="K722" s="5">
        <v>45289</v>
      </c>
      <c r="L722" s="8">
        <f t="shared" si="69"/>
        <v>2.5894204155331481E-3</v>
      </c>
      <c r="M722" s="5">
        <v>45289</v>
      </c>
      <c r="N722" s="9">
        <f t="shared" si="66"/>
        <v>3.3335246376709122E-3</v>
      </c>
      <c r="O722" s="5">
        <v>45289</v>
      </c>
      <c r="P722">
        <f t="shared" si="67"/>
        <v>0.9993704042479894</v>
      </c>
      <c r="Q722" s="6">
        <f t="shared" si="70"/>
        <v>0.9998700168978033</v>
      </c>
      <c r="R722">
        <f t="shared" si="71"/>
        <v>-4.9980247991175772E-4</v>
      </c>
      <c r="T722" s="5">
        <v>45289</v>
      </c>
      <c r="U722" s="1">
        <v>-4.9980247991175772E-4</v>
      </c>
    </row>
    <row r="723" spans="3:21" x14ac:dyDescent="0.2">
      <c r="C723" s="5">
        <v>45290</v>
      </c>
      <c r="D723" s="6">
        <v>1.0000500000000001</v>
      </c>
      <c r="E723" s="6">
        <v>42177.2</v>
      </c>
      <c r="F723" s="6">
        <v>42307.28</v>
      </c>
      <c r="G723" s="6">
        <v>42179</v>
      </c>
      <c r="H723" s="6">
        <v>42145.17</v>
      </c>
      <c r="I723" s="5">
        <v>45290</v>
      </c>
      <c r="J723" s="7">
        <f t="shared" si="68"/>
        <v>7.5999218890323227E-4</v>
      </c>
      <c r="K723" s="5">
        <v>45290</v>
      </c>
      <c r="L723" s="8">
        <f t="shared" si="69"/>
        <v>3.0413238815524038E-3</v>
      </c>
      <c r="M723" s="5">
        <v>45290</v>
      </c>
      <c r="N723" s="9">
        <f t="shared" si="66"/>
        <v>3.801316070455636E-3</v>
      </c>
      <c r="O723" s="5">
        <v>45290</v>
      </c>
      <c r="P723">
        <f t="shared" si="67"/>
        <v>0.99919794210389057</v>
      </c>
      <c r="Q723" s="6">
        <f t="shared" si="70"/>
        <v>0.99995000249987487</v>
      </c>
      <c r="R723">
        <f t="shared" si="71"/>
        <v>-7.5238096659262905E-4</v>
      </c>
      <c r="T723" s="5">
        <v>45290</v>
      </c>
      <c r="U723" s="1">
        <v>-7.5238096659262905E-4</v>
      </c>
    </row>
    <row r="724" spans="3:21" x14ac:dyDescent="0.2">
      <c r="C724" s="5">
        <v>45291</v>
      </c>
      <c r="D724" s="6">
        <v>0.99992000000000003</v>
      </c>
      <c r="E724" s="6">
        <v>42324.800000000003</v>
      </c>
      <c r="F724" s="6">
        <v>42408.19</v>
      </c>
      <c r="G724" s="6">
        <v>42302</v>
      </c>
      <c r="H724" s="6">
        <v>42284</v>
      </c>
      <c r="I724" s="5">
        <v>45291</v>
      </c>
      <c r="J724" s="7">
        <f t="shared" si="68"/>
        <v>9.6490398259395772E-4</v>
      </c>
      <c r="K724" s="5">
        <v>45291</v>
      </c>
      <c r="L724" s="8">
        <f t="shared" si="69"/>
        <v>2.5102832017399254E-3</v>
      </c>
      <c r="M724" s="5">
        <v>45291</v>
      </c>
      <c r="N724" s="9">
        <f t="shared" si="66"/>
        <v>3.475187184333883E-3</v>
      </c>
      <c r="O724" s="5">
        <v>45291</v>
      </c>
      <c r="P724">
        <f t="shared" si="67"/>
        <v>0.99957448820386741</v>
      </c>
      <c r="Q724" s="6">
        <f t="shared" si="70"/>
        <v>1.000080006400512</v>
      </c>
      <c r="R724">
        <f t="shared" si="71"/>
        <v>-5.0560555213681848E-4</v>
      </c>
      <c r="T724" s="5">
        <v>45291</v>
      </c>
      <c r="U724" s="1">
        <v>-5.0560555213681848E-4</v>
      </c>
    </row>
    <row r="725" spans="3:21" x14ac:dyDescent="0.2">
      <c r="C725" s="5">
        <v>45292</v>
      </c>
      <c r="D725" s="6">
        <v>1.00027</v>
      </c>
      <c r="E725" s="6">
        <v>44235.5</v>
      </c>
      <c r="F725" s="6">
        <v>44269.58</v>
      </c>
      <c r="G725" s="6">
        <v>44249.5</v>
      </c>
      <c r="H725" s="6">
        <v>44175</v>
      </c>
      <c r="I725" s="5">
        <v>45292</v>
      </c>
      <c r="J725" s="7">
        <f t="shared" si="68"/>
        <v>1.3695529145444257E-3</v>
      </c>
      <c r="K725" s="5">
        <v>45292</v>
      </c>
      <c r="L725" s="8">
        <f t="shared" si="69"/>
        <v>4.5379043831007685E-4</v>
      </c>
      <c r="M725" s="5">
        <v>45292</v>
      </c>
      <c r="N725" s="9">
        <f t="shared" si="66"/>
        <v>1.8233433528545024E-3</v>
      </c>
      <c r="O725" s="5">
        <v>45292</v>
      </c>
      <c r="P725">
        <f t="shared" si="67"/>
        <v>0.99831636515666844</v>
      </c>
      <c r="Q725" s="6">
        <f t="shared" si="70"/>
        <v>0.99973007288032234</v>
      </c>
      <c r="R725">
        <f t="shared" si="71"/>
        <v>-1.4150901927514556E-3</v>
      </c>
      <c r="T725" s="5">
        <v>45292</v>
      </c>
      <c r="U725" s="1">
        <v>-1.4150901927514556E-3</v>
      </c>
    </row>
    <row r="726" spans="3:21" x14ac:dyDescent="0.2">
      <c r="C726" s="5">
        <v>45293</v>
      </c>
      <c r="D726" s="6">
        <v>1.0003200000000001</v>
      </c>
      <c r="E726" s="6">
        <v>44989</v>
      </c>
      <c r="F726" s="6">
        <v>45016.87</v>
      </c>
      <c r="G726" s="6">
        <v>45015.5</v>
      </c>
      <c r="H726" s="6">
        <v>44950.95</v>
      </c>
      <c r="I726" s="5">
        <v>45293</v>
      </c>
      <c r="J726" s="7">
        <f t="shared" si="68"/>
        <v>8.4647821681194536E-4</v>
      </c>
      <c r="K726" s="5">
        <v>45293</v>
      </c>
      <c r="L726" s="8">
        <f t="shared" si="69"/>
        <v>3.0433961635494872E-5</v>
      </c>
      <c r="M726" s="5">
        <v>45293</v>
      </c>
      <c r="N726" s="9">
        <f t="shared" si="66"/>
        <v>8.7691217844744018E-4</v>
      </c>
      <c r="O726" s="5">
        <v>45293</v>
      </c>
      <c r="P726">
        <f t="shared" si="67"/>
        <v>0.99856604947184846</v>
      </c>
      <c r="Q726" s="6">
        <f t="shared" si="70"/>
        <v>0.99968010236724236</v>
      </c>
      <c r="R726">
        <f t="shared" si="71"/>
        <v>-1.1150308081846333E-3</v>
      </c>
      <c r="T726" s="5">
        <v>45293</v>
      </c>
      <c r="U726" s="1">
        <v>-1.1150308081846333E-3</v>
      </c>
    </row>
    <row r="727" spans="3:21" x14ac:dyDescent="0.2">
      <c r="C727" s="5">
        <v>45294</v>
      </c>
      <c r="D727" s="6">
        <v>1.00044</v>
      </c>
      <c r="E727" s="6">
        <v>42871.9</v>
      </c>
      <c r="F727" s="6">
        <v>43028.33</v>
      </c>
      <c r="G727" s="6">
        <v>42854.5</v>
      </c>
      <c r="H727" s="6">
        <v>42842</v>
      </c>
      <c r="I727" s="5">
        <v>45294</v>
      </c>
      <c r="J727" s="7">
        <f t="shared" si="68"/>
        <v>6.9791326268618312E-4</v>
      </c>
      <c r="K727" s="5">
        <v>45294</v>
      </c>
      <c r="L727" s="8">
        <f t="shared" si="69"/>
        <v>4.0562834708140743E-3</v>
      </c>
      <c r="M727" s="5">
        <v>45294</v>
      </c>
      <c r="N727" s="9">
        <f t="shared" si="66"/>
        <v>4.7541967335002575E-3</v>
      </c>
      <c r="O727" s="5">
        <v>45294</v>
      </c>
      <c r="P727">
        <f t="shared" si="67"/>
        <v>0.99970831534611304</v>
      </c>
      <c r="Q727" s="6">
        <f t="shared" si="70"/>
        <v>0.99956019351485348</v>
      </c>
      <c r="R727">
        <f t="shared" si="71"/>
        <v>1.4817602625578034E-4</v>
      </c>
      <c r="T727" s="5">
        <v>45294</v>
      </c>
      <c r="U727" s="1">
        <v>1.4817602625578034E-4</v>
      </c>
    </row>
    <row r="728" spans="3:21" x14ac:dyDescent="0.2">
      <c r="C728" s="5">
        <v>45295</v>
      </c>
      <c r="D728" s="6">
        <v>1.00092</v>
      </c>
      <c r="E728" s="6">
        <v>44156.3</v>
      </c>
      <c r="F728" s="6">
        <v>44263.69</v>
      </c>
      <c r="G728" s="6">
        <v>44146</v>
      </c>
      <c r="H728" s="6">
        <v>44151.199999999997</v>
      </c>
      <c r="I728" s="5">
        <v>45295</v>
      </c>
      <c r="J728" s="7">
        <f t="shared" si="68"/>
        <v>1.1551214916029057E-4</v>
      </c>
      <c r="K728" s="5">
        <v>45295</v>
      </c>
      <c r="L728" s="8">
        <f t="shared" si="69"/>
        <v>2.6659266977756158E-3</v>
      </c>
      <c r="M728" s="5">
        <v>45295</v>
      </c>
      <c r="N728" s="9">
        <f t="shared" si="66"/>
        <v>2.7814388469359062E-3</v>
      </c>
      <c r="O728" s="5">
        <v>45295</v>
      </c>
      <c r="P728">
        <f t="shared" si="67"/>
        <v>1.000117790966339</v>
      </c>
      <c r="Q728" s="6">
        <f t="shared" si="70"/>
        <v>0.9990808456220277</v>
      </c>
      <c r="R728">
        <f t="shared" si="71"/>
        <v>1.0373610889116082E-3</v>
      </c>
      <c r="T728" s="5">
        <v>45295</v>
      </c>
      <c r="U728" s="1">
        <v>1.0373610889116082E-3</v>
      </c>
    </row>
    <row r="729" spans="3:21" x14ac:dyDescent="0.2">
      <c r="C729" s="5">
        <v>45296</v>
      </c>
      <c r="D729" s="6">
        <v>1.00078</v>
      </c>
      <c r="E729" s="6">
        <v>44156.800000000003</v>
      </c>
      <c r="F729" s="6">
        <v>44264.01</v>
      </c>
      <c r="G729" s="6">
        <v>44159.5</v>
      </c>
      <c r="H729" s="6">
        <v>44147.05</v>
      </c>
      <c r="I729" s="5">
        <v>45296</v>
      </c>
      <c r="J729" s="7">
        <f t="shared" si="68"/>
        <v>2.2085280896458537E-4</v>
      </c>
      <c r="K729" s="5">
        <v>45296</v>
      </c>
      <c r="L729" s="8">
        <f t="shared" si="69"/>
        <v>2.3666481730998321E-3</v>
      </c>
      <c r="M729" s="5">
        <v>45296</v>
      </c>
      <c r="N729" s="9">
        <f t="shared" si="66"/>
        <v>2.5875009820644176E-3</v>
      </c>
      <c r="O729" s="5">
        <v>45296</v>
      </c>
      <c r="P729">
        <f t="shared" si="67"/>
        <v>0.99971806746000302</v>
      </c>
      <c r="Q729" s="6">
        <f t="shared" si="70"/>
        <v>0.99922060792581791</v>
      </c>
      <c r="R729">
        <f t="shared" si="71"/>
        <v>4.9772366764452359E-4</v>
      </c>
      <c r="T729" s="5">
        <v>45296</v>
      </c>
      <c r="U729" s="1">
        <v>4.9772366764452359E-4</v>
      </c>
    </row>
    <row r="730" spans="3:21" x14ac:dyDescent="0.2">
      <c r="C730" s="5">
        <v>45297</v>
      </c>
      <c r="D730" s="6">
        <v>1.00054</v>
      </c>
      <c r="E730" s="6">
        <v>43972.4</v>
      </c>
      <c r="F730" s="6">
        <v>44124.89</v>
      </c>
      <c r="G730" s="6">
        <v>43967.5</v>
      </c>
      <c r="H730" s="6">
        <v>43970</v>
      </c>
      <c r="I730" s="5">
        <v>45297</v>
      </c>
      <c r="J730" s="7">
        <f t="shared" si="68"/>
        <v>5.4582670002307372E-5</v>
      </c>
      <c r="K730" s="5">
        <v>45297</v>
      </c>
      <c r="L730" s="8">
        <f t="shared" si="69"/>
        <v>3.579689543412735E-3</v>
      </c>
      <c r="M730" s="5">
        <v>45297</v>
      </c>
      <c r="N730" s="9">
        <f t="shared" si="66"/>
        <v>3.6342722134150422E-3</v>
      </c>
      <c r="O730" s="5">
        <v>45297</v>
      </c>
      <c r="P730">
        <f t="shared" si="67"/>
        <v>1.0000568601808153</v>
      </c>
      <c r="Q730" s="6">
        <f t="shared" si="70"/>
        <v>0.99946029144262105</v>
      </c>
      <c r="R730">
        <f t="shared" si="71"/>
        <v>5.9671281680320049E-4</v>
      </c>
      <c r="T730" s="5">
        <v>45297</v>
      </c>
      <c r="U730" s="1">
        <v>5.9671281680320049E-4</v>
      </c>
    </row>
    <row r="731" spans="3:21" x14ac:dyDescent="0.2">
      <c r="C731" s="5">
        <v>45298</v>
      </c>
      <c r="D731" s="6">
        <v>1.0005999999999999</v>
      </c>
      <c r="E731" s="6">
        <v>43936.2</v>
      </c>
      <c r="F731" s="6">
        <v>44055.41</v>
      </c>
      <c r="G731" s="6">
        <v>43925</v>
      </c>
      <c r="H731" s="6">
        <v>43930</v>
      </c>
      <c r="I731" s="5">
        <v>45298</v>
      </c>
      <c r="J731" s="7">
        <f t="shared" si="68"/>
        <v>1.4113362167077372E-4</v>
      </c>
      <c r="K731" s="5">
        <v>45298</v>
      </c>
      <c r="L731" s="8">
        <f t="shared" si="69"/>
        <v>2.9689243027889241E-3</v>
      </c>
      <c r="M731" s="5">
        <v>45298</v>
      </c>
      <c r="N731" s="9">
        <f t="shared" si="66"/>
        <v>3.1100579244596979E-3</v>
      </c>
      <c r="O731" s="5">
        <v>45298</v>
      </c>
      <c r="P731">
        <f t="shared" si="67"/>
        <v>1.0001138303927148</v>
      </c>
      <c r="Q731" s="6">
        <f t="shared" si="70"/>
        <v>0.99940035978412955</v>
      </c>
      <c r="R731">
        <f t="shared" si="71"/>
        <v>7.1364398649494847E-4</v>
      </c>
      <c r="T731" s="5">
        <v>45298</v>
      </c>
      <c r="U731" s="1">
        <v>7.1364398649494847E-4</v>
      </c>
    </row>
    <row r="732" spans="3:21" x14ac:dyDescent="0.2">
      <c r="C732" s="5">
        <v>45299</v>
      </c>
      <c r="D732" s="6">
        <v>1.00085</v>
      </c>
      <c r="E732" s="6">
        <v>46972.800000000003</v>
      </c>
      <c r="F732" s="6">
        <v>47018.879999999997</v>
      </c>
      <c r="G732" s="6">
        <v>46971.5</v>
      </c>
      <c r="H732" s="6">
        <v>46949.87</v>
      </c>
      <c r="I732" s="5">
        <v>45299</v>
      </c>
      <c r="J732" s="7">
        <f t="shared" si="68"/>
        <v>4.8839325859688831E-4</v>
      </c>
      <c r="K732" s="5">
        <v>45299</v>
      </c>
      <c r="L732" s="8">
        <f t="shared" si="69"/>
        <v>1.0086967629306576E-3</v>
      </c>
      <c r="M732" s="5">
        <v>45299</v>
      </c>
      <c r="N732" s="9">
        <f t="shared" si="66"/>
        <v>1.4970900215275458E-3</v>
      </c>
      <c r="O732" s="5">
        <v>45299</v>
      </c>
      <c r="P732">
        <f t="shared" si="67"/>
        <v>0.99953950799953162</v>
      </c>
      <c r="Q732" s="6">
        <f t="shared" si="70"/>
        <v>0.99915072188639653</v>
      </c>
      <c r="R732">
        <f t="shared" si="71"/>
        <v>3.890408951075012E-4</v>
      </c>
      <c r="T732" s="5">
        <v>45299</v>
      </c>
      <c r="U732" s="1">
        <v>3.890408951075012E-4</v>
      </c>
    </row>
    <row r="733" spans="3:21" x14ac:dyDescent="0.2">
      <c r="C733" s="5">
        <v>45300</v>
      </c>
      <c r="D733" s="6">
        <v>1.0002</v>
      </c>
      <c r="E733" s="6">
        <v>46128</v>
      </c>
      <c r="F733" s="6">
        <v>46193.03</v>
      </c>
      <c r="G733" s="6">
        <v>46119.5</v>
      </c>
      <c r="H733" s="6">
        <v>46110.77</v>
      </c>
      <c r="I733" s="5">
        <v>45300</v>
      </c>
      <c r="J733" s="7">
        <f t="shared" si="68"/>
        <v>3.7366541482615023E-4</v>
      </c>
      <c r="K733" s="5">
        <v>45300</v>
      </c>
      <c r="L733" s="8">
        <f t="shared" si="69"/>
        <v>1.5943364520430367E-3</v>
      </c>
      <c r="M733" s="5">
        <v>45300</v>
      </c>
      <c r="N733" s="9">
        <f t="shared" si="66"/>
        <v>1.9680018668691871E-3</v>
      </c>
      <c r="O733" s="5">
        <v>45300</v>
      </c>
      <c r="P733">
        <f t="shared" si="67"/>
        <v>0.99981070913604875</v>
      </c>
      <c r="Q733" s="6">
        <f t="shared" si="70"/>
        <v>0.99980003999200162</v>
      </c>
      <c r="R733">
        <f t="shared" si="71"/>
        <v>1.0671220938336938E-5</v>
      </c>
      <c r="T733" s="5">
        <v>45300</v>
      </c>
      <c r="U733" s="1">
        <v>1.0671220938336938E-5</v>
      </c>
    </row>
    <row r="734" spans="3:21" x14ac:dyDescent="0.2">
      <c r="C734" s="5">
        <v>45301</v>
      </c>
      <c r="D734" s="6">
        <v>1.00034</v>
      </c>
      <c r="E734" s="6">
        <v>46659.9</v>
      </c>
      <c r="F734" s="6">
        <v>46715.83</v>
      </c>
      <c r="G734" s="6">
        <v>46678.5</v>
      </c>
      <c r="H734" s="6">
        <v>46650.28</v>
      </c>
      <c r="I734" s="5">
        <v>45301</v>
      </c>
      <c r="J734" s="7">
        <f t="shared" si="68"/>
        <v>2.0621526816136195E-4</v>
      </c>
      <c r="K734" s="5">
        <v>45301</v>
      </c>
      <c r="L734" s="8">
        <f t="shared" si="69"/>
        <v>7.9972578381914039E-4</v>
      </c>
      <c r="M734" s="5">
        <v>45301</v>
      </c>
      <c r="N734" s="9">
        <f t="shared" si="66"/>
        <v>1.0059410519805024E-3</v>
      </c>
      <c r="O734" s="5">
        <v>45301</v>
      </c>
      <c r="P734">
        <f t="shared" si="67"/>
        <v>0.99939543901367867</v>
      </c>
      <c r="Q734" s="6">
        <f t="shared" si="70"/>
        <v>0.99966011556070933</v>
      </c>
      <c r="R734">
        <f t="shared" si="71"/>
        <v>-2.6480159390427792E-4</v>
      </c>
      <c r="T734" s="5">
        <v>45301</v>
      </c>
      <c r="U734" s="1">
        <v>-2.6480159390427792E-4</v>
      </c>
    </row>
    <row r="735" spans="3:21" x14ac:dyDescent="0.2">
      <c r="C735" s="5">
        <v>45302</v>
      </c>
      <c r="D735" s="6">
        <v>1.0001100000000001</v>
      </c>
      <c r="E735" s="6">
        <v>46347.7</v>
      </c>
      <c r="F735" s="6">
        <v>46422.16</v>
      </c>
      <c r="G735" s="6">
        <v>46350.5</v>
      </c>
      <c r="H735" s="6">
        <v>46342</v>
      </c>
      <c r="I735" s="5">
        <v>45302</v>
      </c>
      <c r="J735" s="7">
        <f t="shared" si="68"/>
        <v>1.2299857580590155E-4</v>
      </c>
      <c r="K735" s="5">
        <v>45302</v>
      </c>
      <c r="L735" s="8">
        <f t="shared" si="69"/>
        <v>1.5460458894726809E-3</v>
      </c>
      <c r="M735" s="5">
        <v>45302</v>
      </c>
      <c r="N735" s="9">
        <f t="shared" si="66"/>
        <v>1.6690444652785823E-3</v>
      </c>
      <c r="O735" s="5">
        <v>45302</v>
      </c>
      <c r="P735">
        <f t="shared" si="67"/>
        <v>0.9998166147075005</v>
      </c>
      <c r="Q735" s="6">
        <f t="shared" si="70"/>
        <v>0.99989001209866912</v>
      </c>
      <c r="R735">
        <f t="shared" si="71"/>
        <v>-7.3408159194649134E-5</v>
      </c>
      <c r="T735" s="5">
        <v>45302</v>
      </c>
      <c r="U735" s="1">
        <v>-7.3408159194649134E-5</v>
      </c>
    </row>
    <row r="736" spans="3:21" x14ac:dyDescent="0.2">
      <c r="C736" s="5">
        <v>45303</v>
      </c>
      <c r="D736" s="6">
        <v>0.99970999999999999</v>
      </c>
      <c r="E736" s="6">
        <v>42797.9</v>
      </c>
      <c r="F736" s="6">
        <v>42906.64</v>
      </c>
      <c r="G736" s="6">
        <v>42750</v>
      </c>
      <c r="H736" s="6">
        <v>42784</v>
      </c>
      <c r="I736" s="5">
        <v>45303</v>
      </c>
      <c r="J736" s="7">
        <f t="shared" si="68"/>
        <v>3.2488780852658601E-4</v>
      </c>
      <c r="K736" s="5">
        <v>45303</v>
      </c>
      <c r="L736" s="8">
        <f t="shared" si="69"/>
        <v>3.6640935672514483E-3</v>
      </c>
      <c r="M736" s="5">
        <v>45303</v>
      </c>
      <c r="N736" s="9">
        <f t="shared" si="66"/>
        <v>3.9889813757780345E-3</v>
      </c>
      <c r="O736" s="5">
        <v>45303</v>
      </c>
      <c r="P736">
        <f t="shared" si="67"/>
        <v>1.000795321637427</v>
      </c>
      <c r="Q736" s="6">
        <f t="shared" si="70"/>
        <v>1.000290084124396</v>
      </c>
      <c r="R736">
        <f t="shared" si="71"/>
        <v>5.0496347863215776E-4</v>
      </c>
      <c r="T736" s="5">
        <v>45303</v>
      </c>
      <c r="U736" s="1">
        <v>5.0496347863215776E-4</v>
      </c>
    </row>
    <row r="737" spans="3:21" x14ac:dyDescent="0.2">
      <c r="C737" s="5">
        <v>45304</v>
      </c>
      <c r="D737" s="6">
        <v>0.99987999999999999</v>
      </c>
      <c r="E737" s="6">
        <v>42855</v>
      </c>
      <c r="F737" s="6">
        <v>42996.2</v>
      </c>
      <c r="G737" s="6">
        <v>42829.5</v>
      </c>
      <c r="H737" s="6">
        <v>42842.34</v>
      </c>
      <c r="I737" s="5">
        <v>45304</v>
      </c>
      <c r="J737" s="7">
        <f t="shared" si="68"/>
        <v>2.9550206641382084E-4</v>
      </c>
      <c r="K737" s="5">
        <v>45304</v>
      </c>
      <c r="L737" s="8">
        <f t="shared" si="69"/>
        <v>3.8921771209095854E-3</v>
      </c>
      <c r="M737" s="5">
        <v>45304</v>
      </c>
      <c r="N737" s="9">
        <f t="shared" si="66"/>
        <v>4.1876791873234065E-3</v>
      </c>
      <c r="O737" s="5">
        <v>45304</v>
      </c>
      <c r="P737">
        <f t="shared" si="67"/>
        <v>1.0002997933667215</v>
      </c>
      <c r="Q737" s="6">
        <f t="shared" si="70"/>
        <v>1.0001200144017282</v>
      </c>
      <c r="R737">
        <f t="shared" si="71"/>
        <v>1.7974123709341871E-4</v>
      </c>
      <c r="T737" s="5">
        <v>45304</v>
      </c>
      <c r="U737" s="1">
        <v>1.7974123709341871E-4</v>
      </c>
    </row>
    <row r="738" spans="3:21" x14ac:dyDescent="0.2">
      <c r="C738" s="5">
        <v>45305</v>
      </c>
      <c r="D738" s="6">
        <v>0.99931999999999999</v>
      </c>
      <c r="E738" s="6">
        <v>41731</v>
      </c>
      <c r="F738" s="6">
        <v>41792.51</v>
      </c>
      <c r="G738" s="6">
        <v>41675</v>
      </c>
      <c r="H738" s="6">
        <v>41732</v>
      </c>
      <c r="I738" s="5">
        <v>45305</v>
      </c>
      <c r="J738" s="7">
        <f t="shared" si="68"/>
        <v>-2.396242691459791E-5</v>
      </c>
      <c r="K738" s="5">
        <v>45305</v>
      </c>
      <c r="L738" s="8">
        <f t="shared" si="69"/>
        <v>2.8196760647870916E-3</v>
      </c>
      <c r="M738" s="5">
        <v>45305</v>
      </c>
      <c r="N738" s="9">
        <f t="shared" si="66"/>
        <v>2.7957136378724936E-3</v>
      </c>
      <c r="O738" s="5">
        <v>45305</v>
      </c>
      <c r="P738">
        <f t="shared" si="67"/>
        <v>1.0013677264547092</v>
      </c>
      <c r="Q738" s="6">
        <f t="shared" si="70"/>
        <v>1.0006804627146459</v>
      </c>
      <c r="R738">
        <f t="shared" si="71"/>
        <v>6.8656066400122609E-4</v>
      </c>
      <c r="T738" s="5">
        <v>45305</v>
      </c>
      <c r="U738" s="1">
        <v>6.8656066400122609E-4</v>
      </c>
    </row>
    <row r="739" spans="3:21" x14ac:dyDescent="0.2">
      <c r="C739" s="5">
        <v>45306</v>
      </c>
      <c r="D739" s="6">
        <v>0.99929999999999997</v>
      </c>
      <c r="E739" s="6">
        <v>42508.1</v>
      </c>
      <c r="F739" s="6">
        <v>42526.01</v>
      </c>
      <c r="G739" s="6">
        <v>42476</v>
      </c>
      <c r="H739" s="6">
        <v>42516.28</v>
      </c>
      <c r="I739" s="5">
        <v>45306</v>
      </c>
      <c r="J739" s="7">
        <f t="shared" si="68"/>
        <v>-1.9239688890938464E-4</v>
      </c>
      <c r="K739" s="5">
        <v>45306</v>
      </c>
      <c r="L739" s="8">
        <f t="shared" si="69"/>
        <v>1.1773707505415303E-3</v>
      </c>
      <c r="M739" s="5">
        <v>45306</v>
      </c>
      <c r="N739" s="9">
        <f t="shared" si="66"/>
        <v>9.8497386163214551E-4</v>
      </c>
      <c r="O739" s="5">
        <v>45306</v>
      </c>
      <c r="P739">
        <f t="shared" si="67"/>
        <v>1.0009483002165929</v>
      </c>
      <c r="Q739" s="6">
        <f t="shared" si="70"/>
        <v>1.0007004903432404</v>
      </c>
      <c r="R739">
        <f t="shared" si="71"/>
        <v>2.47605749607373E-4</v>
      </c>
      <c r="T739" s="5">
        <v>45306</v>
      </c>
      <c r="U739" s="1">
        <v>2.47605749607373E-4</v>
      </c>
    </row>
    <row r="740" spans="3:21" x14ac:dyDescent="0.2">
      <c r="C740" s="5">
        <v>45307</v>
      </c>
      <c r="D740" s="6">
        <v>0.99973999999999996</v>
      </c>
      <c r="E740" s="6">
        <v>43128.1</v>
      </c>
      <c r="F740" s="6">
        <v>43187.86</v>
      </c>
      <c r="G740" s="6">
        <v>43100.5</v>
      </c>
      <c r="H740" s="6">
        <v>43140</v>
      </c>
      <c r="I740" s="5">
        <v>45307</v>
      </c>
      <c r="J740" s="7">
        <f t="shared" si="68"/>
        <v>-2.7584608252205505E-4</v>
      </c>
      <c r="K740" s="5">
        <v>45307</v>
      </c>
      <c r="L740" s="8">
        <f t="shared" si="69"/>
        <v>2.0268906393197429E-3</v>
      </c>
      <c r="M740" s="5">
        <v>45307</v>
      </c>
      <c r="N740" s="9">
        <f t="shared" si="66"/>
        <v>1.7510445567976878E-3</v>
      </c>
      <c r="O740" s="5">
        <v>45307</v>
      </c>
      <c r="P740">
        <f t="shared" si="67"/>
        <v>1.0009164626860478</v>
      </c>
      <c r="Q740" s="6">
        <f t="shared" si="70"/>
        <v>1.0002600676175806</v>
      </c>
      <c r="R740">
        <f t="shared" si="71"/>
        <v>6.5600918466458271E-4</v>
      </c>
      <c r="T740" s="5">
        <v>45307</v>
      </c>
      <c r="U740" s="1">
        <v>6.5600918466458271E-4</v>
      </c>
    </row>
    <row r="741" spans="3:21" x14ac:dyDescent="0.2">
      <c r="C741" s="5">
        <v>45308</v>
      </c>
      <c r="D741" s="6">
        <v>0.99907999999999997</v>
      </c>
      <c r="E741" s="6">
        <v>42782.1</v>
      </c>
      <c r="F741" s="6">
        <v>42795.42</v>
      </c>
      <c r="G741" s="6">
        <v>42718.5</v>
      </c>
      <c r="H741" s="6">
        <v>42774</v>
      </c>
      <c r="I741" s="5">
        <v>45308</v>
      </c>
      <c r="J741" s="7">
        <f t="shared" si="68"/>
        <v>1.8936737270300988E-4</v>
      </c>
      <c r="K741" s="5">
        <v>45308</v>
      </c>
      <c r="L741" s="8">
        <f t="shared" si="69"/>
        <v>1.8006250219459543E-3</v>
      </c>
      <c r="M741" s="5">
        <v>45308</v>
      </c>
      <c r="N741" s="9">
        <f t="shared" si="66"/>
        <v>1.989992394648964E-3</v>
      </c>
      <c r="O741" s="5">
        <v>45308</v>
      </c>
      <c r="P741">
        <f t="shared" si="67"/>
        <v>1.0012992029214509</v>
      </c>
      <c r="Q741" s="6">
        <f t="shared" si="70"/>
        <v>1.0009208471794051</v>
      </c>
      <c r="R741">
        <f t="shared" si="71"/>
        <v>3.7793622786888033E-4</v>
      </c>
      <c r="T741" s="5">
        <v>45308</v>
      </c>
      <c r="U741" s="1">
        <v>3.7793622786888033E-4</v>
      </c>
    </row>
    <row r="742" spans="3:21" x14ac:dyDescent="0.2">
      <c r="C742" s="5">
        <v>45309</v>
      </c>
      <c r="D742" s="6">
        <v>0.99909000000000003</v>
      </c>
      <c r="E742" s="6">
        <v>41330.5</v>
      </c>
      <c r="F742" s="6">
        <v>41334.22</v>
      </c>
      <c r="G742" s="6">
        <v>41265.5</v>
      </c>
      <c r="H742" s="6">
        <v>41323.160000000003</v>
      </c>
      <c r="I742" s="5">
        <v>45309</v>
      </c>
      <c r="J742" s="7">
        <f t="shared" si="68"/>
        <v>1.7762436367394234E-4</v>
      </c>
      <c r="K742" s="5">
        <v>45309</v>
      </c>
      <c r="L742" s="8">
        <f t="shared" si="69"/>
        <v>1.6653136397232838E-3</v>
      </c>
      <c r="M742" s="5">
        <v>45309</v>
      </c>
      <c r="N742" s="9">
        <f t="shared" si="66"/>
        <v>1.8429380033972262E-3</v>
      </c>
      <c r="O742" s="5">
        <v>45309</v>
      </c>
      <c r="P742">
        <f t="shared" si="67"/>
        <v>1.0013972931383359</v>
      </c>
      <c r="Q742" s="6">
        <f t="shared" si="70"/>
        <v>1.0009108288542574</v>
      </c>
      <c r="R742">
        <f t="shared" si="71"/>
        <v>4.8590353133637571E-4</v>
      </c>
      <c r="T742" s="5">
        <v>45309</v>
      </c>
      <c r="U742" s="1">
        <v>4.8590353133637571E-4</v>
      </c>
    </row>
    <row r="743" spans="3:21" x14ac:dyDescent="0.2">
      <c r="C743" s="5">
        <v>45310</v>
      </c>
      <c r="D743" s="6">
        <v>0.99912999999999996</v>
      </c>
      <c r="E743" s="6">
        <v>41663</v>
      </c>
      <c r="F743" s="6">
        <v>41685.85</v>
      </c>
      <c r="G743" s="6">
        <v>41612.5</v>
      </c>
      <c r="H743" s="6">
        <v>41659.89</v>
      </c>
      <c r="I743" s="5">
        <v>45310</v>
      </c>
      <c r="J743" s="7">
        <f t="shared" si="68"/>
        <v>7.4652141424295224E-5</v>
      </c>
      <c r="K743" s="5">
        <v>45310</v>
      </c>
      <c r="L743" s="8">
        <f t="shared" si="69"/>
        <v>1.7626914989485982E-3</v>
      </c>
      <c r="M743" s="5">
        <v>45310</v>
      </c>
      <c r="N743" s="9">
        <f t="shared" si="66"/>
        <v>1.8373436403728933E-3</v>
      </c>
      <c r="O743" s="5">
        <v>45310</v>
      </c>
      <c r="P743">
        <f t="shared" si="67"/>
        <v>1.0011388404926405</v>
      </c>
      <c r="Q743" s="6">
        <f t="shared" si="70"/>
        <v>1.0008707575590765</v>
      </c>
      <c r="R743">
        <f t="shared" si="71"/>
        <v>2.6781383608462183E-4</v>
      </c>
      <c r="T743" s="5">
        <v>45310</v>
      </c>
      <c r="U743" s="1">
        <v>2.6781383608462183E-4</v>
      </c>
    </row>
    <row r="744" spans="3:21" x14ac:dyDescent="0.2">
      <c r="C744" s="5">
        <v>45311</v>
      </c>
      <c r="D744" s="6">
        <v>0.99926999999999999</v>
      </c>
      <c r="E744" s="6">
        <v>41691.9</v>
      </c>
      <c r="F744" s="6">
        <v>41740.42</v>
      </c>
      <c r="G744" s="6">
        <v>41646</v>
      </c>
      <c r="H744" s="6">
        <v>41694.9</v>
      </c>
      <c r="I744" s="5">
        <v>45311</v>
      </c>
      <c r="J744" s="7">
        <f t="shared" si="68"/>
        <v>-7.1951245835821646E-5</v>
      </c>
      <c r="K744" s="5">
        <v>45311</v>
      </c>
      <c r="L744" s="8">
        <f t="shared" si="69"/>
        <v>2.2672045334485484E-3</v>
      </c>
      <c r="M744" s="5">
        <v>45311</v>
      </c>
      <c r="N744" s="9">
        <f t="shared" si="66"/>
        <v>2.1952532876127269E-3</v>
      </c>
      <c r="O744" s="5">
        <v>45311</v>
      </c>
      <c r="P744">
        <f t="shared" si="67"/>
        <v>1.0011741823944675</v>
      </c>
      <c r="Q744" s="6">
        <f t="shared" si="70"/>
        <v>1.0007305332893013</v>
      </c>
      <c r="R744">
        <f t="shared" si="71"/>
        <v>4.4322700171826537E-4</v>
      </c>
      <c r="T744" s="5">
        <v>45311</v>
      </c>
      <c r="U744" s="1">
        <v>4.4322700171826537E-4</v>
      </c>
    </row>
    <row r="745" spans="3:21" x14ac:dyDescent="0.2">
      <c r="C745" s="5">
        <v>45312</v>
      </c>
      <c r="D745" s="6">
        <v>0.99939</v>
      </c>
      <c r="E745" s="6">
        <v>41585.599999999999</v>
      </c>
      <c r="F745" s="6">
        <v>41606.69</v>
      </c>
      <c r="G745" s="6">
        <v>41580</v>
      </c>
      <c r="H745" s="6">
        <v>41583.54</v>
      </c>
      <c r="I745" s="5">
        <v>45312</v>
      </c>
      <c r="J745" s="7">
        <f t="shared" si="68"/>
        <v>4.9538831951240123E-5</v>
      </c>
      <c r="K745" s="5">
        <v>45312</v>
      </c>
      <c r="L745" s="8">
        <f t="shared" si="69"/>
        <v>6.4189514189519792E-4</v>
      </c>
      <c r="M745" s="5">
        <v>45312</v>
      </c>
      <c r="N745" s="9">
        <f t="shared" si="66"/>
        <v>6.9143397384643804E-4</v>
      </c>
      <c r="O745" s="5">
        <v>45312</v>
      </c>
      <c r="P745">
        <f t="shared" si="67"/>
        <v>1.0000851370851371</v>
      </c>
      <c r="Q745" s="6">
        <f t="shared" si="70"/>
        <v>1.0006103723271196</v>
      </c>
      <c r="R745">
        <f t="shared" si="71"/>
        <v>-5.2505266451380219E-4</v>
      </c>
      <c r="T745" s="5">
        <v>45312</v>
      </c>
      <c r="U745" s="1">
        <v>-5.2505266451380219E-4</v>
      </c>
    </row>
    <row r="746" spans="3:21" x14ac:dyDescent="0.2">
      <c r="C746" s="5">
        <v>45313</v>
      </c>
      <c r="D746" s="6">
        <v>0.99892999999999998</v>
      </c>
      <c r="E746" s="6">
        <v>39559.300000000003</v>
      </c>
      <c r="F746" s="6">
        <v>39573.68</v>
      </c>
      <c r="G746" s="6">
        <v>39512</v>
      </c>
      <c r="H746" s="6">
        <v>39566</v>
      </c>
      <c r="I746" s="5">
        <v>45313</v>
      </c>
      <c r="J746" s="7">
        <f t="shared" si="68"/>
        <v>-1.6933730981138071E-4</v>
      </c>
      <c r="K746" s="5">
        <v>45313</v>
      </c>
      <c r="L746" s="8">
        <f t="shared" si="69"/>
        <v>1.5610447458999871E-3</v>
      </c>
      <c r="M746" s="5">
        <v>45313</v>
      </c>
      <c r="N746" s="9">
        <f t="shared" si="66"/>
        <v>1.3917074360886065E-3</v>
      </c>
      <c r="O746" s="5">
        <v>45313</v>
      </c>
      <c r="P746">
        <f t="shared" si="67"/>
        <v>1.0013666734156712</v>
      </c>
      <c r="Q746" s="6">
        <f t="shared" si="70"/>
        <v>1.0010711461263553</v>
      </c>
      <c r="R746">
        <f t="shared" si="71"/>
        <v>2.9516750890093679E-4</v>
      </c>
      <c r="T746" s="5">
        <v>45313</v>
      </c>
      <c r="U746" s="1">
        <v>2.9516750890093679E-4</v>
      </c>
    </row>
    <row r="747" spans="3:21" x14ac:dyDescent="0.2">
      <c r="C747" s="5">
        <v>45314</v>
      </c>
      <c r="D747" s="6">
        <v>0.99924000000000002</v>
      </c>
      <c r="E747" s="6">
        <v>39900.1</v>
      </c>
      <c r="F747" s="6">
        <v>39938.68</v>
      </c>
      <c r="G747" s="6">
        <v>39869</v>
      </c>
      <c r="H747" s="6">
        <v>39902.589999999997</v>
      </c>
      <c r="I747" s="5">
        <v>45314</v>
      </c>
      <c r="J747" s="7">
        <f t="shared" si="68"/>
        <v>-6.2401964383714515E-5</v>
      </c>
      <c r="K747" s="5">
        <v>45314</v>
      </c>
      <c r="L747" s="8">
        <f t="shared" si="69"/>
        <v>1.7477237954300407E-3</v>
      </c>
      <c r="M747" s="5">
        <v>45314</v>
      </c>
      <c r="N747" s="9">
        <f t="shared" si="66"/>
        <v>1.6853218310463262E-3</v>
      </c>
      <c r="O747" s="5">
        <v>45314</v>
      </c>
      <c r="P747">
        <f t="shared" si="67"/>
        <v>1.0008425092176878</v>
      </c>
      <c r="Q747" s="6">
        <f t="shared" si="70"/>
        <v>1.0007605780393098</v>
      </c>
      <c r="R747">
        <f t="shared" si="71"/>
        <v>8.1865559605922205E-5</v>
      </c>
      <c r="T747" s="5">
        <v>45314</v>
      </c>
      <c r="U747" s="1">
        <v>8.1865559605922205E-5</v>
      </c>
    </row>
    <row r="748" spans="3:21" x14ac:dyDescent="0.2">
      <c r="C748" s="5">
        <v>45315</v>
      </c>
      <c r="D748" s="6">
        <v>0.99958999999999998</v>
      </c>
      <c r="E748" s="6">
        <v>40078.1</v>
      </c>
      <c r="F748" s="6">
        <v>40088.870000000003</v>
      </c>
      <c r="G748" s="6">
        <v>40061</v>
      </c>
      <c r="H748" s="6">
        <v>40084.519999999997</v>
      </c>
      <c r="I748" s="5">
        <v>45315</v>
      </c>
      <c r="J748" s="7">
        <f t="shared" si="68"/>
        <v>-1.6016157858440752E-4</v>
      </c>
      <c r="K748" s="5">
        <v>45315</v>
      </c>
      <c r="L748" s="8">
        <f t="shared" si="69"/>
        <v>6.9568907416196844E-4</v>
      </c>
      <c r="M748" s="5">
        <v>45315</v>
      </c>
      <c r="N748" s="9">
        <f t="shared" si="66"/>
        <v>5.3552749557756092E-4</v>
      </c>
      <c r="O748" s="5">
        <v>45315</v>
      </c>
      <c r="P748">
        <f t="shared" si="67"/>
        <v>1.0005871046653851</v>
      </c>
      <c r="Q748" s="6">
        <f t="shared" si="70"/>
        <v>1.0004101681689492</v>
      </c>
      <c r="R748">
        <f t="shared" si="71"/>
        <v>1.768483138874712E-4</v>
      </c>
      <c r="T748" s="5">
        <v>45315</v>
      </c>
      <c r="U748" s="1">
        <v>1.768483138874712E-4</v>
      </c>
    </row>
    <row r="749" spans="3:21" x14ac:dyDescent="0.2">
      <c r="C749" s="5">
        <v>45316</v>
      </c>
      <c r="D749" s="6">
        <v>0.99946000000000002</v>
      </c>
      <c r="E749" s="6">
        <v>39954</v>
      </c>
      <c r="F749" s="6">
        <v>39981.949999999997</v>
      </c>
      <c r="G749" s="6">
        <v>39923</v>
      </c>
      <c r="H749" s="6">
        <v>39959.93</v>
      </c>
      <c r="I749" s="5">
        <v>45316</v>
      </c>
      <c r="J749" s="7">
        <f t="shared" si="68"/>
        <v>-1.4839865835601543E-4</v>
      </c>
      <c r="K749" s="5">
        <v>45316</v>
      </c>
      <c r="L749" s="8">
        <f t="shared" si="69"/>
        <v>1.4765924404477892E-3</v>
      </c>
      <c r="M749" s="5">
        <v>45316</v>
      </c>
      <c r="N749" s="9">
        <f t="shared" si="66"/>
        <v>1.3281937820917738E-3</v>
      </c>
      <c r="O749" s="5">
        <v>45316</v>
      </c>
      <c r="P749">
        <f t="shared" si="67"/>
        <v>1.0009250306840669</v>
      </c>
      <c r="Q749" s="6">
        <f t="shared" si="70"/>
        <v>1.000540291757549</v>
      </c>
      <c r="R749">
        <f t="shared" si="71"/>
        <v>3.8445725433565106E-4</v>
      </c>
      <c r="T749" s="5">
        <v>45316</v>
      </c>
      <c r="U749" s="1">
        <v>3.8445725433565106E-4</v>
      </c>
    </row>
    <row r="750" spans="3:21" x14ac:dyDescent="0.2">
      <c r="C750" s="5">
        <v>45317</v>
      </c>
      <c r="D750" s="6">
        <v>0.99983</v>
      </c>
      <c r="E750" s="6">
        <v>41805.5</v>
      </c>
      <c r="F750" s="6">
        <v>41853.4</v>
      </c>
      <c r="G750" s="6">
        <v>41790</v>
      </c>
      <c r="H750" s="6">
        <v>41821.379999999997</v>
      </c>
      <c r="I750" s="5">
        <v>45317</v>
      </c>
      <c r="J750" s="7">
        <f t="shared" si="68"/>
        <v>-3.7971009086733585E-4</v>
      </c>
      <c r="K750" s="5">
        <v>45317</v>
      </c>
      <c r="L750" s="8">
        <f t="shared" si="69"/>
        <v>1.5171093563053711E-3</v>
      </c>
      <c r="M750" s="5">
        <v>45317</v>
      </c>
      <c r="N750" s="9">
        <f t="shared" si="66"/>
        <v>1.1373992654380351E-3</v>
      </c>
      <c r="O750" s="5">
        <v>45317</v>
      </c>
      <c r="P750">
        <f t="shared" si="67"/>
        <v>1.0007508973438621</v>
      </c>
      <c r="Q750" s="6">
        <f t="shared" si="70"/>
        <v>1.0001700289049138</v>
      </c>
      <c r="R750">
        <f t="shared" si="71"/>
        <v>5.8060110986481888E-4</v>
      </c>
      <c r="T750" s="5">
        <v>45317</v>
      </c>
      <c r="U750" s="1">
        <v>5.8060110986481888E-4</v>
      </c>
    </row>
    <row r="751" spans="3:21" x14ac:dyDescent="0.2">
      <c r="C751" s="5">
        <v>45318</v>
      </c>
      <c r="D751" s="6">
        <v>1.00004</v>
      </c>
      <c r="E751" s="6">
        <v>42095.8</v>
      </c>
      <c r="F751" s="6">
        <v>42231.48</v>
      </c>
      <c r="G751" s="6">
        <v>42096.5</v>
      </c>
      <c r="H751" s="6">
        <v>42123.01</v>
      </c>
      <c r="I751" s="5">
        <v>45318</v>
      </c>
      <c r="J751" s="7">
        <f t="shared" si="68"/>
        <v>-6.4596523372852804E-4</v>
      </c>
      <c r="K751" s="5">
        <v>45318</v>
      </c>
      <c r="L751" s="8">
        <f t="shared" si="69"/>
        <v>3.2064423408122576E-3</v>
      </c>
      <c r="M751" s="5">
        <v>45318</v>
      </c>
      <c r="N751" s="9">
        <f t="shared" si="66"/>
        <v>2.5604771070837297E-3</v>
      </c>
      <c r="O751" s="5">
        <v>45318</v>
      </c>
      <c r="P751">
        <f t="shared" si="67"/>
        <v>1.0006297435653795</v>
      </c>
      <c r="Q751" s="6">
        <f t="shared" si="70"/>
        <v>0.99996000159993592</v>
      </c>
      <c r="R751">
        <f t="shared" si="71"/>
        <v>6.6954456012987054E-4</v>
      </c>
      <c r="T751" s="5">
        <v>45318</v>
      </c>
      <c r="U751" s="1">
        <v>6.6954456012987054E-4</v>
      </c>
    </row>
    <row r="752" spans="3:21" x14ac:dyDescent="0.2">
      <c r="C752" s="5">
        <v>45319</v>
      </c>
      <c r="D752" s="6">
        <v>0.99992000000000003</v>
      </c>
      <c r="E752" s="6">
        <v>42016.1</v>
      </c>
      <c r="F752" s="6">
        <v>42061.919999999998</v>
      </c>
      <c r="G752" s="6">
        <v>42014.5</v>
      </c>
      <c r="H752" s="6">
        <v>42031.21</v>
      </c>
      <c r="I752" s="5">
        <v>45319</v>
      </c>
      <c r="J752" s="7">
        <f t="shared" si="68"/>
        <v>-3.5949476591324832E-4</v>
      </c>
      <c r="K752" s="5">
        <v>45319</v>
      </c>
      <c r="L752" s="8">
        <f t="shared" si="69"/>
        <v>1.1286579633221449E-3</v>
      </c>
      <c r="M752" s="5">
        <v>45319</v>
      </c>
      <c r="N752" s="9">
        <f t="shared" si="66"/>
        <v>7.6916319740889653E-4</v>
      </c>
      <c r="O752" s="5">
        <v>45319</v>
      </c>
      <c r="P752">
        <f t="shared" si="67"/>
        <v>1.0003977198348188</v>
      </c>
      <c r="Q752" s="6">
        <f t="shared" si="70"/>
        <v>1.000080006400512</v>
      </c>
      <c r="R752">
        <f t="shared" si="71"/>
        <v>3.1763756507913199E-4</v>
      </c>
      <c r="T752" s="5">
        <v>45319</v>
      </c>
      <c r="U752" s="1">
        <v>3.1763756507913199E-4</v>
      </c>
    </row>
    <row r="753" spans="3:21" x14ac:dyDescent="0.2">
      <c r="C753" s="5">
        <v>45320</v>
      </c>
      <c r="D753" s="6">
        <v>0.99997000000000003</v>
      </c>
      <c r="E753" s="6">
        <v>43286.2</v>
      </c>
      <c r="F753" s="6">
        <v>43331.44</v>
      </c>
      <c r="G753" s="6">
        <v>43287</v>
      </c>
      <c r="H753" s="6">
        <v>43303.37</v>
      </c>
      <c r="I753" s="5">
        <v>45320</v>
      </c>
      <c r="J753" s="7">
        <f t="shared" si="68"/>
        <v>-3.965049371447425E-4</v>
      </c>
      <c r="K753" s="5">
        <v>45320</v>
      </c>
      <c r="L753" s="8">
        <f t="shared" si="69"/>
        <v>1.0266361725229821E-3</v>
      </c>
      <c r="M753" s="5">
        <v>45320</v>
      </c>
      <c r="N753" s="9">
        <f t="shared" si="66"/>
        <v>6.3013123537823961E-4</v>
      </c>
      <c r="O753" s="5">
        <v>45320</v>
      </c>
      <c r="P753">
        <f t="shared" si="67"/>
        <v>1.0003781735856032</v>
      </c>
      <c r="Q753" s="6">
        <f t="shared" si="70"/>
        <v>1.0000300009000269</v>
      </c>
      <c r="R753">
        <f t="shared" si="71"/>
        <v>3.4810164598702962E-4</v>
      </c>
      <c r="T753" s="5">
        <v>45320</v>
      </c>
      <c r="U753" s="1">
        <v>3.4810164598702962E-4</v>
      </c>
    </row>
    <row r="754" spans="3:21" x14ac:dyDescent="0.2">
      <c r="C754" s="5">
        <v>45321</v>
      </c>
      <c r="D754" s="6">
        <v>1.0000100000000001</v>
      </c>
      <c r="E754" s="6">
        <v>42919</v>
      </c>
      <c r="F754" s="6">
        <v>42979.28</v>
      </c>
      <c r="G754" s="6">
        <v>42924</v>
      </c>
      <c r="H754" s="6">
        <v>42944.82</v>
      </c>
      <c r="I754" s="5">
        <v>45321</v>
      </c>
      <c r="J754" s="7">
        <f t="shared" si="68"/>
        <v>-6.0123665671435369E-4</v>
      </c>
      <c r="K754" s="5">
        <v>45321</v>
      </c>
      <c r="L754" s="8">
        <f t="shared" si="69"/>
        <v>1.2878576087969164E-3</v>
      </c>
      <c r="M754" s="5">
        <v>45321</v>
      </c>
      <c r="N754" s="9">
        <f t="shared" si="66"/>
        <v>6.8662095208256273E-4</v>
      </c>
      <c r="O754" s="5">
        <v>45321</v>
      </c>
      <c r="P754">
        <f t="shared" si="67"/>
        <v>1.0004850433324015</v>
      </c>
      <c r="Q754" s="6">
        <f t="shared" si="70"/>
        <v>0.99999000009999894</v>
      </c>
      <c r="R754">
        <f t="shared" si="71"/>
        <v>4.9492568690922612E-4</v>
      </c>
      <c r="T754" s="5">
        <v>45321</v>
      </c>
      <c r="U754" s="1">
        <v>4.9492568690922612E-4</v>
      </c>
    </row>
    <row r="755" spans="3:21" x14ac:dyDescent="0.2">
      <c r="C755" s="5">
        <v>45322</v>
      </c>
      <c r="D755" s="6">
        <v>0.99924999999999997</v>
      </c>
      <c r="E755" s="6">
        <v>42552.7</v>
      </c>
      <c r="F755" s="6">
        <v>42581.86</v>
      </c>
      <c r="G755" s="6">
        <v>42540</v>
      </c>
      <c r="H755" s="6">
        <v>42583.02</v>
      </c>
      <c r="I755" s="5">
        <v>45322</v>
      </c>
      <c r="J755" s="7">
        <f t="shared" si="68"/>
        <v>-7.1202089471342591E-4</v>
      </c>
      <c r="K755" s="5">
        <v>45322</v>
      </c>
      <c r="L755" s="8">
        <f t="shared" si="69"/>
        <v>9.8401504466385939E-4</v>
      </c>
      <c r="M755" s="5">
        <v>45322</v>
      </c>
      <c r="N755" s="9">
        <f t="shared" si="66"/>
        <v>2.7199414995043348E-4</v>
      </c>
      <c r="O755" s="5">
        <v>45322</v>
      </c>
      <c r="P755">
        <f t="shared" si="67"/>
        <v>1.0010112834978842</v>
      </c>
      <c r="Q755" s="6">
        <f t="shared" si="70"/>
        <v>1.0007505629221918</v>
      </c>
      <c r="R755">
        <f t="shared" si="71"/>
        <v>2.6049110450660873E-4</v>
      </c>
      <c r="T755" s="5">
        <v>45322</v>
      </c>
      <c r="U755" s="1">
        <v>2.6049110450660873E-4</v>
      </c>
    </row>
    <row r="756" spans="3:21" x14ac:dyDescent="0.2">
      <c r="C756" s="5">
        <v>45323</v>
      </c>
      <c r="D756" s="6">
        <v>0.99961999999999995</v>
      </c>
      <c r="E756" s="6">
        <v>43064.6</v>
      </c>
      <c r="F756" s="6">
        <v>43111.82</v>
      </c>
      <c r="G756" s="6">
        <v>43052.5</v>
      </c>
      <c r="H756" s="6">
        <v>43083.28</v>
      </c>
      <c r="I756" s="5">
        <v>45323</v>
      </c>
      <c r="J756" s="7">
        <f t="shared" si="68"/>
        <v>-4.3357887328913426E-4</v>
      </c>
      <c r="K756" s="5">
        <v>45323</v>
      </c>
      <c r="L756" s="8">
        <f t="shared" si="69"/>
        <v>1.3778526217989597E-3</v>
      </c>
      <c r="M756" s="5">
        <v>45323</v>
      </c>
      <c r="N756" s="9">
        <f t="shared" si="66"/>
        <v>9.4427374850982544E-4</v>
      </c>
      <c r="O756" s="5">
        <v>45323</v>
      </c>
      <c r="P756">
        <f t="shared" si="67"/>
        <v>1.0007149410603333</v>
      </c>
      <c r="Q756" s="6">
        <f t="shared" si="70"/>
        <v>1.000380144454893</v>
      </c>
      <c r="R756">
        <f t="shared" si="71"/>
        <v>3.3461339342391144E-4</v>
      </c>
      <c r="T756" s="5">
        <v>45323</v>
      </c>
      <c r="U756" s="1">
        <v>3.3461339342391144E-4</v>
      </c>
    </row>
    <row r="757" spans="3:21" x14ac:dyDescent="0.2">
      <c r="C757" s="5">
        <v>45324</v>
      </c>
      <c r="D757" s="6">
        <v>0.99958000000000002</v>
      </c>
      <c r="E757" s="6">
        <v>43178.1</v>
      </c>
      <c r="F757" s="6">
        <v>43164.09</v>
      </c>
      <c r="G757" s="6">
        <v>43161.5</v>
      </c>
      <c r="H757" s="6">
        <v>43199.99</v>
      </c>
      <c r="I757" s="5">
        <v>45324</v>
      </c>
      <c r="J757" s="7">
        <f t="shared" si="68"/>
        <v>-5.0671308025764406E-4</v>
      </c>
      <c r="K757" s="5">
        <v>45324</v>
      </c>
      <c r="L757" s="8">
        <f t="shared" si="69"/>
        <v>6.000718232676129E-5</v>
      </c>
      <c r="M757" s="5">
        <v>45324</v>
      </c>
      <c r="N757" s="9">
        <f t="shared" si="66"/>
        <v>-4.4670589793088279E-4</v>
      </c>
      <c r="O757" s="5">
        <v>45324</v>
      </c>
      <c r="P757">
        <f t="shared" si="67"/>
        <v>1.0008917669682471</v>
      </c>
      <c r="Q757" s="6">
        <f t="shared" si="70"/>
        <v>1.0004201764741192</v>
      </c>
      <c r="R757">
        <f t="shared" si="71"/>
        <v>4.7128135561450029E-4</v>
      </c>
      <c r="T757" s="5">
        <v>45324</v>
      </c>
      <c r="U757" s="1">
        <v>4.7128135561450029E-4</v>
      </c>
    </row>
    <row r="758" spans="3:21" x14ac:dyDescent="0.2">
      <c r="C758" s="5">
        <v>45325</v>
      </c>
      <c r="D758" s="6">
        <v>0.99965999999999999</v>
      </c>
      <c r="E758" s="6">
        <v>42991.8</v>
      </c>
      <c r="F758" s="6">
        <v>43014.559999999998</v>
      </c>
      <c r="G758" s="6">
        <v>42984</v>
      </c>
      <c r="H758" s="6">
        <v>43016.9</v>
      </c>
      <c r="I758" s="5">
        <v>45325</v>
      </c>
      <c r="J758" s="7">
        <f t="shared" si="68"/>
        <v>-5.8349160446239832E-4</v>
      </c>
      <c r="K758" s="5">
        <v>45325</v>
      </c>
      <c r="L758" s="8">
        <f t="shared" si="69"/>
        <v>7.1096221849985275E-4</v>
      </c>
      <c r="M758" s="5">
        <v>45325</v>
      </c>
      <c r="N758" s="9">
        <f t="shared" si="66"/>
        <v>1.2747061403745443E-4</v>
      </c>
      <c r="O758" s="5">
        <v>45325</v>
      </c>
      <c r="P758">
        <f t="shared" si="67"/>
        <v>1.0007654010794715</v>
      </c>
      <c r="Q758" s="6">
        <f t="shared" si="70"/>
        <v>1.0003401156393175</v>
      </c>
      <c r="R758">
        <f t="shared" si="71"/>
        <v>4.2505049634199789E-4</v>
      </c>
      <c r="T758" s="5">
        <v>45325</v>
      </c>
      <c r="U758" s="1">
        <v>4.2505049634199789E-4</v>
      </c>
    </row>
    <row r="759" spans="3:21" x14ac:dyDescent="0.2">
      <c r="C759" s="5">
        <v>45326</v>
      </c>
      <c r="D759" s="6">
        <v>0.99956999999999996</v>
      </c>
      <c r="E759" s="6">
        <v>42559.6</v>
      </c>
      <c r="F759" s="6">
        <v>42623.1</v>
      </c>
      <c r="G759" s="6">
        <v>42542</v>
      </c>
      <c r="H759" s="6">
        <v>42585.72</v>
      </c>
      <c r="I759" s="5">
        <v>45326</v>
      </c>
      <c r="J759" s="7">
        <f t="shared" si="68"/>
        <v>-6.1335114212000212E-4</v>
      </c>
      <c r="K759" s="5">
        <v>45326</v>
      </c>
      <c r="L759" s="8">
        <f t="shared" si="69"/>
        <v>1.9063513704103837E-3</v>
      </c>
      <c r="M759" s="5">
        <v>45326</v>
      </c>
      <c r="N759" s="9">
        <f t="shared" si="66"/>
        <v>1.2930002282903817E-3</v>
      </c>
      <c r="O759" s="5">
        <v>45326</v>
      </c>
      <c r="P759">
        <f t="shared" si="67"/>
        <v>1.0010276902825443</v>
      </c>
      <c r="Q759" s="6">
        <f t="shared" si="70"/>
        <v>1.0004301849795412</v>
      </c>
      <c r="R759">
        <f t="shared" si="71"/>
        <v>5.9707009389384127E-4</v>
      </c>
      <c r="T759" s="5">
        <v>45326</v>
      </c>
      <c r="U759" s="1">
        <v>5.9707009389384127E-4</v>
      </c>
    </row>
    <row r="760" spans="3:21" x14ac:dyDescent="0.2">
      <c r="C760" s="5">
        <v>45327</v>
      </c>
      <c r="D760" s="6">
        <v>0.99875000000000003</v>
      </c>
      <c r="E760" s="6">
        <v>42692.6</v>
      </c>
      <c r="F760" s="6">
        <v>42678.45</v>
      </c>
      <c r="G760" s="6">
        <v>42645.5</v>
      </c>
      <c r="H760" s="6">
        <v>42710.9</v>
      </c>
      <c r="I760" s="5">
        <v>45327</v>
      </c>
      <c r="J760" s="7">
        <f t="shared" si="68"/>
        <v>-4.2846205535361959E-4</v>
      </c>
      <c r="K760" s="5">
        <v>45327</v>
      </c>
      <c r="L760" s="8">
        <f t="shared" si="69"/>
        <v>7.7264893130569675E-4</v>
      </c>
      <c r="M760" s="5">
        <v>45327</v>
      </c>
      <c r="N760" s="9">
        <f t="shared" si="66"/>
        <v>3.4418687595207716E-4</v>
      </c>
      <c r="O760" s="5">
        <v>45327</v>
      </c>
      <c r="P760">
        <f t="shared" si="67"/>
        <v>1.0015335732961272</v>
      </c>
      <c r="Q760" s="6">
        <f t="shared" si="70"/>
        <v>1.0012515644555695</v>
      </c>
      <c r="R760">
        <f t="shared" si="71"/>
        <v>2.8161667180935136E-4</v>
      </c>
      <c r="T760" s="5">
        <v>45327</v>
      </c>
      <c r="U760" s="1">
        <v>2.8161667180935136E-4</v>
      </c>
    </row>
    <row r="761" spans="3:21" x14ac:dyDescent="0.2">
      <c r="C761" s="5">
        <v>45328</v>
      </c>
      <c r="D761" s="6">
        <v>0.99970999999999999</v>
      </c>
      <c r="E761" s="6">
        <v>43083.9</v>
      </c>
      <c r="F761" s="6">
        <v>43066.96</v>
      </c>
      <c r="G761" s="6">
        <v>43061.5</v>
      </c>
      <c r="H761" s="6">
        <v>43099.92</v>
      </c>
      <c r="I761" s="5">
        <v>45328</v>
      </c>
      <c r="J761" s="7">
        <f t="shared" si="68"/>
        <v>-3.716944254188128E-4</v>
      </c>
      <c r="K761" s="5">
        <v>45328</v>
      </c>
      <c r="L761" s="8">
        <f t="shared" si="69"/>
        <v>1.2679539728061324E-4</v>
      </c>
      <c r="M761" s="5">
        <v>45328</v>
      </c>
      <c r="N761" s="9">
        <f t="shared" si="66"/>
        <v>-2.4489902813819959E-4</v>
      </c>
      <c r="O761" s="5">
        <v>45328</v>
      </c>
      <c r="P761">
        <f t="shared" si="67"/>
        <v>1.0008922123010113</v>
      </c>
      <c r="Q761" s="6">
        <f t="shared" si="70"/>
        <v>1.000290084124396</v>
      </c>
      <c r="R761">
        <f t="shared" si="71"/>
        <v>6.0177245807304779E-4</v>
      </c>
      <c r="T761" s="5">
        <v>45328</v>
      </c>
      <c r="U761" s="1">
        <v>6.0177245807304779E-4</v>
      </c>
    </row>
    <row r="762" spans="3:21" x14ac:dyDescent="0.2">
      <c r="C762" s="5">
        <v>45329</v>
      </c>
      <c r="D762" s="6">
        <v>0.99982000000000004</v>
      </c>
      <c r="E762" s="6">
        <v>44318</v>
      </c>
      <c r="F762" s="6">
        <v>44318.74</v>
      </c>
      <c r="G762" s="6">
        <v>44329</v>
      </c>
      <c r="H762" s="6">
        <v>44350.19</v>
      </c>
      <c r="I762" s="5">
        <v>45329</v>
      </c>
      <c r="J762" s="7">
        <f t="shared" si="68"/>
        <v>-7.2581425243053814E-4</v>
      </c>
      <c r="K762" s="5">
        <v>45329</v>
      </c>
      <c r="L762" s="8">
        <f t="shared" si="69"/>
        <v>-2.3145119447770166E-4</v>
      </c>
      <c r="M762" s="5">
        <v>45329</v>
      </c>
      <c r="N762" s="9">
        <f t="shared" si="66"/>
        <v>-9.572654469082398E-4</v>
      </c>
      <c r="O762" s="5">
        <v>45329</v>
      </c>
      <c r="P762">
        <f t="shared" si="67"/>
        <v>1.0004780166482439</v>
      </c>
      <c r="Q762" s="6">
        <f t="shared" si="70"/>
        <v>1.000180032405833</v>
      </c>
      <c r="R762">
        <f t="shared" si="71"/>
        <v>2.9788623273759404E-4</v>
      </c>
      <c r="T762" s="5">
        <v>45329</v>
      </c>
      <c r="U762" s="1">
        <v>2.9788623273759404E-4</v>
      </c>
    </row>
    <row r="763" spans="3:21" x14ac:dyDescent="0.2">
      <c r="C763" s="5">
        <v>45330</v>
      </c>
      <c r="D763" s="6">
        <v>1.00017</v>
      </c>
      <c r="E763" s="6">
        <v>45260.5</v>
      </c>
      <c r="F763" s="6">
        <v>45328.75</v>
      </c>
      <c r="G763" s="6">
        <v>45276</v>
      </c>
      <c r="H763" s="6">
        <v>45289.99</v>
      </c>
      <c r="I763" s="5">
        <v>45330</v>
      </c>
      <c r="J763" s="7">
        <f t="shared" si="68"/>
        <v>-6.5113726013182969E-4</v>
      </c>
      <c r="K763" s="5">
        <v>45330</v>
      </c>
      <c r="L763" s="8">
        <f t="shared" si="69"/>
        <v>1.165076420178461E-3</v>
      </c>
      <c r="M763" s="5">
        <v>45330</v>
      </c>
      <c r="N763" s="9">
        <f t="shared" si="66"/>
        <v>5.1393916004663126E-4</v>
      </c>
      <c r="O763" s="5">
        <v>45330</v>
      </c>
      <c r="P763">
        <f t="shared" si="67"/>
        <v>1.000308993727361</v>
      </c>
      <c r="Q763" s="6">
        <f t="shared" si="70"/>
        <v>0.99983002889508787</v>
      </c>
      <c r="R763">
        <f t="shared" si="71"/>
        <v>4.7893155026838862E-4</v>
      </c>
      <c r="T763" s="5">
        <v>45330</v>
      </c>
      <c r="U763" s="1">
        <v>4.7893155026838862E-4</v>
      </c>
    </row>
    <row r="764" spans="3:21" x14ac:dyDescent="0.2">
      <c r="C764" s="5">
        <v>45331</v>
      </c>
      <c r="D764" s="6">
        <v>1.00044</v>
      </c>
      <c r="E764" s="6">
        <v>47122.400000000001</v>
      </c>
      <c r="F764" s="6">
        <v>47103.48</v>
      </c>
      <c r="G764" s="6">
        <v>47142.5</v>
      </c>
      <c r="H764" s="6">
        <v>47134.25</v>
      </c>
      <c r="I764" s="5">
        <v>45331</v>
      </c>
      <c r="J764" s="7">
        <f t="shared" si="68"/>
        <v>-2.5140953765040376E-4</v>
      </c>
      <c r="K764" s="5">
        <v>45331</v>
      </c>
      <c r="L764" s="8">
        <f t="shared" si="69"/>
        <v>-8.2770324017599406E-4</v>
      </c>
      <c r="M764" s="5">
        <v>45331</v>
      </c>
      <c r="N764" s="9">
        <f t="shared" si="66"/>
        <v>-1.0791127778263978E-3</v>
      </c>
      <c r="O764" s="5">
        <v>45331</v>
      </c>
      <c r="P764">
        <f t="shared" si="67"/>
        <v>0.99982499867423247</v>
      </c>
      <c r="Q764" s="6">
        <f t="shared" si="70"/>
        <v>0.99956019351485348</v>
      </c>
      <c r="R764">
        <f t="shared" si="71"/>
        <v>2.648865880991148E-4</v>
      </c>
      <c r="T764" s="5">
        <v>45331</v>
      </c>
      <c r="U764" s="1">
        <v>2.648865880991148E-4</v>
      </c>
    </row>
    <row r="765" spans="3:21" x14ac:dyDescent="0.2">
      <c r="C765" s="5">
        <v>45332</v>
      </c>
      <c r="D765" s="6">
        <v>1.0003200000000001</v>
      </c>
      <c r="E765" s="6">
        <v>47728.1</v>
      </c>
      <c r="F765" s="6">
        <v>47662.7</v>
      </c>
      <c r="G765" s="6">
        <v>47753</v>
      </c>
      <c r="H765" s="6">
        <v>47748.19</v>
      </c>
      <c r="I765" s="5">
        <v>45332</v>
      </c>
      <c r="J765" s="7">
        <f t="shared" si="68"/>
        <v>-4.2074893310099884E-4</v>
      </c>
      <c r="K765" s="5">
        <v>45332</v>
      </c>
      <c r="L765" s="8">
        <f t="shared" si="69"/>
        <v>-1.8909806713714931E-3</v>
      </c>
      <c r="M765" s="5">
        <v>45332</v>
      </c>
      <c r="N765" s="9">
        <f t="shared" si="66"/>
        <v>-2.3117296044724918E-3</v>
      </c>
      <c r="O765" s="5">
        <v>45332</v>
      </c>
      <c r="P765">
        <f t="shared" si="67"/>
        <v>0.99989927334408313</v>
      </c>
      <c r="Q765" s="6">
        <f t="shared" si="70"/>
        <v>0.99968010236724236</v>
      </c>
      <c r="R765">
        <f t="shared" si="71"/>
        <v>2.1921708173301341E-4</v>
      </c>
      <c r="T765" s="5">
        <v>45332</v>
      </c>
      <c r="U765" s="1">
        <v>2.1921708173301341E-4</v>
      </c>
    </row>
    <row r="766" spans="3:21" x14ac:dyDescent="0.2">
      <c r="C766" s="5">
        <v>45333</v>
      </c>
      <c r="D766" s="6">
        <v>1.0002800000000001</v>
      </c>
      <c r="E766" s="6">
        <v>48328.5</v>
      </c>
      <c r="F766" s="6">
        <v>48162.32</v>
      </c>
      <c r="G766" s="6">
        <v>48331</v>
      </c>
      <c r="H766" s="6">
        <v>48304.25</v>
      </c>
      <c r="I766" s="5">
        <v>45333</v>
      </c>
      <c r="J766" s="7">
        <f t="shared" si="68"/>
        <v>5.0202621922501643E-4</v>
      </c>
      <c r="K766" s="5">
        <v>45333</v>
      </c>
      <c r="L766" s="8">
        <f t="shared" si="69"/>
        <v>-3.4900995220458978E-3</v>
      </c>
      <c r="M766" s="5">
        <v>45333</v>
      </c>
      <c r="N766" s="9">
        <f t="shared" si="66"/>
        <v>-2.9880733028208812E-3</v>
      </c>
      <c r="O766" s="5">
        <v>45333</v>
      </c>
      <c r="P766">
        <f t="shared" si="67"/>
        <v>0.99944652500465536</v>
      </c>
      <c r="Q766" s="6">
        <f t="shared" si="70"/>
        <v>0.9997200783780541</v>
      </c>
      <c r="R766">
        <f t="shared" si="71"/>
        <v>-2.7366741185362429E-4</v>
      </c>
      <c r="T766" s="5">
        <v>45333</v>
      </c>
      <c r="U766" s="1">
        <v>-2.7366741185362429E-4</v>
      </c>
    </row>
    <row r="767" spans="3:21" x14ac:dyDescent="0.2">
      <c r="C767" s="5">
        <v>45334</v>
      </c>
      <c r="D767" s="6">
        <v>1.0003</v>
      </c>
      <c r="E767" s="6">
        <v>49960.9</v>
      </c>
      <c r="F767" s="6">
        <v>49842.57</v>
      </c>
      <c r="G767" s="6">
        <v>49944</v>
      </c>
      <c r="H767" s="6">
        <v>49922.01</v>
      </c>
      <c r="I767" s="5">
        <v>45334</v>
      </c>
      <c r="J767" s="7">
        <f t="shared" si="68"/>
        <v>7.7901510776508026E-4</v>
      </c>
      <c r="K767" s="5">
        <v>45334</v>
      </c>
      <c r="L767" s="8">
        <f t="shared" si="69"/>
        <v>-2.0308745795290786E-3</v>
      </c>
      <c r="M767" s="5">
        <v>45334</v>
      </c>
      <c r="N767" s="9">
        <f t="shared" si="66"/>
        <v>-1.2518594717639982E-3</v>
      </c>
      <c r="O767" s="5">
        <v>45334</v>
      </c>
      <c r="P767">
        <f t="shared" si="67"/>
        <v>0.99955970687169637</v>
      </c>
      <c r="Q767" s="6">
        <f t="shared" si="70"/>
        <v>0.99970008997300808</v>
      </c>
      <c r="R767">
        <f t="shared" si="71"/>
        <v>-1.4043507678593669E-4</v>
      </c>
      <c r="T767" s="5">
        <v>45334</v>
      </c>
      <c r="U767" s="1">
        <v>-1.4043507678593669E-4</v>
      </c>
    </row>
    <row r="768" spans="3:21" x14ac:dyDescent="0.2">
      <c r="C768" s="5">
        <v>45335</v>
      </c>
      <c r="D768" s="6">
        <v>1.00047</v>
      </c>
      <c r="E768" s="6">
        <v>49710.400000000001</v>
      </c>
      <c r="F768" s="6">
        <v>49710.45</v>
      </c>
      <c r="G768" s="6">
        <v>49736</v>
      </c>
      <c r="H768" s="6">
        <v>49701.86</v>
      </c>
      <c r="I768" s="5">
        <v>45335</v>
      </c>
      <c r="J768" s="7">
        <f t="shared" si="68"/>
        <v>1.7182455545931025E-4</v>
      </c>
      <c r="K768" s="5">
        <v>45335</v>
      </c>
      <c r="L768" s="8">
        <f t="shared" si="69"/>
        <v>-5.1371240147987196E-4</v>
      </c>
      <c r="M768" s="5">
        <v>45335</v>
      </c>
      <c r="N768" s="9">
        <f t="shared" si="66"/>
        <v>-3.4188784602056169E-4</v>
      </c>
      <c r="O768" s="5">
        <v>45335</v>
      </c>
      <c r="P768">
        <f t="shared" si="67"/>
        <v>0.99931357567958834</v>
      </c>
      <c r="Q768" s="6">
        <f t="shared" si="70"/>
        <v>0.99953022079622578</v>
      </c>
      <c r="R768">
        <f t="shared" si="71"/>
        <v>-2.167704328550242E-4</v>
      </c>
      <c r="T768" s="5">
        <v>45335</v>
      </c>
      <c r="U768" s="1">
        <v>-2.167704328550242E-4</v>
      </c>
    </row>
    <row r="769" spans="3:21" x14ac:dyDescent="0.2">
      <c r="C769" s="5">
        <v>45336</v>
      </c>
      <c r="D769" s="6">
        <v>1.0008999999999999</v>
      </c>
      <c r="E769" s="6">
        <v>51821.8</v>
      </c>
      <c r="F769" s="6">
        <v>51890.11</v>
      </c>
      <c r="G769" s="6">
        <v>51849</v>
      </c>
      <c r="H769" s="6">
        <v>51794.47</v>
      </c>
      <c r="I769" s="5">
        <v>45336</v>
      </c>
      <c r="J769" s="7">
        <f t="shared" si="68"/>
        <v>5.2766250914434965E-4</v>
      </c>
      <c r="K769" s="5">
        <v>45336</v>
      </c>
      <c r="L769" s="8">
        <f t="shared" si="69"/>
        <v>7.9287932264847122E-4</v>
      </c>
      <c r="M769" s="5">
        <v>45336</v>
      </c>
      <c r="N769" s="9">
        <f t="shared" si="66"/>
        <v>1.320541831792821E-3</v>
      </c>
      <c r="O769" s="5">
        <v>45336</v>
      </c>
      <c r="P769">
        <f t="shared" si="67"/>
        <v>0.99894829215606862</v>
      </c>
      <c r="Q769" s="6">
        <f t="shared" si="70"/>
        <v>0.99910080927165557</v>
      </c>
      <c r="R769">
        <f t="shared" si="71"/>
        <v>-1.5266603385693115E-4</v>
      </c>
      <c r="T769" s="5">
        <v>45336</v>
      </c>
      <c r="U769" s="1">
        <v>-1.5266603385693115E-4</v>
      </c>
    </row>
    <row r="770" spans="3:21" x14ac:dyDescent="0.2">
      <c r="C770" s="5">
        <v>45337</v>
      </c>
      <c r="D770" s="6">
        <v>1.0010300000000001</v>
      </c>
      <c r="E770" s="6">
        <v>51904.2</v>
      </c>
      <c r="F770" s="6">
        <v>51946.78</v>
      </c>
      <c r="G770" s="6">
        <v>51964</v>
      </c>
      <c r="H770" s="6">
        <v>51878.01</v>
      </c>
      <c r="I770" s="5">
        <v>45337</v>
      </c>
      <c r="J770" s="7">
        <f t="shared" si="68"/>
        <v>5.0483817710037546E-4</v>
      </c>
      <c r="K770" s="5">
        <v>45337</v>
      </c>
      <c r="L770" s="8">
        <f t="shared" si="69"/>
        <v>-3.3138326533756375E-4</v>
      </c>
      <c r="M770" s="5">
        <v>45337</v>
      </c>
      <c r="N770" s="9">
        <f t="shared" si="66"/>
        <v>1.734549117628117E-4</v>
      </c>
      <c r="O770" s="5">
        <v>45337</v>
      </c>
      <c r="P770">
        <f t="shared" si="67"/>
        <v>0.99834520052343934</v>
      </c>
      <c r="Q770" s="6">
        <f t="shared" si="70"/>
        <v>0.99897105980839729</v>
      </c>
      <c r="R770">
        <f t="shared" si="71"/>
        <v>-6.2670025561003162E-4</v>
      </c>
      <c r="T770" s="5">
        <v>45337</v>
      </c>
      <c r="U770" s="1">
        <v>-6.2670025561003162E-4</v>
      </c>
    </row>
    <row r="771" spans="3:21" x14ac:dyDescent="0.2">
      <c r="C771" s="5">
        <v>45338</v>
      </c>
      <c r="D771" s="6">
        <v>1.0006699999999999</v>
      </c>
      <c r="E771" s="6">
        <v>52151.8</v>
      </c>
      <c r="F771" s="6">
        <v>52181.22</v>
      </c>
      <c r="G771" s="6">
        <v>52160.5</v>
      </c>
      <c r="H771" s="6">
        <v>52124</v>
      </c>
      <c r="I771" s="5">
        <v>45338</v>
      </c>
      <c r="J771" s="7">
        <f t="shared" si="68"/>
        <v>5.3334356534423511E-4</v>
      </c>
      <c r="K771" s="5">
        <v>45338</v>
      </c>
      <c r="L771" s="8">
        <f t="shared" si="69"/>
        <v>3.9723545594848905E-4</v>
      </c>
      <c r="M771" s="5">
        <v>45338</v>
      </c>
      <c r="N771" s="9">
        <f t="shared" si="66"/>
        <v>9.3057902129272416E-4</v>
      </c>
      <c r="O771" s="5">
        <v>45338</v>
      </c>
      <c r="P771">
        <f t="shared" si="67"/>
        <v>0.99930023676920277</v>
      </c>
      <c r="Q771" s="6">
        <f t="shared" si="70"/>
        <v>0.99933044859943843</v>
      </c>
      <c r="R771">
        <f t="shared" si="71"/>
        <v>-3.0232529160210781E-5</v>
      </c>
      <c r="T771" s="5">
        <v>45338</v>
      </c>
      <c r="U771" s="1">
        <v>-3.0232529160210781E-5</v>
      </c>
    </row>
    <row r="772" spans="3:21" x14ac:dyDescent="0.2">
      <c r="C772" s="5">
        <v>45339</v>
      </c>
      <c r="D772" s="6">
        <v>1.0003599999999999</v>
      </c>
      <c r="E772" s="6">
        <v>51693.1</v>
      </c>
      <c r="F772" s="6">
        <v>51696.61</v>
      </c>
      <c r="G772" s="6">
        <v>51701</v>
      </c>
      <c r="H772" s="6">
        <v>51647.99</v>
      </c>
      <c r="I772" s="5">
        <v>45339</v>
      </c>
      <c r="J772" s="7">
        <f t="shared" si="68"/>
        <v>8.7341249872455022E-4</v>
      </c>
      <c r="K772" s="5">
        <v>45339</v>
      </c>
      <c r="L772" s="8">
        <f t="shared" si="69"/>
        <v>-8.4911316995791528E-5</v>
      </c>
      <c r="M772" s="5">
        <v>45339</v>
      </c>
      <c r="N772" s="9">
        <f t="shared" si="66"/>
        <v>7.8850118172875871E-4</v>
      </c>
      <c r="O772" s="5">
        <v>45339</v>
      </c>
      <c r="P772">
        <f t="shared" si="67"/>
        <v>0.99897468134078637</v>
      </c>
      <c r="Q772" s="6">
        <f t="shared" si="70"/>
        <v>0.9996401295533609</v>
      </c>
      <c r="R772">
        <f t="shared" si="71"/>
        <v>-6.6590944241736361E-4</v>
      </c>
      <c r="T772" s="5">
        <v>45339</v>
      </c>
      <c r="U772" s="1">
        <v>-6.6590944241736361E-4</v>
      </c>
    </row>
    <row r="773" spans="3:21" x14ac:dyDescent="0.2">
      <c r="C773" s="5">
        <v>45340</v>
      </c>
      <c r="D773" s="6">
        <v>1.00024</v>
      </c>
      <c r="E773" s="6">
        <v>52174.9</v>
      </c>
      <c r="F773" s="6">
        <v>52177.55</v>
      </c>
      <c r="G773" s="6">
        <v>52168</v>
      </c>
      <c r="H773" s="6">
        <v>52137</v>
      </c>
      <c r="I773" s="5">
        <v>45340</v>
      </c>
      <c r="J773" s="7">
        <f t="shared" si="68"/>
        <v>7.2693097032820177E-4</v>
      </c>
      <c r="K773" s="5">
        <v>45340</v>
      </c>
      <c r="L773" s="8">
        <f t="shared" si="69"/>
        <v>1.8306241374027967E-4</v>
      </c>
      <c r="M773" s="5">
        <v>45340</v>
      </c>
      <c r="N773" s="9">
        <f t="shared" si="66"/>
        <v>9.0999338406848145E-4</v>
      </c>
      <c r="O773" s="5">
        <v>45340</v>
      </c>
      <c r="P773">
        <f t="shared" si="67"/>
        <v>0.99940576598681174</v>
      </c>
      <c r="Q773" s="6">
        <f t="shared" si="70"/>
        <v>0.99976005758617925</v>
      </c>
      <c r="R773">
        <f t="shared" si="71"/>
        <v>-3.5443943558753339E-4</v>
      </c>
      <c r="T773" s="5">
        <v>45340</v>
      </c>
      <c r="U773" s="1">
        <v>-3.5443943558753339E-4</v>
      </c>
    </row>
    <row r="774" spans="3:21" x14ac:dyDescent="0.2">
      <c r="C774" s="5">
        <v>45341</v>
      </c>
      <c r="D774" s="6">
        <v>1.0002200000000001</v>
      </c>
      <c r="E774" s="6">
        <v>51814.9</v>
      </c>
      <c r="F774" s="6">
        <v>51812.01</v>
      </c>
      <c r="G774" s="6">
        <v>51733</v>
      </c>
      <c r="H774" s="6">
        <v>51777.05</v>
      </c>
      <c r="I774" s="5">
        <v>45341</v>
      </c>
      <c r="J774" s="7">
        <f t="shared" si="68"/>
        <v>7.3101885874144129E-4</v>
      </c>
      <c r="K774" s="5">
        <v>45341</v>
      </c>
      <c r="L774" s="8">
        <f t="shared" si="69"/>
        <v>1.5272649952641842E-3</v>
      </c>
      <c r="M774" s="5">
        <v>45341</v>
      </c>
      <c r="N774" s="9">
        <f t="shared" si="66"/>
        <v>2.2582838540056256E-3</v>
      </c>
      <c r="O774" s="5">
        <v>45341</v>
      </c>
      <c r="P774">
        <f t="shared" si="67"/>
        <v>1.0008514874451511</v>
      </c>
      <c r="Q774" s="6">
        <f t="shared" si="70"/>
        <v>0.99978004838935419</v>
      </c>
      <c r="R774">
        <f t="shared" si="71"/>
        <v>1.0711009389188753E-3</v>
      </c>
      <c r="T774" s="5">
        <v>45341</v>
      </c>
      <c r="U774" s="1">
        <v>1.0711009389188753E-3</v>
      </c>
    </row>
    <row r="775" spans="3:21" x14ac:dyDescent="0.2">
      <c r="C775" s="5">
        <v>45342</v>
      </c>
      <c r="D775" s="6">
        <v>1.0001500000000001</v>
      </c>
      <c r="E775" s="6">
        <v>52287.1</v>
      </c>
      <c r="F775" s="6">
        <v>52284.83</v>
      </c>
      <c r="G775" s="6">
        <v>52325</v>
      </c>
      <c r="H775" s="6">
        <v>52261.25</v>
      </c>
      <c r="I775" s="5">
        <v>45342</v>
      </c>
      <c r="J775" s="7">
        <f t="shared" si="68"/>
        <v>4.9463034274914094E-4</v>
      </c>
      <c r="K775" s="5">
        <v>45342</v>
      </c>
      <c r="L775" s="8">
        <f t="shared" si="69"/>
        <v>-7.6770186335400393E-4</v>
      </c>
      <c r="M775" s="5">
        <v>45342</v>
      </c>
      <c r="N775" s="9">
        <f t="shared" si="66"/>
        <v>-2.7307152060486299E-4</v>
      </c>
      <c r="O775" s="5">
        <v>45342</v>
      </c>
      <c r="P775">
        <f t="shared" si="67"/>
        <v>0.99878165312947909</v>
      </c>
      <c r="Q775" s="6">
        <f t="shared" si="70"/>
        <v>0.99985002249662536</v>
      </c>
      <c r="R775">
        <f t="shared" si="71"/>
        <v>-1.0691009073211875E-3</v>
      </c>
      <c r="T775" s="5">
        <v>45342</v>
      </c>
      <c r="U775" s="1">
        <v>-1.0691009073211875E-3</v>
      </c>
    </row>
    <row r="776" spans="3:21" x14ac:dyDescent="0.2">
      <c r="C776" s="5">
        <v>45343</v>
      </c>
      <c r="D776" s="6">
        <v>1.00003</v>
      </c>
      <c r="E776" s="6">
        <v>51875.199999999997</v>
      </c>
      <c r="F776" s="6">
        <v>51899.13</v>
      </c>
      <c r="G776" s="6">
        <v>51906</v>
      </c>
      <c r="H776" s="6">
        <v>51841.68</v>
      </c>
      <c r="I776" s="5">
        <v>45343</v>
      </c>
      <c r="J776" s="7">
        <f t="shared" si="68"/>
        <v>6.4658398416094539E-4</v>
      </c>
      <c r="K776" s="5">
        <v>45343</v>
      </c>
      <c r="L776" s="8">
        <f t="shared" si="69"/>
        <v>-1.323546410820063E-4</v>
      </c>
      <c r="M776" s="5">
        <v>45343</v>
      </c>
      <c r="N776" s="9">
        <f t="shared" ref="N776:N839" si="72">J776+L776</f>
        <v>5.1422934307893912E-4</v>
      </c>
      <c r="O776" s="5">
        <v>45343</v>
      </c>
      <c r="P776">
        <f t="shared" ref="P776:P839" si="73">(1/G776)*H776</f>
        <v>0.99876083689746853</v>
      </c>
      <c r="Q776" s="6">
        <f t="shared" si="70"/>
        <v>0.99997000089997301</v>
      </c>
      <c r="R776">
        <f t="shared" si="71"/>
        <v>-1.2099319499652436E-3</v>
      </c>
      <c r="T776" s="5">
        <v>45343</v>
      </c>
      <c r="U776" s="1">
        <v>-1.2099319499652436E-3</v>
      </c>
    </row>
    <row r="777" spans="3:21" x14ac:dyDescent="0.2">
      <c r="C777" s="5">
        <v>45344</v>
      </c>
      <c r="D777" s="6">
        <v>0.99929999999999997</v>
      </c>
      <c r="E777" s="6">
        <v>51304.7</v>
      </c>
      <c r="F777" s="6">
        <v>51320.42</v>
      </c>
      <c r="G777" s="6">
        <v>51303</v>
      </c>
      <c r="H777" s="6">
        <v>51291.09</v>
      </c>
      <c r="I777" s="5">
        <v>45344</v>
      </c>
      <c r="J777" s="7">
        <f t="shared" ref="J777:J840" si="74">(E777-H777)/H777</f>
        <v>2.6534823104754806E-4</v>
      </c>
      <c r="K777" s="5">
        <v>45344</v>
      </c>
      <c r="L777" s="8">
        <f t="shared" ref="L777:L840" si="75">(F777-G777)/G777</f>
        <v>3.3955129329665427E-4</v>
      </c>
      <c r="M777" s="5">
        <v>45344</v>
      </c>
      <c r="N777" s="9">
        <f t="shared" si="72"/>
        <v>6.0489952434420228E-4</v>
      </c>
      <c r="O777" s="5">
        <v>45344</v>
      </c>
      <c r="P777">
        <f t="shared" si="73"/>
        <v>0.9997678498333431</v>
      </c>
      <c r="Q777" s="6">
        <f t="shared" ref="Q777:Q840" si="76">1/D777</f>
        <v>1.0007004903432404</v>
      </c>
      <c r="R777">
        <f t="shared" ref="R777:R840" si="77">LN(P777/Q777)</f>
        <v>-9.3242223207154018E-4</v>
      </c>
      <c r="T777" s="5">
        <v>45344</v>
      </c>
      <c r="U777" s="1">
        <v>-9.3242223207154018E-4</v>
      </c>
    </row>
    <row r="778" spans="3:21" x14ac:dyDescent="0.2">
      <c r="C778" s="5">
        <v>45345</v>
      </c>
      <c r="D778" s="6">
        <v>0.99985000000000002</v>
      </c>
      <c r="E778" s="6">
        <v>50774.1</v>
      </c>
      <c r="F778" s="6">
        <v>50762.59</v>
      </c>
      <c r="G778" s="6">
        <v>50746.5</v>
      </c>
      <c r="H778" s="6">
        <v>50745.440000000002</v>
      </c>
      <c r="I778" s="5">
        <v>45345</v>
      </c>
      <c r="J778" s="7">
        <f t="shared" si="74"/>
        <v>5.6477981075730575E-4</v>
      </c>
      <c r="K778" s="5">
        <v>45345</v>
      </c>
      <c r="L778" s="8">
        <f t="shared" si="75"/>
        <v>3.1706620160989443E-4</v>
      </c>
      <c r="M778" s="5">
        <v>45345</v>
      </c>
      <c r="N778" s="9">
        <f t="shared" si="72"/>
        <v>8.8184601236720019E-4</v>
      </c>
      <c r="O778" s="5">
        <v>45345</v>
      </c>
      <c r="P778">
        <f t="shared" si="73"/>
        <v>0.99997911185993127</v>
      </c>
      <c r="Q778" s="6">
        <f t="shared" si="76"/>
        <v>1.0001500225033755</v>
      </c>
      <c r="R778">
        <f t="shared" si="77"/>
        <v>-1.7089960935407121E-4</v>
      </c>
      <c r="T778" s="5">
        <v>45345</v>
      </c>
      <c r="U778" s="1">
        <v>-1.7089960935407121E-4</v>
      </c>
    </row>
    <row r="779" spans="3:21" x14ac:dyDescent="0.2">
      <c r="C779" s="5">
        <v>45346</v>
      </c>
      <c r="D779" s="6">
        <v>0.99999000000000005</v>
      </c>
      <c r="E779" s="6">
        <v>51588.9</v>
      </c>
      <c r="F779" s="6">
        <v>51539.58</v>
      </c>
      <c r="G779" s="6">
        <v>51600</v>
      </c>
      <c r="H779" s="6">
        <v>51565.5</v>
      </c>
      <c r="I779" s="5">
        <v>45346</v>
      </c>
      <c r="J779" s="7">
        <f t="shared" si="74"/>
        <v>4.5379177938740931E-4</v>
      </c>
      <c r="K779" s="5">
        <v>45346</v>
      </c>
      <c r="L779" s="8">
        <f t="shared" si="75"/>
        <v>-1.1709302325581057E-3</v>
      </c>
      <c r="M779" s="5">
        <v>45346</v>
      </c>
      <c r="N779" s="9">
        <f t="shared" si="72"/>
        <v>-7.1713845317069647E-4</v>
      </c>
      <c r="O779" s="5">
        <v>45346</v>
      </c>
      <c r="P779">
        <f t="shared" si="73"/>
        <v>0.9993313953488373</v>
      </c>
      <c r="Q779" s="6">
        <f t="shared" si="76"/>
        <v>1.000010000100001</v>
      </c>
      <c r="R779">
        <f t="shared" si="77"/>
        <v>-6.7882831693203078E-4</v>
      </c>
      <c r="T779" s="5">
        <v>45346</v>
      </c>
      <c r="U779" s="1">
        <v>-6.7882831693203078E-4</v>
      </c>
    </row>
    <row r="780" spans="3:21" x14ac:dyDescent="0.2">
      <c r="C780" s="5">
        <v>45347</v>
      </c>
      <c r="D780" s="6">
        <v>0.99997999999999998</v>
      </c>
      <c r="E780" s="6">
        <v>51747.5</v>
      </c>
      <c r="F780" s="6">
        <v>51693.27</v>
      </c>
      <c r="G780" s="6">
        <v>51770.5</v>
      </c>
      <c r="H780" s="6">
        <v>51729.49</v>
      </c>
      <c r="I780" s="5">
        <v>45347</v>
      </c>
      <c r="J780" s="7">
        <f t="shared" si="74"/>
        <v>3.4815730833615482E-4</v>
      </c>
      <c r="K780" s="5">
        <v>45347</v>
      </c>
      <c r="L780" s="8">
        <f t="shared" si="75"/>
        <v>-1.4917762045953428E-3</v>
      </c>
      <c r="M780" s="5">
        <v>45347</v>
      </c>
      <c r="N780" s="9">
        <f t="shared" si="72"/>
        <v>-1.1436188962591881E-3</v>
      </c>
      <c r="O780" s="5">
        <v>45347</v>
      </c>
      <c r="P780">
        <f t="shared" si="73"/>
        <v>0.99920785003042267</v>
      </c>
      <c r="Q780" s="6">
        <f t="shared" si="76"/>
        <v>1.0000200004000079</v>
      </c>
      <c r="R780">
        <f t="shared" si="77"/>
        <v>-8.1246408615737436E-4</v>
      </c>
      <c r="T780" s="5">
        <v>45347</v>
      </c>
      <c r="U780" s="1">
        <v>-8.1246408615737436E-4</v>
      </c>
    </row>
    <row r="781" spans="3:21" x14ac:dyDescent="0.2">
      <c r="C781" s="5">
        <v>45348</v>
      </c>
      <c r="D781" s="6">
        <v>1.0006900000000001</v>
      </c>
      <c r="E781" s="6">
        <v>54515</v>
      </c>
      <c r="F781" s="6">
        <v>54462.79</v>
      </c>
      <c r="G781" s="6">
        <v>54538.5</v>
      </c>
      <c r="H781" s="6">
        <v>54478</v>
      </c>
      <c r="I781" s="5">
        <v>45348</v>
      </c>
      <c r="J781" s="7">
        <f t="shared" si="74"/>
        <v>6.791732442453835E-4</v>
      </c>
      <c r="K781" s="5">
        <v>45348</v>
      </c>
      <c r="L781" s="8">
        <f t="shared" si="75"/>
        <v>-1.3881936613584739E-3</v>
      </c>
      <c r="M781" s="5">
        <v>45348</v>
      </c>
      <c r="N781" s="9">
        <f t="shared" si="72"/>
        <v>-7.0902041711309036E-4</v>
      </c>
      <c r="O781" s="5">
        <v>45348</v>
      </c>
      <c r="P781">
        <f t="shared" si="73"/>
        <v>0.99889069189655022</v>
      </c>
      <c r="Q781" s="6">
        <f t="shared" si="76"/>
        <v>0.99931047577171739</v>
      </c>
      <c r="R781">
        <f t="shared" si="77"/>
        <v>-4.2016178164140915E-4</v>
      </c>
      <c r="T781" s="5">
        <v>45348</v>
      </c>
      <c r="U781" s="1">
        <v>-4.2016178164140915E-4</v>
      </c>
    </row>
    <row r="782" spans="3:21" x14ac:dyDescent="0.2">
      <c r="C782" s="5">
        <v>45349</v>
      </c>
      <c r="D782" s="6">
        <v>1.0004999999999999</v>
      </c>
      <c r="E782" s="6">
        <v>57077.9</v>
      </c>
      <c r="F782" s="6">
        <v>57041.98</v>
      </c>
      <c r="G782" s="6">
        <v>57106</v>
      </c>
      <c r="H782" s="6">
        <v>57038.45</v>
      </c>
      <c r="I782" s="5">
        <v>45349</v>
      </c>
      <c r="J782" s="7">
        <f t="shared" si="74"/>
        <v>6.9163871037877724E-4</v>
      </c>
      <c r="K782" s="5">
        <v>45349</v>
      </c>
      <c r="L782" s="8">
        <f t="shared" si="75"/>
        <v>-1.1210730921443772E-3</v>
      </c>
      <c r="M782" s="5">
        <v>45349</v>
      </c>
      <c r="N782" s="9">
        <f t="shared" si="72"/>
        <v>-4.2943438176559995E-4</v>
      </c>
      <c r="O782" s="5">
        <v>45349</v>
      </c>
      <c r="P782">
        <f t="shared" si="73"/>
        <v>0.99881711203726409</v>
      </c>
      <c r="Q782" s="6">
        <f t="shared" si="76"/>
        <v>0.99950024987506247</v>
      </c>
      <c r="R782">
        <f t="shared" si="77"/>
        <v>-6.8371308524939301E-4</v>
      </c>
      <c r="T782" s="5">
        <v>45349</v>
      </c>
      <c r="U782" s="1">
        <v>-6.8371308524939301E-4</v>
      </c>
    </row>
    <row r="783" spans="3:21" x14ac:dyDescent="0.2">
      <c r="C783" s="5">
        <v>45350</v>
      </c>
      <c r="D783" s="6">
        <v>1.0012399999999999</v>
      </c>
      <c r="E783" s="6">
        <v>62484.1</v>
      </c>
      <c r="F783" s="6">
        <v>62396.639999999999</v>
      </c>
      <c r="G783" s="6">
        <v>62543.5</v>
      </c>
      <c r="H783" s="6">
        <v>62424.12</v>
      </c>
      <c r="I783" s="5">
        <v>45350</v>
      </c>
      <c r="J783" s="7">
        <f t="shared" si="74"/>
        <v>9.608465445727697E-4</v>
      </c>
      <c r="K783" s="5">
        <v>45350</v>
      </c>
      <c r="L783" s="8">
        <f t="shared" si="75"/>
        <v>-2.3481257045096706E-3</v>
      </c>
      <c r="M783" s="5">
        <v>45350</v>
      </c>
      <c r="N783" s="9">
        <f t="shared" si="72"/>
        <v>-1.3872791599369009E-3</v>
      </c>
      <c r="O783" s="5">
        <v>45350</v>
      </c>
      <c r="P783">
        <f t="shared" si="73"/>
        <v>0.99809124849105024</v>
      </c>
      <c r="Q783" s="6">
        <f t="shared" si="76"/>
        <v>0.99876153569573733</v>
      </c>
      <c r="R783">
        <f t="shared" si="77"/>
        <v>-6.7134366155596097E-4</v>
      </c>
      <c r="T783" s="5">
        <v>45350</v>
      </c>
      <c r="U783" s="1">
        <v>-6.7134366155596097E-4</v>
      </c>
    </row>
    <row r="784" spans="3:21" x14ac:dyDescent="0.2">
      <c r="C784" s="5">
        <v>45351</v>
      </c>
      <c r="D784" s="6">
        <v>1.0005200000000001</v>
      </c>
      <c r="E784" s="6">
        <v>61184.1</v>
      </c>
      <c r="F784" s="6">
        <v>60804.82</v>
      </c>
      <c r="G784" s="6">
        <v>61262.5</v>
      </c>
      <c r="H784" s="6">
        <v>61132</v>
      </c>
      <c r="I784" s="5">
        <v>45351</v>
      </c>
      <c r="J784" s="7">
        <f t="shared" si="74"/>
        <v>8.5225413858533243E-4</v>
      </c>
      <c r="K784" s="5">
        <v>45351</v>
      </c>
      <c r="L784" s="8">
        <f t="shared" si="75"/>
        <v>-7.4708018771679294E-3</v>
      </c>
      <c r="M784" s="5">
        <v>45351</v>
      </c>
      <c r="N784" s="9">
        <f t="shared" si="72"/>
        <v>-6.6185477385825968E-3</v>
      </c>
      <c r="O784" s="5">
        <v>45351</v>
      </c>
      <c r="P784">
        <f t="shared" si="73"/>
        <v>0.99786982248520706</v>
      </c>
      <c r="Q784" s="6">
        <f t="shared" si="76"/>
        <v>0.99948027025946495</v>
      </c>
      <c r="R784">
        <f t="shared" si="77"/>
        <v>-1.6125847232248344E-3</v>
      </c>
      <c r="T784" s="5">
        <v>45351</v>
      </c>
      <c r="U784" s="1">
        <v>-1.6125847232248344E-3</v>
      </c>
    </row>
    <row r="785" spans="3:21" x14ac:dyDescent="0.2">
      <c r="C785" s="5">
        <v>45352</v>
      </c>
      <c r="D785" s="6">
        <v>1.0007299999999999</v>
      </c>
      <c r="E785" s="6">
        <v>62417.599999999999</v>
      </c>
      <c r="F785" s="6">
        <v>62401.18</v>
      </c>
      <c r="G785" s="6">
        <v>62470</v>
      </c>
      <c r="H785" s="6">
        <v>62380.26</v>
      </c>
      <c r="I785" s="5">
        <v>45352</v>
      </c>
      <c r="J785" s="7">
        <f t="shared" si="74"/>
        <v>5.9858679652820474E-4</v>
      </c>
      <c r="K785" s="5">
        <v>45352</v>
      </c>
      <c r="L785" s="8">
        <f t="shared" si="75"/>
        <v>-1.1016487914198769E-3</v>
      </c>
      <c r="M785" s="5">
        <v>45352</v>
      </c>
      <c r="N785" s="9">
        <f t="shared" si="72"/>
        <v>-5.0306199489167215E-4</v>
      </c>
      <c r="O785" s="5">
        <v>45352</v>
      </c>
      <c r="P785">
        <f t="shared" si="73"/>
        <v>0.99856347046582361</v>
      </c>
      <c r="Q785" s="6">
        <f t="shared" si="76"/>
        <v>0.99927053251126685</v>
      </c>
      <c r="R785">
        <f t="shared" si="77"/>
        <v>-7.078286523411921E-4</v>
      </c>
      <c r="T785" s="5">
        <v>45352</v>
      </c>
      <c r="U785" s="1">
        <v>-7.078286523411921E-4</v>
      </c>
    </row>
    <row r="786" spans="3:21" x14ac:dyDescent="0.2">
      <c r="C786" s="5">
        <v>45353</v>
      </c>
      <c r="D786" s="6">
        <v>1.0006999999999999</v>
      </c>
      <c r="E786" s="6">
        <v>62055.9</v>
      </c>
      <c r="F786" s="6">
        <v>62022.06</v>
      </c>
      <c r="G786" s="6">
        <v>62102</v>
      </c>
      <c r="H786" s="6">
        <v>61997.15</v>
      </c>
      <c r="I786" s="5">
        <v>45353</v>
      </c>
      <c r="J786" s="7">
        <f t="shared" si="74"/>
        <v>9.4762420530621159E-4</v>
      </c>
      <c r="K786" s="5">
        <v>45353</v>
      </c>
      <c r="L786" s="8">
        <f t="shared" si="75"/>
        <v>-1.2872371260185232E-3</v>
      </c>
      <c r="M786" s="5">
        <v>45353</v>
      </c>
      <c r="N786" s="9">
        <f t="shared" si="72"/>
        <v>-3.3961292071231161E-4</v>
      </c>
      <c r="O786" s="5">
        <v>45353</v>
      </c>
      <c r="P786">
        <f t="shared" si="73"/>
        <v>0.99831164857814558</v>
      </c>
      <c r="Q786" s="6">
        <f t="shared" si="76"/>
        <v>0.99930048965724005</v>
      </c>
      <c r="R786">
        <f t="shared" si="77"/>
        <v>-9.9002317910953344E-4</v>
      </c>
      <c r="T786" s="5">
        <v>45353</v>
      </c>
      <c r="U786" s="1">
        <v>-9.9002317910953344E-4</v>
      </c>
    </row>
    <row r="787" spans="3:21" x14ac:dyDescent="0.2">
      <c r="C787" s="5">
        <v>45354</v>
      </c>
      <c r="D787" s="6">
        <v>1.0004999999999999</v>
      </c>
      <c r="E787" s="6">
        <v>63179.1</v>
      </c>
      <c r="F787" s="6">
        <v>63141.16</v>
      </c>
      <c r="G787" s="6">
        <v>63205.5</v>
      </c>
      <c r="H787" s="6">
        <v>63112.77</v>
      </c>
      <c r="I787" s="5">
        <v>45354</v>
      </c>
      <c r="J787" s="7">
        <f t="shared" si="74"/>
        <v>1.0509758960033247E-3</v>
      </c>
      <c r="K787" s="5">
        <v>45354</v>
      </c>
      <c r="L787" s="8">
        <f t="shared" si="75"/>
        <v>-1.0179493873159219E-3</v>
      </c>
      <c r="M787" s="5">
        <v>45354</v>
      </c>
      <c r="N787" s="9">
        <f t="shared" si="72"/>
        <v>3.3026508687402766E-5</v>
      </c>
      <c r="O787" s="5">
        <v>45354</v>
      </c>
      <c r="P787">
        <f t="shared" si="73"/>
        <v>0.99853288084106606</v>
      </c>
      <c r="Q787" s="6">
        <f t="shared" si="76"/>
        <v>0.99950024987506247</v>
      </c>
      <c r="R787">
        <f t="shared" si="77"/>
        <v>-9.6832139038373886E-4</v>
      </c>
      <c r="T787" s="5">
        <v>45354</v>
      </c>
      <c r="U787" s="1">
        <v>-9.6832139038373886E-4</v>
      </c>
    </row>
    <row r="788" spans="3:21" x14ac:dyDescent="0.2">
      <c r="C788" s="5">
        <v>45355</v>
      </c>
      <c r="D788" s="6">
        <v>1.00143</v>
      </c>
      <c r="E788" s="6">
        <v>68360</v>
      </c>
      <c r="F788" s="6">
        <v>68201.210000000006</v>
      </c>
      <c r="G788" s="6">
        <v>68399</v>
      </c>
      <c r="H788" s="6">
        <v>68245.289999999994</v>
      </c>
      <c r="I788" s="5">
        <v>45355</v>
      </c>
      <c r="J788" s="7">
        <f t="shared" si="74"/>
        <v>1.6808485977568037E-3</v>
      </c>
      <c r="K788" s="5">
        <v>45355</v>
      </c>
      <c r="L788" s="8">
        <f t="shared" si="75"/>
        <v>-2.89170894311311E-3</v>
      </c>
      <c r="M788" s="5">
        <v>45355</v>
      </c>
      <c r="N788" s="9">
        <f t="shared" si="72"/>
        <v>-1.2108603453563063E-3</v>
      </c>
      <c r="O788" s="5">
        <v>45355</v>
      </c>
      <c r="P788">
        <f t="shared" si="73"/>
        <v>0.99775274492317123</v>
      </c>
      <c r="Q788" s="6">
        <f t="shared" si="76"/>
        <v>0.99857204197996863</v>
      </c>
      <c r="R788">
        <f t="shared" si="77"/>
        <v>-8.2080542021069759E-4</v>
      </c>
      <c r="T788" s="5">
        <v>45355</v>
      </c>
      <c r="U788" s="1">
        <v>-8.2080542021069759E-4</v>
      </c>
    </row>
    <row r="789" spans="3:21" x14ac:dyDescent="0.2">
      <c r="C789" s="5">
        <v>45356</v>
      </c>
      <c r="D789" s="6">
        <v>1.0014099999999999</v>
      </c>
      <c r="E789" s="6">
        <v>63750.1</v>
      </c>
      <c r="F789" s="6">
        <v>63839.03</v>
      </c>
      <c r="G789" s="6">
        <v>63839.5</v>
      </c>
      <c r="H789" s="6">
        <v>63723.09</v>
      </c>
      <c r="I789" s="5">
        <v>45356</v>
      </c>
      <c r="J789" s="7">
        <f t="shared" si="74"/>
        <v>4.2386519548882575E-4</v>
      </c>
      <c r="K789" s="5">
        <v>45356</v>
      </c>
      <c r="L789" s="8">
        <f t="shared" si="75"/>
        <v>-7.3622130499324738E-6</v>
      </c>
      <c r="M789" s="5">
        <v>45356</v>
      </c>
      <c r="N789" s="9">
        <f t="shared" si="72"/>
        <v>4.1650298243889328E-4</v>
      </c>
      <c r="O789" s="5">
        <v>45356</v>
      </c>
      <c r="P789">
        <f t="shared" si="73"/>
        <v>0.99817652080608399</v>
      </c>
      <c r="Q789" s="6">
        <f t="shared" si="76"/>
        <v>0.99859198530072601</v>
      </c>
      <c r="R789">
        <f t="shared" si="77"/>
        <v>-4.1613687251866116E-4</v>
      </c>
      <c r="T789" s="5">
        <v>45356</v>
      </c>
      <c r="U789" s="1">
        <v>-4.1613687251866116E-4</v>
      </c>
    </row>
    <row r="790" spans="3:21" x14ac:dyDescent="0.2">
      <c r="C790" s="5">
        <v>45357</v>
      </c>
      <c r="D790" s="6">
        <v>1.0007299999999999</v>
      </c>
      <c r="E790" s="6">
        <v>66118.5</v>
      </c>
      <c r="F790" s="6">
        <v>66169.48</v>
      </c>
      <c r="G790" s="6">
        <v>66155</v>
      </c>
      <c r="H790" s="6">
        <v>66066.490000000005</v>
      </c>
      <c r="I790" s="5">
        <v>45357</v>
      </c>
      <c r="J790" s="7">
        <f t="shared" si="74"/>
        <v>7.8723722116907913E-4</v>
      </c>
      <c r="K790" s="5">
        <v>45357</v>
      </c>
      <c r="L790" s="8">
        <f t="shared" si="75"/>
        <v>2.1887990325743974E-4</v>
      </c>
      <c r="M790" s="5">
        <v>45357</v>
      </c>
      <c r="N790" s="9">
        <f t="shared" si="72"/>
        <v>1.006117124426519E-3</v>
      </c>
      <c r="O790" s="5">
        <v>45357</v>
      </c>
      <c r="P790">
        <f t="shared" si="73"/>
        <v>0.9986620814753232</v>
      </c>
      <c r="Q790" s="6">
        <f t="shared" si="76"/>
        <v>0.99927053251126685</v>
      </c>
      <c r="R790">
        <f t="shared" si="77"/>
        <v>-6.0908065716973304E-4</v>
      </c>
      <c r="T790" s="5">
        <v>45357</v>
      </c>
      <c r="U790" s="1">
        <v>-6.0908065716973304E-4</v>
      </c>
    </row>
    <row r="791" spans="3:21" x14ac:dyDescent="0.2">
      <c r="C791" s="5">
        <v>45358</v>
      </c>
      <c r="D791" s="6">
        <v>1.00162</v>
      </c>
      <c r="E791" s="6">
        <v>66858.7</v>
      </c>
      <c r="F791" s="6">
        <v>66977.53</v>
      </c>
      <c r="G791" s="6">
        <v>66978.5</v>
      </c>
      <c r="H791" s="6">
        <v>66818.02</v>
      </c>
      <c r="I791" s="5">
        <v>45358</v>
      </c>
      <c r="J791" s="7">
        <f t="shared" si="74"/>
        <v>6.0881780094640652E-4</v>
      </c>
      <c r="K791" s="5">
        <v>45358</v>
      </c>
      <c r="L791" s="8">
        <f t="shared" si="75"/>
        <v>-1.4482259232457641E-5</v>
      </c>
      <c r="M791" s="5">
        <v>45358</v>
      </c>
      <c r="N791" s="9">
        <f t="shared" si="72"/>
        <v>5.9433554171394885E-4</v>
      </c>
      <c r="O791" s="5">
        <v>45358</v>
      </c>
      <c r="P791">
        <f t="shared" si="73"/>
        <v>0.9976040072560598</v>
      </c>
      <c r="Q791" s="6">
        <f t="shared" si="76"/>
        <v>0.9983826201553484</v>
      </c>
      <c r="R791">
        <f t="shared" si="77"/>
        <v>-7.8017851231005134E-4</v>
      </c>
      <c r="T791" s="5">
        <v>45358</v>
      </c>
      <c r="U791" s="1">
        <v>-7.8017851231005134E-4</v>
      </c>
    </row>
    <row r="792" spans="3:21" x14ac:dyDescent="0.2">
      <c r="C792" s="5">
        <v>45359</v>
      </c>
      <c r="D792" s="6">
        <v>1.0022200000000001</v>
      </c>
      <c r="E792" s="6">
        <v>68165</v>
      </c>
      <c r="F792" s="6">
        <v>68314.92</v>
      </c>
      <c r="G792" s="6">
        <v>68308.5</v>
      </c>
      <c r="H792" s="6">
        <v>68108.02</v>
      </c>
      <c r="I792" s="5">
        <v>45359</v>
      </c>
      <c r="J792" s="7">
        <f t="shared" si="74"/>
        <v>8.3661219339507917E-4</v>
      </c>
      <c r="K792" s="5">
        <v>45359</v>
      </c>
      <c r="L792" s="8">
        <f t="shared" si="75"/>
        <v>9.3985375172903136E-5</v>
      </c>
      <c r="M792" s="5">
        <v>45359</v>
      </c>
      <c r="N792" s="9">
        <f t="shared" si="72"/>
        <v>9.3059756856798232E-4</v>
      </c>
      <c r="O792" s="5">
        <v>45359</v>
      </c>
      <c r="P792">
        <f t="shared" si="73"/>
        <v>0.99706507974849401</v>
      </c>
      <c r="Q792" s="6">
        <f t="shared" si="76"/>
        <v>0.99778491748318721</v>
      </c>
      <c r="R792">
        <f t="shared" si="77"/>
        <v>-7.2169613448215336E-4</v>
      </c>
      <c r="T792" s="5">
        <v>45359</v>
      </c>
      <c r="U792" s="1">
        <v>-7.2169613448215336E-4</v>
      </c>
    </row>
    <row r="793" spans="3:21" x14ac:dyDescent="0.2">
      <c r="C793" s="5">
        <v>45360</v>
      </c>
      <c r="D793" s="6">
        <v>1.00217</v>
      </c>
      <c r="E793" s="6">
        <v>68374.399999999994</v>
      </c>
      <c r="F793" s="6">
        <v>68445.61</v>
      </c>
      <c r="G793" s="6">
        <v>68493.5</v>
      </c>
      <c r="H793" s="6">
        <v>68316</v>
      </c>
      <c r="I793" s="5">
        <v>45360</v>
      </c>
      <c r="J793" s="7">
        <f t="shared" si="74"/>
        <v>8.5485098659163563E-4</v>
      </c>
      <c r="K793" s="5">
        <v>45360</v>
      </c>
      <c r="L793" s="8">
        <f t="shared" si="75"/>
        <v>-6.9919043412877745E-4</v>
      </c>
      <c r="M793" s="5">
        <v>45360</v>
      </c>
      <c r="N793" s="9">
        <f t="shared" si="72"/>
        <v>1.5566055246285819E-4</v>
      </c>
      <c r="O793" s="5">
        <v>45360</v>
      </c>
      <c r="P793">
        <f t="shared" si="73"/>
        <v>0.99740851321658264</v>
      </c>
      <c r="Q793" s="6">
        <f t="shared" si="76"/>
        <v>0.99783469870381269</v>
      </c>
      <c r="R793">
        <f t="shared" si="77"/>
        <v>-4.2720154732557624E-4</v>
      </c>
      <c r="T793" s="5">
        <v>45360</v>
      </c>
      <c r="U793" s="1">
        <v>-4.2720154732557624E-4</v>
      </c>
    </row>
    <row r="794" spans="3:21" x14ac:dyDescent="0.2">
      <c r="C794" s="5">
        <v>45361</v>
      </c>
      <c r="D794" s="6">
        <v>1.0009300000000001</v>
      </c>
      <c r="E794" s="6">
        <v>68999.600000000006</v>
      </c>
      <c r="F794" s="6">
        <v>69057.62</v>
      </c>
      <c r="G794" s="6">
        <v>69106.5</v>
      </c>
      <c r="H794" s="6">
        <v>68944.009999999995</v>
      </c>
      <c r="I794" s="5">
        <v>45361</v>
      </c>
      <c r="J794" s="7">
        <f t="shared" si="74"/>
        <v>8.0630645069834292E-4</v>
      </c>
      <c r="K794" s="5">
        <v>45361</v>
      </c>
      <c r="L794" s="8">
        <f t="shared" si="75"/>
        <v>-7.0731407320591628E-4</v>
      </c>
      <c r="M794" s="5">
        <v>45361</v>
      </c>
      <c r="N794" s="9">
        <f t="shared" si="72"/>
        <v>9.8992377492426644E-5</v>
      </c>
      <c r="O794" s="5">
        <v>45361</v>
      </c>
      <c r="P794">
        <f t="shared" si="73"/>
        <v>0.99764870164166886</v>
      </c>
      <c r="Q794" s="6">
        <f t="shared" si="76"/>
        <v>0.99907086409639023</v>
      </c>
      <c r="R794">
        <f t="shared" si="77"/>
        <v>-1.4244991831720711E-3</v>
      </c>
      <c r="T794" s="5">
        <v>45361</v>
      </c>
      <c r="U794" s="1">
        <v>-1.4244991831720711E-3</v>
      </c>
    </row>
    <row r="795" spans="3:21" x14ac:dyDescent="0.2">
      <c r="C795" s="5">
        <v>45362</v>
      </c>
      <c r="D795" s="6">
        <v>1.0003500000000001</v>
      </c>
      <c r="E795" s="6">
        <v>72152.399999999994</v>
      </c>
      <c r="F795" s="6">
        <v>71401.119999999995</v>
      </c>
      <c r="G795" s="6">
        <v>72191.5</v>
      </c>
      <c r="H795" s="6">
        <v>72076</v>
      </c>
      <c r="I795" s="5">
        <v>45362</v>
      </c>
      <c r="J795" s="7">
        <f t="shared" si="74"/>
        <v>1.0599922304233612E-3</v>
      </c>
      <c r="K795" s="5">
        <v>45362</v>
      </c>
      <c r="L795" s="8">
        <f t="shared" si="75"/>
        <v>-1.0948380349487193E-2</v>
      </c>
      <c r="M795" s="5">
        <v>45362</v>
      </c>
      <c r="N795" s="9">
        <f t="shared" si="72"/>
        <v>-9.8883881190638314E-3</v>
      </c>
      <c r="O795" s="5">
        <v>45362</v>
      </c>
      <c r="P795">
        <f t="shared" si="73"/>
        <v>0.99840008865309637</v>
      </c>
      <c r="Q795" s="6">
        <f t="shared" si="76"/>
        <v>0.99965012245713991</v>
      </c>
      <c r="R795">
        <f t="shared" si="77"/>
        <v>-1.2512538075211412E-3</v>
      </c>
      <c r="T795" s="5">
        <v>45362</v>
      </c>
      <c r="U795" s="1">
        <v>-1.2512538075211412E-3</v>
      </c>
    </row>
    <row r="796" spans="3:21" x14ac:dyDescent="0.2">
      <c r="C796" s="5">
        <v>45363</v>
      </c>
      <c r="D796" s="6">
        <v>1.0001</v>
      </c>
      <c r="E796" s="6">
        <v>71512</v>
      </c>
      <c r="F796" s="6">
        <v>71492.02</v>
      </c>
      <c r="G796" s="6">
        <v>71513.5</v>
      </c>
      <c r="H796" s="6">
        <v>71447.64</v>
      </c>
      <c r="I796" s="5">
        <v>45363</v>
      </c>
      <c r="J796" s="7">
        <f t="shared" si="74"/>
        <v>9.0079952255946573E-4</v>
      </c>
      <c r="K796" s="5">
        <v>45363</v>
      </c>
      <c r="L796" s="8">
        <f t="shared" si="75"/>
        <v>-3.0036286854923794E-4</v>
      </c>
      <c r="M796" s="5">
        <v>45363</v>
      </c>
      <c r="N796" s="9">
        <f t="shared" si="72"/>
        <v>6.0043665401022779E-4</v>
      </c>
      <c r="O796" s="5">
        <v>45363</v>
      </c>
      <c r="P796">
        <f t="shared" si="73"/>
        <v>0.99907905500360072</v>
      </c>
      <c r="Q796" s="6">
        <f t="shared" si="76"/>
        <v>0.99990000999900008</v>
      </c>
      <c r="R796">
        <f t="shared" si="77"/>
        <v>-8.2137432645241787E-4</v>
      </c>
      <c r="T796" s="5">
        <v>45363</v>
      </c>
      <c r="U796" s="1">
        <v>-8.2137432645241787E-4</v>
      </c>
    </row>
    <row r="797" spans="3:21" x14ac:dyDescent="0.2">
      <c r="C797" s="5">
        <v>45364</v>
      </c>
      <c r="D797" s="6">
        <v>1.0006900000000001</v>
      </c>
      <c r="E797" s="6">
        <v>73133</v>
      </c>
      <c r="F797" s="6">
        <v>73155.34</v>
      </c>
      <c r="G797" s="6">
        <v>73151.5</v>
      </c>
      <c r="H797" s="6">
        <v>73079.399999999994</v>
      </c>
      <c r="I797" s="5">
        <v>45364</v>
      </c>
      <c r="J797" s="7">
        <f t="shared" si="74"/>
        <v>7.3344882415572407E-4</v>
      </c>
      <c r="K797" s="5">
        <v>45364</v>
      </c>
      <c r="L797" s="8">
        <f t="shared" si="75"/>
        <v>5.2493797119628544E-5</v>
      </c>
      <c r="M797" s="5">
        <v>45364</v>
      </c>
      <c r="N797" s="9">
        <f t="shared" si="72"/>
        <v>7.8594262127535265E-4</v>
      </c>
      <c r="O797" s="5">
        <v>45364</v>
      </c>
      <c r="P797">
        <f t="shared" si="73"/>
        <v>0.99901437427803941</v>
      </c>
      <c r="Q797" s="6">
        <f t="shared" si="76"/>
        <v>0.99931047577171739</v>
      </c>
      <c r="R797">
        <f t="shared" si="77"/>
        <v>-2.9634971094683483E-4</v>
      </c>
      <c r="T797" s="5">
        <v>45364</v>
      </c>
      <c r="U797" s="1">
        <v>-2.9634971094683483E-4</v>
      </c>
    </row>
    <row r="798" spans="3:21" x14ac:dyDescent="0.2">
      <c r="C798" s="5">
        <v>45365</v>
      </c>
      <c r="D798" s="6">
        <v>0.99978</v>
      </c>
      <c r="E798" s="6">
        <v>71473.100000000006</v>
      </c>
      <c r="F798" s="6">
        <v>71434.22</v>
      </c>
      <c r="G798" s="6">
        <v>71450</v>
      </c>
      <c r="H798" s="6">
        <v>71399.100000000006</v>
      </c>
      <c r="I798" s="5">
        <v>45365</v>
      </c>
      <c r="J798" s="7">
        <f t="shared" si="74"/>
        <v>1.0364276300401545E-3</v>
      </c>
      <c r="K798" s="5">
        <v>45365</v>
      </c>
      <c r="L798" s="8">
        <f t="shared" si="75"/>
        <v>-2.2085374387682065E-4</v>
      </c>
      <c r="M798" s="5">
        <v>45365</v>
      </c>
      <c r="N798" s="9">
        <f t="shared" si="72"/>
        <v>8.1557388616333389E-4</v>
      </c>
      <c r="O798" s="5">
        <v>45365</v>
      </c>
      <c r="P798">
        <f t="shared" si="73"/>
        <v>0.99928761371588537</v>
      </c>
      <c r="Q798" s="6">
        <f t="shared" si="76"/>
        <v>1.0002200484106503</v>
      </c>
      <c r="R798">
        <f t="shared" si="77"/>
        <v>-9.3266435534846651E-4</v>
      </c>
      <c r="T798" s="5">
        <v>45365</v>
      </c>
      <c r="U798" s="1">
        <v>-9.3266435534846651E-4</v>
      </c>
    </row>
    <row r="799" spans="3:21" x14ac:dyDescent="0.2">
      <c r="C799" s="5">
        <v>45366</v>
      </c>
      <c r="D799" s="6">
        <v>1.0001</v>
      </c>
      <c r="E799" s="6">
        <v>69523.8</v>
      </c>
      <c r="F799" s="6">
        <v>69602.55</v>
      </c>
      <c r="G799" s="6">
        <v>69554.5</v>
      </c>
      <c r="H799" s="6">
        <v>69503</v>
      </c>
      <c r="I799" s="5">
        <v>45366</v>
      </c>
      <c r="J799" s="7">
        <f t="shared" si="74"/>
        <v>2.9926765751122844E-4</v>
      </c>
      <c r="K799" s="5">
        <v>45366</v>
      </c>
      <c r="L799" s="8">
        <f t="shared" si="75"/>
        <v>6.9082518025437474E-4</v>
      </c>
      <c r="M799" s="5">
        <v>45366</v>
      </c>
      <c r="N799" s="9">
        <f t="shared" si="72"/>
        <v>9.9009283776560313E-4</v>
      </c>
      <c r="O799" s="5">
        <v>45366</v>
      </c>
      <c r="P799">
        <f t="shared" si="73"/>
        <v>0.99925957342803118</v>
      </c>
      <c r="Q799" s="6">
        <f t="shared" si="76"/>
        <v>0.99990000999900008</v>
      </c>
      <c r="R799">
        <f t="shared" si="77"/>
        <v>-6.4070582277325912E-4</v>
      </c>
      <c r="T799" s="5">
        <v>45366</v>
      </c>
      <c r="U799" s="1">
        <v>-6.4070582277325912E-4</v>
      </c>
    </row>
    <row r="800" spans="3:21" x14ac:dyDescent="0.2">
      <c r="C800" s="5">
        <v>45367</v>
      </c>
      <c r="D800" s="6">
        <v>0.99914999999999998</v>
      </c>
      <c r="E800" s="6">
        <v>65331.199999999997</v>
      </c>
      <c r="F800" s="6">
        <v>65436.78</v>
      </c>
      <c r="G800" s="6">
        <v>65312</v>
      </c>
      <c r="H800" s="6">
        <v>65304.54</v>
      </c>
      <c r="I800" s="5">
        <v>45367</v>
      </c>
      <c r="J800" s="7">
        <f t="shared" si="74"/>
        <v>4.0824114219311882E-4</v>
      </c>
      <c r="K800" s="5">
        <v>45367</v>
      </c>
      <c r="L800" s="8">
        <f t="shared" si="75"/>
        <v>1.9105218030377087E-3</v>
      </c>
      <c r="M800" s="5">
        <v>45367</v>
      </c>
      <c r="N800" s="9">
        <f t="shared" si="72"/>
        <v>2.3187629452308275E-3</v>
      </c>
      <c r="O800" s="5">
        <v>45367</v>
      </c>
      <c r="P800">
        <f t="shared" si="73"/>
        <v>0.99988577902988729</v>
      </c>
      <c r="Q800" s="6">
        <f t="shared" si="76"/>
        <v>1.0008507231146475</v>
      </c>
      <c r="R800">
        <f t="shared" si="77"/>
        <v>-9.6458894866346457E-4</v>
      </c>
      <c r="T800" s="5">
        <v>45367</v>
      </c>
      <c r="U800" s="1">
        <v>-9.6458894866346457E-4</v>
      </c>
    </row>
    <row r="801" spans="3:21" x14ac:dyDescent="0.2">
      <c r="C801" s="5">
        <v>45368</v>
      </c>
      <c r="D801" s="6">
        <v>0.99933000000000005</v>
      </c>
      <c r="E801" s="6">
        <v>68432.2</v>
      </c>
      <c r="F801" s="6">
        <v>68498.070000000007</v>
      </c>
      <c r="G801" s="6">
        <v>68386.5</v>
      </c>
      <c r="H801" s="6">
        <v>68395.39</v>
      </c>
      <c r="I801" s="5">
        <v>45368</v>
      </c>
      <c r="J801" s="7">
        <f t="shared" si="74"/>
        <v>5.3819416776478164E-4</v>
      </c>
      <c r="K801" s="5">
        <v>45368</v>
      </c>
      <c r="L801" s="8">
        <f t="shared" si="75"/>
        <v>1.6314623500253264E-3</v>
      </c>
      <c r="M801" s="5">
        <v>45368</v>
      </c>
      <c r="N801" s="9">
        <f t="shared" si="72"/>
        <v>2.1696565177901079E-3</v>
      </c>
      <c r="O801" s="5">
        <v>45368</v>
      </c>
      <c r="P801">
        <f t="shared" si="73"/>
        <v>1.0001299964174215</v>
      </c>
      <c r="Q801" s="6">
        <f t="shared" si="76"/>
        <v>1.0006704492009646</v>
      </c>
      <c r="R801">
        <f t="shared" si="77"/>
        <v>-5.4023658168526466E-4</v>
      </c>
      <c r="T801" s="5">
        <v>45368</v>
      </c>
      <c r="U801" s="1">
        <v>-5.4023658168526466E-4</v>
      </c>
    </row>
    <row r="802" spans="3:21" x14ac:dyDescent="0.2">
      <c r="C802" s="5">
        <v>45369</v>
      </c>
      <c r="D802" s="6">
        <v>0.99997999999999998</v>
      </c>
      <c r="E802" s="6">
        <v>67643.899999999994</v>
      </c>
      <c r="F802" s="6">
        <v>67652.149999999994</v>
      </c>
      <c r="G802" s="6">
        <v>67614</v>
      </c>
      <c r="H802" s="6">
        <v>67616</v>
      </c>
      <c r="I802" s="5">
        <v>45369</v>
      </c>
      <c r="J802" s="7">
        <f t="shared" si="74"/>
        <v>4.1262423095116807E-4</v>
      </c>
      <c r="K802" s="5">
        <v>45369</v>
      </c>
      <c r="L802" s="8">
        <f t="shared" si="75"/>
        <v>5.6423225959112281E-4</v>
      </c>
      <c r="M802" s="5">
        <v>45369</v>
      </c>
      <c r="N802" s="9">
        <f t="shared" si="72"/>
        <v>9.7685649054229094E-4</v>
      </c>
      <c r="O802" s="5">
        <v>45369</v>
      </c>
      <c r="P802">
        <f t="shared" si="73"/>
        <v>1.0000295796728489</v>
      </c>
      <c r="Q802" s="6">
        <f t="shared" si="76"/>
        <v>1.0000200004000079</v>
      </c>
      <c r="R802">
        <f t="shared" si="77"/>
        <v>9.5790353764337712E-6</v>
      </c>
      <c r="T802" s="5">
        <v>45369</v>
      </c>
      <c r="U802" s="1">
        <v>9.5790353764337712E-6</v>
      </c>
    </row>
    <row r="803" spans="3:21" x14ac:dyDescent="0.2">
      <c r="C803" s="5">
        <v>45370</v>
      </c>
      <c r="D803" s="6">
        <v>0.99948000000000004</v>
      </c>
      <c r="E803" s="6">
        <v>61971.5</v>
      </c>
      <c r="F803" s="6">
        <v>61993.49</v>
      </c>
      <c r="G803" s="6">
        <v>61923</v>
      </c>
      <c r="H803" s="6">
        <v>61936.89</v>
      </c>
      <c r="I803" s="5">
        <v>45370</v>
      </c>
      <c r="J803" s="7">
        <f t="shared" si="74"/>
        <v>5.5879460528290305E-4</v>
      </c>
      <c r="K803" s="5">
        <v>45370</v>
      </c>
      <c r="L803" s="8">
        <f t="shared" si="75"/>
        <v>1.1383492401853587E-3</v>
      </c>
      <c r="M803" s="5">
        <v>45370</v>
      </c>
      <c r="N803" s="9">
        <f t="shared" si="72"/>
        <v>1.6971438454682617E-3</v>
      </c>
      <c r="O803" s="5">
        <v>45370</v>
      </c>
      <c r="P803">
        <f t="shared" si="73"/>
        <v>1.0002243108376532</v>
      </c>
      <c r="Q803" s="6">
        <f t="shared" si="76"/>
        <v>1.000520270540681</v>
      </c>
      <c r="R803">
        <f t="shared" si="77"/>
        <v>-2.9584956314877646E-4</v>
      </c>
      <c r="T803" s="5">
        <v>45370</v>
      </c>
      <c r="U803" s="1">
        <v>-2.9584956314877646E-4</v>
      </c>
    </row>
    <row r="804" spans="3:21" x14ac:dyDescent="0.2">
      <c r="C804" s="5">
        <v>45371</v>
      </c>
      <c r="D804" s="6">
        <v>1.00007</v>
      </c>
      <c r="E804" s="6">
        <v>67850.5</v>
      </c>
      <c r="F804" s="6">
        <v>67997.47</v>
      </c>
      <c r="G804" s="6">
        <v>67881.5</v>
      </c>
      <c r="H804" s="6">
        <v>67837.63</v>
      </c>
      <c r="I804" s="5">
        <v>45371</v>
      </c>
      <c r="J804" s="7">
        <f t="shared" si="74"/>
        <v>1.8971771272073248E-4</v>
      </c>
      <c r="K804" s="5">
        <v>45371</v>
      </c>
      <c r="L804" s="8">
        <f t="shared" si="75"/>
        <v>1.7084183466776835E-3</v>
      </c>
      <c r="M804" s="5">
        <v>45371</v>
      </c>
      <c r="N804" s="9">
        <f t="shared" si="72"/>
        <v>1.898136059398416E-3</v>
      </c>
      <c r="O804" s="5">
        <v>45371</v>
      </c>
      <c r="P804">
        <f t="shared" si="73"/>
        <v>0.99935372671493716</v>
      </c>
      <c r="Q804" s="6">
        <f t="shared" si="76"/>
        <v>0.999930004899657</v>
      </c>
      <c r="R804">
        <f t="shared" si="77"/>
        <v>-5.7648465954780585E-4</v>
      </c>
      <c r="T804" s="5">
        <v>45371</v>
      </c>
      <c r="U804" s="1">
        <v>-5.7648465954780585E-4</v>
      </c>
    </row>
    <row r="805" spans="3:21" x14ac:dyDescent="0.2">
      <c r="C805" s="5">
        <v>45372</v>
      </c>
      <c r="D805" s="6">
        <v>0.99975000000000003</v>
      </c>
      <c r="E805" s="6">
        <v>65536</v>
      </c>
      <c r="F805" s="6">
        <v>65555.44</v>
      </c>
      <c r="G805" s="6">
        <v>65520</v>
      </c>
      <c r="H805" s="6">
        <v>65503.519999999997</v>
      </c>
      <c r="I805" s="5">
        <v>45372</v>
      </c>
      <c r="J805" s="7">
        <f t="shared" si="74"/>
        <v>4.9585121532404978E-4</v>
      </c>
      <c r="K805" s="5">
        <v>45372</v>
      </c>
      <c r="L805" s="8">
        <f t="shared" si="75"/>
        <v>5.409035409035764E-4</v>
      </c>
      <c r="M805" s="5">
        <v>45372</v>
      </c>
      <c r="N805" s="9">
        <f t="shared" si="72"/>
        <v>1.0367547562276261E-3</v>
      </c>
      <c r="O805" s="5">
        <v>45372</v>
      </c>
      <c r="P805">
        <f t="shared" si="73"/>
        <v>0.99974847374847375</v>
      </c>
      <c r="Q805" s="6">
        <f t="shared" si="76"/>
        <v>1.000250062515629</v>
      </c>
      <c r="R805">
        <f t="shared" si="77"/>
        <v>-5.0158914476858762E-4</v>
      </c>
      <c r="T805" s="5">
        <v>45372</v>
      </c>
      <c r="U805" s="1">
        <v>-5.0158914476858762E-4</v>
      </c>
    </row>
    <row r="806" spans="3:21" x14ac:dyDescent="0.2">
      <c r="C806" s="5">
        <v>45373</v>
      </c>
      <c r="D806" s="6">
        <v>1.0002599999999999</v>
      </c>
      <c r="E806" s="6">
        <v>63815.8</v>
      </c>
      <c r="F806" s="6">
        <v>63865.65</v>
      </c>
      <c r="G806" s="6">
        <v>63832</v>
      </c>
      <c r="H806" s="6">
        <v>63806.57</v>
      </c>
      <c r="I806" s="5">
        <v>45373</v>
      </c>
      <c r="J806" s="7">
        <f t="shared" si="74"/>
        <v>1.4465595000645235E-4</v>
      </c>
      <c r="K806" s="5">
        <v>45373</v>
      </c>
      <c r="L806" s="8">
        <f t="shared" si="75"/>
        <v>5.2716505827800244E-4</v>
      </c>
      <c r="M806" s="5">
        <v>45373</v>
      </c>
      <c r="N806" s="9">
        <f t="shared" si="72"/>
        <v>6.7182100828445479E-4</v>
      </c>
      <c r="O806" s="5">
        <v>45373</v>
      </c>
      <c r="P806">
        <f t="shared" si="73"/>
        <v>0.9996016104775034</v>
      </c>
      <c r="Q806" s="6">
        <f t="shared" si="76"/>
        <v>0.99974006758242862</v>
      </c>
      <c r="R806">
        <f t="shared" si="77"/>
        <v>-1.3850269482788889E-4</v>
      </c>
      <c r="T806" s="5">
        <v>45373</v>
      </c>
      <c r="U806" s="1">
        <v>-1.3850269482788889E-4</v>
      </c>
    </row>
    <row r="807" spans="3:21" x14ac:dyDescent="0.2">
      <c r="C807" s="5">
        <v>45374</v>
      </c>
      <c r="D807" s="6">
        <v>1.0001800000000001</v>
      </c>
      <c r="E807" s="6">
        <v>63996.3</v>
      </c>
      <c r="F807" s="6">
        <v>64093.59</v>
      </c>
      <c r="G807" s="6">
        <v>64001.5</v>
      </c>
      <c r="H807" s="6">
        <v>63990.83</v>
      </c>
      <c r="I807" s="5">
        <v>45374</v>
      </c>
      <c r="J807" s="7">
        <f t="shared" si="74"/>
        <v>8.5480997824237694E-5</v>
      </c>
      <c r="K807" s="5">
        <v>45374</v>
      </c>
      <c r="L807" s="8">
        <f t="shared" si="75"/>
        <v>1.4388725264251074E-3</v>
      </c>
      <c r="M807" s="5">
        <v>45374</v>
      </c>
      <c r="N807" s="9">
        <f t="shared" si="72"/>
        <v>1.5243535242493451E-3</v>
      </c>
      <c r="O807" s="5">
        <v>45374</v>
      </c>
      <c r="P807">
        <f t="shared" si="73"/>
        <v>0.99983328515737901</v>
      </c>
      <c r="Q807" s="6">
        <f t="shared" si="76"/>
        <v>0.99982003239416894</v>
      </c>
      <c r="R807">
        <f t="shared" si="77"/>
        <v>1.3255060858828749E-5</v>
      </c>
      <c r="T807" s="5">
        <v>45374</v>
      </c>
      <c r="U807" s="1">
        <v>1.3255060858828749E-5</v>
      </c>
    </row>
    <row r="808" spans="3:21" x14ac:dyDescent="0.2">
      <c r="C808" s="5">
        <v>45375</v>
      </c>
      <c r="D808" s="6">
        <v>0.99995999999999996</v>
      </c>
      <c r="E808" s="6">
        <v>67248.100000000006</v>
      </c>
      <c r="F808" s="6">
        <v>67223.83</v>
      </c>
      <c r="G808" s="6">
        <v>67272</v>
      </c>
      <c r="H808" s="6">
        <v>67212.25</v>
      </c>
      <c r="I808" s="5">
        <v>45375</v>
      </c>
      <c r="J808" s="7">
        <f t="shared" si="74"/>
        <v>5.3338491123278598E-4</v>
      </c>
      <c r="K808" s="5">
        <v>45375</v>
      </c>
      <c r="L808" s="8">
        <f t="shared" si="75"/>
        <v>-7.1604828160301841E-4</v>
      </c>
      <c r="M808" s="5">
        <v>45375</v>
      </c>
      <c r="N808" s="9">
        <f t="shared" si="72"/>
        <v>-1.8266337037023243E-4</v>
      </c>
      <c r="O808" s="5">
        <v>45375</v>
      </c>
      <c r="P808">
        <f t="shared" si="73"/>
        <v>0.99911181472232136</v>
      </c>
      <c r="Q808" s="6">
        <f t="shared" si="76"/>
        <v>1.0000400016000641</v>
      </c>
      <c r="R808">
        <f t="shared" si="77"/>
        <v>-9.2858074795469929E-4</v>
      </c>
      <c r="T808" s="5">
        <v>45375</v>
      </c>
      <c r="U808" s="1">
        <v>-9.2858074795469929E-4</v>
      </c>
    </row>
    <row r="809" spans="3:21" x14ac:dyDescent="0.2">
      <c r="C809" s="5">
        <v>45376</v>
      </c>
      <c r="D809" s="6">
        <v>1.00013</v>
      </c>
      <c r="E809" s="6">
        <v>69903.399999999994</v>
      </c>
      <c r="F809" s="6">
        <v>69753.350000000006</v>
      </c>
      <c r="G809" s="6">
        <v>69938</v>
      </c>
      <c r="H809" s="6">
        <v>69859.100000000006</v>
      </c>
      <c r="I809" s="5">
        <v>45376</v>
      </c>
      <c r="J809" s="7">
        <f t="shared" si="74"/>
        <v>6.3413356312904626E-4</v>
      </c>
      <c r="K809" s="5">
        <v>45376</v>
      </c>
      <c r="L809" s="8">
        <f t="shared" si="75"/>
        <v>-2.6401956018186705E-3</v>
      </c>
      <c r="M809" s="5">
        <v>45376</v>
      </c>
      <c r="N809" s="9">
        <f t="shared" si="72"/>
        <v>-2.0060620386896243E-3</v>
      </c>
      <c r="O809" s="5">
        <v>45376</v>
      </c>
      <c r="P809">
        <f t="shared" si="73"/>
        <v>0.99887185793131061</v>
      </c>
      <c r="Q809" s="6">
        <f t="shared" si="76"/>
        <v>0.9998700168978033</v>
      </c>
      <c r="R809">
        <f t="shared" si="77"/>
        <v>-9.9878734922321188E-4</v>
      </c>
      <c r="T809" s="5">
        <v>45376</v>
      </c>
      <c r="U809" s="1">
        <v>-9.9878734922321188E-4</v>
      </c>
    </row>
    <row r="810" spans="3:21" x14ac:dyDescent="0.2">
      <c r="C810" s="5">
        <v>45377</v>
      </c>
      <c r="D810" s="6">
        <v>1</v>
      </c>
      <c r="E810" s="6">
        <v>70046</v>
      </c>
      <c r="F810" s="6">
        <v>70068.36</v>
      </c>
      <c r="G810" s="6">
        <v>70061.5</v>
      </c>
      <c r="H810" s="6">
        <v>69997.039999999994</v>
      </c>
      <c r="I810" s="5">
        <v>45377</v>
      </c>
      <c r="J810" s="7">
        <f t="shared" si="74"/>
        <v>6.9945814851608596E-4</v>
      </c>
      <c r="K810" s="5">
        <v>45377</v>
      </c>
      <c r="L810" s="8">
        <f t="shared" si="75"/>
        <v>9.7913975578607112E-5</v>
      </c>
      <c r="M810" s="5">
        <v>45377</v>
      </c>
      <c r="N810" s="9">
        <f t="shared" si="72"/>
        <v>7.9737212409469304E-4</v>
      </c>
      <c r="O810" s="5">
        <v>45377</v>
      </c>
      <c r="P810">
        <f t="shared" si="73"/>
        <v>0.99907995118574378</v>
      </c>
      <c r="Q810" s="6">
        <f t="shared" si="76"/>
        <v>1</v>
      </c>
      <c r="R810">
        <f t="shared" si="77"/>
        <v>-9.2047231894978529E-4</v>
      </c>
      <c r="T810" s="5">
        <v>45377</v>
      </c>
      <c r="U810" s="1">
        <v>-9.2047231894978529E-4</v>
      </c>
    </row>
    <row r="811" spans="3:21" x14ac:dyDescent="0.2">
      <c r="C811" s="5">
        <v>45378</v>
      </c>
      <c r="D811" s="6">
        <v>0.99953999999999998</v>
      </c>
      <c r="E811" s="6">
        <v>69548.600000000006</v>
      </c>
      <c r="F811" s="6">
        <v>69531.94</v>
      </c>
      <c r="G811" s="6">
        <v>69521.5</v>
      </c>
      <c r="H811" s="6">
        <v>69470.789999999994</v>
      </c>
      <c r="I811" s="5">
        <v>45378</v>
      </c>
      <c r="J811" s="7">
        <f t="shared" si="74"/>
        <v>1.1200390840526246E-3</v>
      </c>
      <c r="K811" s="5">
        <v>45378</v>
      </c>
      <c r="L811" s="8">
        <f t="shared" si="75"/>
        <v>1.5016937206479043E-4</v>
      </c>
      <c r="M811" s="5">
        <v>45378</v>
      </c>
      <c r="N811" s="9">
        <f t="shared" si="72"/>
        <v>1.270208456117415E-3</v>
      </c>
      <c r="O811" s="5">
        <v>45378</v>
      </c>
      <c r="P811">
        <f t="shared" si="73"/>
        <v>0.99927058535848612</v>
      </c>
      <c r="Q811" s="6">
        <f t="shared" si="76"/>
        <v>1.0004602116973809</v>
      </c>
      <c r="R811">
        <f t="shared" si="77"/>
        <v>-1.1897866262615226E-3</v>
      </c>
      <c r="T811" s="5">
        <v>45378</v>
      </c>
      <c r="U811" s="1">
        <v>-1.1897866262615226E-3</v>
      </c>
    </row>
    <row r="812" spans="3:21" x14ac:dyDescent="0.2">
      <c r="C812" s="5">
        <v>45379</v>
      </c>
      <c r="D812" s="6">
        <v>1.0000599999999999</v>
      </c>
      <c r="E812" s="6">
        <v>70858.8</v>
      </c>
      <c r="F812" s="6">
        <v>70785.72</v>
      </c>
      <c r="G812" s="6">
        <v>70866.5</v>
      </c>
      <c r="H812" s="6">
        <v>70793.649999999994</v>
      </c>
      <c r="I812" s="5">
        <v>45379</v>
      </c>
      <c r="J812" s="7">
        <f t="shared" si="74"/>
        <v>9.2028027937546286E-4</v>
      </c>
      <c r="K812" s="5">
        <v>45379</v>
      </c>
      <c r="L812" s="8">
        <f t="shared" si="75"/>
        <v>-1.1398897927793646E-3</v>
      </c>
      <c r="M812" s="5">
        <v>45379</v>
      </c>
      <c r="N812" s="9">
        <f t="shared" si="72"/>
        <v>-2.196095134039017E-4</v>
      </c>
      <c r="O812" s="5">
        <v>45379</v>
      </c>
      <c r="P812">
        <f t="shared" si="73"/>
        <v>0.99897201075261222</v>
      </c>
      <c r="Q812" s="6">
        <f t="shared" si="76"/>
        <v>0.99994000359978408</v>
      </c>
      <c r="R812">
        <f t="shared" si="77"/>
        <v>-9.6851979065491701E-4</v>
      </c>
      <c r="T812" s="5">
        <v>45379</v>
      </c>
      <c r="U812" s="1">
        <v>-9.6851979065491701E-4</v>
      </c>
    </row>
    <row r="813" spans="3:21" x14ac:dyDescent="0.2">
      <c r="C813" s="5">
        <v>45380</v>
      </c>
      <c r="D813" s="6">
        <v>1.0005599999999999</v>
      </c>
      <c r="E813" s="6">
        <v>69899.199999999997</v>
      </c>
      <c r="F813" s="6">
        <v>70033.5</v>
      </c>
      <c r="G813" s="6">
        <v>69933.5</v>
      </c>
      <c r="H813" s="6">
        <v>69855.27</v>
      </c>
      <c r="I813" s="5">
        <v>45380</v>
      </c>
      <c r="J813" s="7">
        <f t="shared" si="74"/>
        <v>6.2887166565948438E-4</v>
      </c>
      <c r="K813" s="5">
        <v>45380</v>
      </c>
      <c r="L813" s="8">
        <f t="shared" si="75"/>
        <v>1.4299298619402719E-3</v>
      </c>
      <c r="M813" s="5">
        <v>45380</v>
      </c>
      <c r="N813" s="9">
        <f t="shared" si="72"/>
        <v>2.0588015275997563E-3</v>
      </c>
      <c r="O813" s="5">
        <v>45380</v>
      </c>
      <c r="P813">
        <f t="shared" si="73"/>
        <v>0.99888136586900422</v>
      </c>
      <c r="Q813" s="6">
        <f t="shared" si="76"/>
        <v>0.99944031342448236</v>
      </c>
      <c r="R813">
        <f t="shared" si="77"/>
        <v>-5.5941701063117713E-4</v>
      </c>
      <c r="T813" s="5">
        <v>45380</v>
      </c>
      <c r="U813" s="1">
        <v>-5.5941701063117713E-4</v>
      </c>
    </row>
    <row r="814" spans="3:21" x14ac:dyDescent="0.2">
      <c r="C814" s="5">
        <v>45381</v>
      </c>
      <c r="D814" s="6">
        <v>1.0004599999999999</v>
      </c>
      <c r="E814" s="6">
        <v>69638.7</v>
      </c>
      <c r="F814" s="6">
        <v>69721.95</v>
      </c>
      <c r="G814" s="6">
        <v>69678</v>
      </c>
      <c r="H814" s="6">
        <v>69588.47</v>
      </c>
      <c r="I814" s="5">
        <v>45381</v>
      </c>
      <c r="J814" s="7">
        <f t="shared" si="74"/>
        <v>7.2181497883192327E-4</v>
      </c>
      <c r="K814" s="5">
        <v>45381</v>
      </c>
      <c r="L814" s="8">
        <f t="shared" si="75"/>
        <v>6.3075863256690904E-4</v>
      </c>
      <c r="M814" s="5">
        <v>45381</v>
      </c>
      <c r="N814" s="9">
        <f t="shared" si="72"/>
        <v>1.3525736113988323E-3</v>
      </c>
      <c r="O814" s="5">
        <v>45381</v>
      </c>
      <c r="P814">
        <f t="shared" si="73"/>
        <v>0.99871508941129195</v>
      </c>
      <c r="Q814" s="6">
        <f t="shared" si="76"/>
        <v>0.99954021150270889</v>
      </c>
      <c r="R814">
        <f t="shared" si="77"/>
        <v>-8.2584256169376227E-4</v>
      </c>
      <c r="T814" s="5">
        <v>45381</v>
      </c>
      <c r="U814" s="1">
        <v>-8.2584256169376227E-4</v>
      </c>
    </row>
    <row r="815" spans="3:21" x14ac:dyDescent="0.2">
      <c r="C815" s="5">
        <v>45382</v>
      </c>
      <c r="D815" s="6">
        <v>1.00013</v>
      </c>
      <c r="E815" s="6">
        <v>71378</v>
      </c>
      <c r="F815" s="6">
        <v>71389.649999999994</v>
      </c>
      <c r="G815" s="6">
        <v>71401.5</v>
      </c>
      <c r="H815" s="6">
        <v>71294.77</v>
      </c>
      <c r="I815" s="5">
        <v>45382</v>
      </c>
      <c r="J815" s="7">
        <f t="shared" si="74"/>
        <v>1.1674068097841668E-3</v>
      </c>
      <c r="K815" s="5">
        <v>45382</v>
      </c>
      <c r="L815" s="8">
        <f t="shared" si="75"/>
        <v>-1.6596289993915843E-4</v>
      </c>
      <c r="M815" s="5">
        <v>45382</v>
      </c>
      <c r="N815" s="9">
        <f t="shared" si="72"/>
        <v>1.0014439098450082E-3</v>
      </c>
      <c r="O815" s="5">
        <v>45382</v>
      </c>
      <c r="P815">
        <f t="shared" si="73"/>
        <v>0.99850521347590737</v>
      </c>
      <c r="Q815" s="6">
        <f t="shared" si="76"/>
        <v>0.9998700168978033</v>
      </c>
      <c r="R815">
        <f t="shared" si="77"/>
        <v>-1.3659132812966638E-3</v>
      </c>
      <c r="T815" s="5">
        <v>45382</v>
      </c>
      <c r="U815" s="1">
        <v>-1.3659132812966638E-3</v>
      </c>
    </row>
    <row r="816" spans="3:21" x14ac:dyDescent="0.2">
      <c r="C816" s="5">
        <v>45383</v>
      </c>
      <c r="D816" s="6">
        <v>1.0003899999999999</v>
      </c>
      <c r="E816" s="6">
        <v>69706.8</v>
      </c>
      <c r="F816" s="6">
        <v>69742.52</v>
      </c>
      <c r="G816" s="6">
        <v>69739.5</v>
      </c>
      <c r="H816" s="6">
        <v>69650.61</v>
      </c>
      <c r="I816" s="5">
        <v>45383</v>
      </c>
      <c r="J816" s="7">
        <f t="shared" si="74"/>
        <v>8.0674096034481714E-4</v>
      </c>
      <c r="K816" s="5">
        <v>45383</v>
      </c>
      <c r="L816" s="8">
        <f t="shared" si="75"/>
        <v>4.3304009922699107E-5</v>
      </c>
      <c r="M816" s="5">
        <v>45383</v>
      </c>
      <c r="N816" s="9">
        <f t="shared" si="72"/>
        <v>8.5004497026751628E-4</v>
      </c>
      <c r="O816" s="5">
        <v>45383</v>
      </c>
      <c r="P816">
        <f t="shared" si="73"/>
        <v>0.99872539952250872</v>
      </c>
      <c r="Q816" s="6">
        <f t="shared" si="76"/>
        <v>0.99961015204070425</v>
      </c>
      <c r="R816">
        <f t="shared" si="77"/>
        <v>-8.8548950181468653E-4</v>
      </c>
      <c r="T816" s="5">
        <v>45383</v>
      </c>
      <c r="U816" s="1">
        <v>-8.8548950181468653E-4</v>
      </c>
    </row>
    <row r="817" spans="3:21" x14ac:dyDescent="0.2">
      <c r="C817" s="5">
        <v>45384</v>
      </c>
      <c r="D817" s="6">
        <v>1.0001599999999999</v>
      </c>
      <c r="E817" s="6">
        <v>65484</v>
      </c>
      <c r="F817" s="6">
        <v>65591.710000000006</v>
      </c>
      <c r="G817" s="6">
        <v>65455.5</v>
      </c>
      <c r="H817" s="6">
        <v>65469.99</v>
      </c>
      <c r="I817" s="5">
        <v>45384</v>
      </c>
      <c r="J817" s="7">
        <f t="shared" si="74"/>
        <v>2.1399117366601152E-4</v>
      </c>
      <c r="K817" s="5">
        <v>45384</v>
      </c>
      <c r="L817" s="8">
        <f t="shared" si="75"/>
        <v>2.0809557638396528E-3</v>
      </c>
      <c r="M817" s="5">
        <v>45384</v>
      </c>
      <c r="N817" s="9">
        <f t="shared" si="72"/>
        <v>2.2949469375056642E-3</v>
      </c>
      <c r="O817" s="5">
        <v>45384</v>
      </c>
      <c r="P817">
        <f t="shared" si="73"/>
        <v>1.0002213717716617</v>
      </c>
      <c r="Q817" s="6">
        <f t="shared" si="76"/>
        <v>0.99984002559590468</v>
      </c>
      <c r="R817">
        <f t="shared" si="77"/>
        <v>3.8133447391181202E-4</v>
      </c>
      <c r="T817" s="5">
        <v>45384</v>
      </c>
      <c r="U817" s="1">
        <v>3.8133447391181202E-4</v>
      </c>
    </row>
    <row r="818" spans="3:21" x14ac:dyDescent="0.2">
      <c r="C818" s="5">
        <v>45385</v>
      </c>
      <c r="D818" s="6">
        <v>1.0003899999999999</v>
      </c>
      <c r="E818" s="6">
        <v>65971.5</v>
      </c>
      <c r="F818" s="6">
        <v>66056.649999999994</v>
      </c>
      <c r="G818" s="6">
        <v>65943.5</v>
      </c>
      <c r="H818" s="6">
        <v>65963.09</v>
      </c>
      <c r="I818" s="5">
        <v>45385</v>
      </c>
      <c r="J818" s="7">
        <f t="shared" si="74"/>
        <v>1.274955433410335E-4</v>
      </c>
      <c r="K818" s="5">
        <v>45385</v>
      </c>
      <c r="L818" s="8">
        <f t="shared" si="75"/>
        <v>1.7158628219611362E-3</v>
      </c>
      <c r="M818" s="5">
        <v>45385</v>
      </c>
      <c r="N818" s="9">
        <f t="shared" si="72"/>
        <v>1.8433583653021696E-3</v>
      </c>
      <c r="O818" s="5">
        <v>45385</v>
      </c>
      <c r="P818">
        <f t="shared" si="73"/>
        <v>1.0002970724938773</v>
      </c>
      <c r="Q818" s="6">
        <f t="shared" si="76"/>
        <v>0.99961015204070425</v>
      </c>
      <c r="R818">
        <f t="shared" si="77"/>
        <v>6.8695234634819644E-4</v>
      </c>
      <c r="T818" s="5">
        <v>45385</v>
      </c>
      <c r="U818" s="1">
        <v>6.8695234634819644E-4</v>
      </c>
    </row>
    <row r="819" spans="3:21" x14ac:dyDescent="0.2">
      <c r="C819" s="5">
        <v>45386</v>
      </c>
      <c r="D819" s="6">
        <v>1.0004200000000001</v>
      </c>
      <c r="E819" s="6">
        <v>68480.399999999994</v>
      </c>
      <c r="F819" s="6">
        <v>68573.06</v>
      </c>
      <c r="G819" s="6">
        <v>68481</v>
      </c>
      <c r="H819" s="6">
        <v>68494.289999999994</v>
      </c>
      <c r="I819" s="5">
        <v>45386</v>
      </c>
      <c r="J819" s="7">
        <f t="shared" si="74"/>
        <v>-2.0279062678070565E-4</v>
      </c>
      <c r="K819" s="5">
        <v>45386</v>
      </c>
      <c r="L819" s="8">
        <f t="shared" si="75"/>
        <v>1.3443144813889644E-3</v>
      </c>
      <c r="M819" s="5">
        <v>45386</v>
      </c>
      <c r="N819" s="9">
        <f t="shared" si="72"/>
        <v>1.1415238546082587E-3</v>
      </c>
      <c r="O819" s="5">
        <v>45386</v>
      </c>
      <c r="P819">
        <f t="shared" si="73"/>
        <v>1.0001940684277388</v>
      </c>
      <c r="Q819" s="6">
        <f t="shared" si="76"/>
        <v>0.99958017632594298</v>
      </c>
      <c r="R819">
        <f t="shared" si="77"/>
        <v>6.1396142358594746E-4</v>
      </c>
      <c r="T819" s="5">
        <v>45386</v>
      </c>
      <c r="U819" s="1">
        <v>6.1396142358594746E-4</v>
      </c>
    </row>
    <row r="820" spans="3:21" x14ac:dyDescent="0.2">
      <c r="C820" s="5">
        <v>45387</v>
      </c>
      <c r="D820" s="6">
        <v>1.0001500000000001</v>
      </c>
      <c r="E820" s="6">
        <v>67814</v>
      </c>
      <c r="F820" s="6">
        <v>67921.17</v>
      </c>
      <c r="G820" s="6">
        <v>67825.5</v>
      </c>
      <c r="H820" s="6">
        <v>67825.070000000007</v>
      </c>
      <c r="I820" s="5">
        <v>45387</v>
      </c>
      <c r="J820" s="7">
        <f t="shared" si="74"/>
        <v>-1.632139856251823E-4</v>
      </c>
      <c r="K820" s="5">
        <v>45387</v>
      </c>
      <c r="L820" s="8">
        <f t="shared" si="75"/>
        <v>1.4105314372912586E-3</v>
      </c>
      <c r="M820" s="5">
        <v>45387</v>
      </c>
      <c r="N820" s="9">
        <f t="shared" si="72"/>
        <v>1.2473174516660762E-3</v>
      </c>
      <c r="O820" s="5">
        <v>45387</v>
      </c>
      <c r="P820">
        <f t="shared" si="73"/>
        <v>0.99999366020154667</v>
      </c>
      <c r="Q820" s="6">
        <f t="shared" si="76"/>
        <v>0.99985002249662536</v>
      </c>
      <c r="R820">
        <f t="shared" si="77"/>
        <v>1.4364893257505607E-4</v>
      </c>
      <c r="T820" s="5">
        <v>45387</v>
      </c>
      <c r="U820" s="1">
        <v>1.4364893257505607E-4</v>
      </c>
    </row>
    <row r="821" spans="3:21" x14ac:dyDescent="0.2">
      <c r="C821" s="5">
        <v>45388</v>
      </c>
      <c r="D821" s="6">
        <v>1.00021</v>
      </c>
      <c r="E821" s="6">
        <v>68894.600000000006</v>
      </c>
      <c r="F821" s="6">
        <v>68978.86</v>
      </c>
      <c r="G821" s="6">
        <v>68895.5</v>
      </c>
      <c r="H821" s="6">
        <v>68894.75</v>
      </c>
      <c r="I821" s="5">
        <v>45388</v>
      </c>
      <c r="J821" s="7">
        <f t="shared" si="74"/>
        <v>-2.1772341142711051E-6</v>
      </c>
      <c r="K821" s="5">
        <v>45388</v>
      </c>
      <c r="L821" s="8">
        <f t="shared" si="75"/>
        <v>1.2099484001132233E-3</v>
      </c>
      <c r="M821" s="5">
        <v>45388</v>
      </c>
      <c r="N821" s="9">
        <f t="shared" si="72"/>
        <v>1.2077711659989523E-3</v>
      </c>
      <c r="O821" s="5">
        <v>45388</v>
      </c>
      <c r="P821">
        <f t="shared" si="73"/>
        <v>0.99998911394793566</v>
      </c>
      <c r="Q821" s="6">
        <f t="shared" si="76"/>
        <v>0.9997900440907409</v>
      </c>
      <c r="R821">
        <f t="shared" si="77"/>
        <v>1.9909184176865633E-4</v>
      </c>
      <c r="T821" s="5">
        <v>45388</v>
      </c>
      <c r="U821" s="1">
        <v>1.9909184176865633E-4</v>
      </c>
    </row>
    <row r="822" spans="3:21" x14ac:dyDescent="0.2">
      <c r="C822" s="5">
        <v>45389</v>
      </c>
      <c r="D822" s="6">
        <v>0.99999000000000005</v>
      </c>
      <c r="E822" s="6">
        <v>69355</v>
      </c>
      <c r="F822" s="6">
        <v>69420.17</v>
      </c>
      <c r="G822" s="6">
        <v>69365</v>
      </c>
      <c r="H822" s="6">
        <v>69352.38</v>
      </c>
      <c r="I822" s="5">
        <v>45389</v>
      </c>
      <c r="J822" s="7">
        <f t="shared" si="74"/>
        <v>3.7778083462966135E-5</v>
      </c>
      <c r="K822" s="5">
        <v>45389</v>
      </c>
      <c r="L822" s="8">
        <f t="shared" si="75"/>
        <v>7.9535788942547761E-4</v>
      </c>
      <c r="M822" s="5">
        <v>45389</v>
      </c>
      <c r="N822" s="9">
        <f t="shared" si="72"/>
        <v>8.3313597288844378E-4</v>
      </c>
      <c r="O822" s="5">
        <v>45389</v>
      </c>
      <c r="P822">
        <f t="shared" si="73"/>
        <v>0.99981806386506167</v>
      </c>
      <c r="Q822" s="6">
        <f t="shared" si="76"/>
        <v>1.000010000100001</v>
      </c>
      <c r="R822">
        <f t="shared" si="77"/>
        <v>-1.9195273732492093E-4</v>
      </c>
      <c r="T822" s="5">
        <v>45389</v>
      </c>
      <c r="U822" s="1">
        <v>-1.9195273732492093E-4</v>
      </c>
    </row>
    <row r="823" spans="3:21" x14ac:dyDescent="0.2">
      <c r="C823" s="5">
        <v>45390</v>
      </c>
      <c r="D823" s="6">
        <v>0.99992000000000003</v>
      </c>
      <c r="E823" s="6">
        <v>71674.399999999994</v>
      </c>
      <c r="F823" s="6">
        <v>71316.56</v>
      </c>
      <c r="G823" s="6">
        <v>71678</v>
      </c>
      <c r="H823" s="6">
        <v>71630.31</v>
      </c>
      <c r="I823" s="5">
        <v>45390</v>
      </c>
      <c r="J823" s="7">
        <f t="shared" si="74"/>
        <v>6.1552155784327207E-4</v>
      </c>
      <c r="K823" s="5">
        <v>45390</v>
      </c>
      <c r="L823" s="8">
        <f t="shared" si="75"/>
        <v>-5.0425514104746553E-3</v>
      </c>
      <c r="M823" s="5">
        <v>45390</v>
      </c>
      <c r="N823" s="9">
        <f t="shared" si="72"/>
        <v>-4.4270298526313829E-3</v>
      </c>
      <c r="O823" s="5">
        <v>45390</v>
      </c>
      <c r="P823">
        <f t="shared" si="73"/>
        <v>0.99933466335556231</v>
      </c>
      <c r="Q823" s="6">
        <f t="shared" si="76"/>
        <v>1.000080006400512</v>
      </c>
      <c r="R823">
        <f t="shared" si="77"/>
        <v>-7.4556127925796837E-4</v>
      </c>
      <c r="T823" s="5">
        <v>45390</v>
      </c>
      <c r="U823" s="1">
        <v>-7.4556127925796837E-4</v>
      </c>
    </row>
    <row r="824" spans="3:21" x14ac:dyDescent="0.2">
      <c r="C824" s="5">
        <v>45391</v>
      </c>
      <c r="D824" s="6">
        <v>0.99958999999999998</v>
      </c>
      <c r="E824" s="6">
        <v>69187</v>
      </c>
      <c r="F824" s="6">
        <v>69216.479999999996</v>
      </c>
      <c r="G824" s="6">
        <v>69116.5</v>
      </c>
      <c r="H824" s="6">
        <v>69140.58</v>
      </c>
      <c r="I824" s="5">
        <v>45391</v>
      </c>
      <c r="J824" s="7">
        <f t="shared" si="74"/>
        <v>6.7138574770414495E-4</v>
      </c>
      <c r="K824" s="5">
        <v>45391</v>
      </c>
      <c r="L824" s="8">
        <f t="shared" si="75"/>
        <v>1.446543155396988E-3</v>
      </c>
      <c r="M824" s="5">
        <v>45391</v>
      </c>
      <c r="N824" s="9">
        <f t="shared" si="72"/>
        <v>2.1179289031011328E-3</v>
      </c>
      <c r="O824" s="5">
        <v>45391</v>
      </c>
      <c r="P824">
        <f t="shared" si="73"/>
        <v>1.0003483972712739</v>
      </c>
      <c r="Q824" s="6">
        <f t="shared" si="76"/>
        <v>1.0004101681689492</v>
      </c>
      <c r="R824">
        <f t="shared" si="77"/>
        <v>-6.1747477943597815E-5</v>
      </c>
      <c r="T824" s="5">
        <v>45391</v>
      </c>
      <c r="U824" s="1">
        <v>-6.1747477943597815E-5</v>
      </c>
    </row>
    <row r="825" spans="3:21" x14ac:dyDescent="0.2">
      <c r="C825" s="5">
        <v>45392</v>
      </c>
      <c r="D825" s="6">
        <v>1.0000199999999999</v>
      </c>
      <c r="E825" s="6">
        <v>70655.8</v>
      </c>
      <c r="F825" s="6">
        <v>70306.149999999994</v>
      </c>
      <c r="G825" s="6">
        <v>70629.5</v>
      </c>
      <c r="H825" s="6">
        <v>70629.34</v>
      </c>
      <c r="I825" s="5">
        <v>45392</v>
      </c>
      <c r="J825" s="7">
        <f t="shared" si="74"/>
        <v>3.746318456325148E-4</v>
      </c>
      <c r="K825" s="5">
        <v>45392</v>
      </c>
      <c r="L825" s="8">
        <f t="shared" si="75"/>
        <v>-4.5781153767194419E-3</v>
      </c>
      <c r="M825" s="5">
        <v>45392</v>
      </c>
      <c r="N825" s="9">
        <f t="shared" si="72"/>
        <v>-4.2034835310869271E-3</v>
      </c>
      <c r="O825" s="5">
        <v>45392</v>
      </c>
      <c r="P825">
        <f t="shared" si="73"/>
        <v>0.99999773465761477</v>
      </c>
      <c r="Q825" s="6">
        <f t="shared" si="76"/>
        <v>0.99998000039999213</v>
      </c>
      <c r="R825">
        <f t="shared" si="77"/>
        <v>1.7734455051429436E-5</v>
      </c>
      <c r="T825" s="5">
        <v>45392</v>
      </c>
      <c r="U825" s="1">
        <v>1.7734455051429436E-5</v>
      </c>
    </row>
    <row r="826" spans="3:21" x14ac:dyDescent="0.2">
      <c r="C826" s="5">
        <v>45393</v>
      </c>
      <c r="D826" s="6">
        <v>1.0000899999999999</v>
      </c>
      <c r="E826" s="6">
        <v>70038.5</v>
      </c>
      <c r="F826" s="6">
        <v>70010.17</v>
      </c>
      <c r="G826" s="6">
        <v>69983.5</v>
      </c>
      <c r="H826" s="6">
        <v>70006.3</v>
      </c>
      <c r="I826" s="5">
        <v>45393</v>
      </c>
      <c r="J826" s="7">
        <f t="shared" si="74"/>
        <v>4.599586037256231E-4</v>
      </c>
      <c r="K826" s="5">
        <v>45393</v>
      </c>
      <c r="L826" s="8">
        <f t="shared" si="75"/>
        <v>3.8108982831664968E-4</v>
      </c>
      <c r="M826" s="5">
        <v>45393</v>
      </c>
      <c r="N826" s="9">
        <f t="shared" si="72"/>
        <v>8.4104843204227278E-4</v>
      </c>
      <c r="O826" s="5">
        <v>45393</v>
      </c>
      <c r="P826">
        <f t="shared" si="73"/>
        <v>1.000325791079326</v>
      </c>
      <c r="Q826" s="6">
        <f t="shared" si="76"/>
        <v>0.99991000809927111</v>
      </c>
      <c r="R826">
        <f t="shared" si="77"/>
        <v>4.1573397117893989E-4</v>
      </c>
      <c r="T826" s="5">
        <v>45393</v>
      </c>
      <c r="U826" s="1">
        <v>4.1573397117893989E-4</v>
      </c>
    </row>
    <row r="827" spans="3:21" x14ac:dyDescent="0.2">
      <c r="C827" s="5">
        <v>45394</v>
      </c>
      <c r="D827" s="6">
        <v>1.0006299999999999</v>
      </c>
      <c r="E827" s="6">
        <v>67120.5</v>
      </c>
      <c r="F827" s="6">
        <v>67427.86</v>
      </c>
      <c r="G827" s="6">
        <v>67124</v>
      </c>
      <c r="H827" s="6">
        <v>67112.38</v>
      </c>
      <c r="I827" s="5">
        <v>45394</v>
      </c>
      <c r="J827" s="7">
        <f t="shared" si="74"/>
        <v>1.2099108987038371E-4</v>
      </c>
      <c r="K827" s="5">
        <v>45394</v>
      </c>
      <c r="L827" s="8">
        <f t="shared" si="75"/>
        <v>4.5268458375543859E-3</v>
      </c>
      <c r="M827" s="5">
        <v>45394</v>
      </c>
      <c r="N827" s="9">
        <f t="shared" si="72"/>
        <v>4.6478369274247696E-3</v>
      </c>
      <c r="O827" s="5">
        <v>45394</v>
      </c>
      <c r="P827">
        <f t="shared" si="73"/>
        <v>0.99982688755139748</v>
      </c>
      <c r="Q827" s="6">
        <f t="shared" si="76"/>
        <v>0.99937039665011052</v>
      </c>
      <c r="R827">
        <f t="shared" si="77"/>
        <v>4.5667419901752762E-4</v>
      </c>
      <c r="T827" s="5">
        <v>45394</v>
      </c>
      <c r="U827" s="1">
        <v>4.5667419901752762E-4</v>
      </c>
    </row>
    <row r="828" spans="3:21" x14ac:dyDescent="0.2">
      <c r="C828" s="5">
        <v>45395</v>
      </c>
      <c r="D828" s="6">
        <v>1.0013300000000001</v>
      </c>
      <c r="E828" s="6">
        <v>63905.1</v>
      </c>
      <c r="F828" s="6">
        <v>64881.43</v>
      </c>
      <c r="G828" s="6">
        <v>63968.5</v>
      </c>
      <c r="H828" s="6">
        <v>63928.07</v>
      </c>
      <c r="I828" s="5">
        <v>45395</v>
      </c>
      <c r="J828" s="7">
        <f t="shared" si="74"/>
        <v>-3.5931008084556852E-4</v>
      </c>
      <c r="K828" s="5">
        <v>45395</v>
      </c>
      <c r="L828" s="8">
        <f t="shared" si="75"/>
        <v>1.4271555531238036E-2</v>
      </c>
      <c r="M828" s="5">
        <v>45395</v>
      </c>
      <c r="N828" s="9">
        <f t="shared" si="72"/>
        <v>1.3912245450392468E-2</v>
      </c>
      <c r="O828" s="5">
        <v>45395</v>
      </c>
      <c r="P828">
        <f t="shared" si="73"/>
        <v>0.99936797017281942</v>
      </c>
      <c r="Q828" s="6">
        <f t="shared" si="76"/>
        <v>0.99867176655048784</v>
      </c>
      <c r="R828">
        <f t="shared" si="77"/>
        <v>6.9688669120195946E-4</v>
      </c>
      <c r="T828" s="5">
        <v>45395</v>
      </c>
      <c r="U828" s="1">
        <v>6.9688669120195946E-4</v>
      </c>
    </row>
    <row r="829" spans="3:21" x14ac:dyDescent="0.2">
      <c r="C829" s="5">
        <v>45396</v>
      </c>
      <c r="D829" s="6">
        <v>1.00108</v>
      </c>
      <c r="E829" s="6">
        <v>65618.899999999994</v>
      </c>
      <c r="F829" s="6">
        <v>66011.22</v>
      </c>
      <c r="G829" s="6">
        <v>65704.5</v>
      </c>
      <c r="H829" s="6">
        <v>65663.91</v>
      </c>
      <c r="I829" s="5">
        <v>45396</v>
      </c>
      <c r="J829" s="7">
        <f t="shared" si="74"/>
        <v>-6.8546024749378028E-4</v>
      </c>
      <c r="K829" s="5">
        <v>45396</v>
      </c>
      <c r="L829" s="8">
        <f t="shared" si="75"/>
        <v>4.6681734127799641E-3</v>
      </c>
      <c r="M829" s="5">
        <v>45396</v>
      </c>
      <c r="N829" s="9">
        <f t="shared" si="72"/>
        <v>3.9827131652861837E-3</v>
      </c>
      <c r="O829" s="5">
        <v>45396</v>
      </c>
      <c r="P829">
        <f t="shared" si="73"/>
        <v>0.99938223409355531</v>
      </c>
      <c r="Q829" s="6">
        <f t="shared" si="76"/>
        <v>0.99892116514164708</v>
      </c>
      <c r="R829">
        <f t="shared" si="77"/>
        <v>4.6146041713847943E-4</v>
      </c>
      <c r="T829" s="5">
        <v>45396</v>
      </c>
      <c r="U829" s="1">
        <v>4.6146041713847943E-4</v>
      </c>
    </row>
    <row r="830" spans="3:21" x14ac:dyDescent="0.2">
      <c r="C830" s="5">
        <v>45397</v>
      </c>
      <c r="D830" s="6">
        <v>1.0004299999999999</v>
      </c>
      <c r="E830" s="6">
        <v>63413.7</v>
      </c>
      <c r="F830" s="6">
        <v>63452.72</v>
      </c>
      <c r="G830" s="6">
        <v>63435.5</v>
      </c>
      <c r="H830" s="6">
        <v>63430.69</v>
      </c>
      <c r="I830" s="5">
        <v>45397</v>
      </c>
      <c r="J830" s="7">
        <f t="shared" si="74"/>
        <v>-2.678514138819117E-4</v>
      </c>
      <c r="K830" s="5">
        <v>45397</v>
      </c>
      <c r="L830" s="8">
        <f t="shared" si="75"/>
        <v>2.7145683410710348E-4</v>
      </c>
      <c r="M830" s="5">
        <v>45397</v>
      </c>
      <c r="N830" s="9">
        <f t="shared" si="72"/>
        <v>3.6054202251917787E-6</v>
      </c>
      <c r="O830" s="5">
        <v>45397</v>
      </c>
      <c r="P830">
        <f t="shared" si="73"/>
        <v>0.99992417494935804</v>
      </c>
      <c r="Q830" s="6">
        <f t="shared" si="76"/>
        <v>0.99957018482052729</v>
      </c>
      <c r="R830">
        <f t="shared" si="77"/>
        <v>3.5407965098717116E-4</v>
      </c>
      <c r="T830" s="5">
        <v>45397</v>
      </c>
      <c r="U830" s="1">
        <v>3.5407965098717116E-4</v>
      </c>
    </row>
    <row r="831" spans="3:21" x14ac:dyDescent="0.2">
      <c r="C831" s="5">
        <v>45398</v>
      </c>
      <c r="D831" s="6">
        <v>1.00047</v>
      </c>
      <c r="E831" s="6">
        <v>63772.3</v>
      </c>
      <c r="F831" s="6">
        <v>63884.89</v>
      </c>
      <c r="G831" s="6">
        <v>63795</v>
      </c>
      <c r="H831" s="6">
        <v>63795.53</v>
      </c>
      <c r="I831" s="5">
        <v>45398</v>
      </c>
      <c r="J831" s="7">
        <f t="shared" si="74"/>
        <v>-3.6413209514829531E-4</v>
      </c>
      <c r="K831" s="5">
        <v>45398</v>
      </c>
      <c r="L831" s="8">
        <f t="shared" si="75"/>
        <v>1.409044595971462E-3</v>
      </c>
      <c r="M831" s="5">
        <v>45398</v>
      </c>
      <c r="N831" s="9">
        <f t="shared" si="72"/>
        <v>1.0449125008231666E-3</v>
      </c>
      <c r="O831" s="5">
        <v>45398</v>
      </c>
      <c r="P831">
        <f t="shared" si="73"/>
        <v>1.0000083078611177</v>
      </c>
      <c r="Q831" s="6">
        <f t="shared" si="76"/>
        <v>0.99953022079622578</v>
      </c>
      <c r="R831">
        <f t="shared" si="77"/>
        <v>4.781974112031377E-4</v>
      </c>
      <c r="T831" s="5">
        <v>45398</v>
      </c>
      <c r="U831" s="1">
        <v>4.781974112031377E-4</v>
      </c>
    </row>
    <row r="832" spans="3:21" x14ac:dyDescent="0.2">
      <c r="C832" s="5">
        <v>45399</v>
      </c>
      <c r="D832" s="6">
        <v>0.99995000000000001</v>
      </c>
      <c r="E832" s="6">
        <v>61245</v>
      </c>
      <c r="F832" s="6">
        <v>61352.21</v>
      </c>
      <c r="G832" s="6">
        <v>61255</v>
      </c>
      <c r="H832" s="6">
        <v>61278.19</v>
      </c>
      <c r="I832" s="5">
        <v>45399</v>
      </c>
      <c r="J832" s="7">
        <f t="shared" si="74"/>
        <v>-5.4162826937287681E-4</v>
      </c>
      <c r="K832" s="5">
        <v>45399</v>
      </c>
      <c r="L832" s="8">
        <f t="shared" si="75"/>
        <v>1.5869724920414517E-3</v>
      </c>
      <c r="M832" s="5">
        <v>45399</v>
      </c>
      <c r="N832" s="9">
        <f t="shared" si="72"/>
        <v>1.0453442226685749E-3</v>
      </c>
      <c r="O832" s="5">
        <v>45399</v>
      </c>
      <c r="P832">
        <f t="shared" si="73"/>
        <v>1.0003785813402988</v>
      </c>
      <c r="Q832" s="6">
        <f t="shared" si="76"/>
        <v>1.0000500025001251</v>
      </c>
      <c r="R832">
        <f t="shared" si="77"/>
        <v>3.2850844642286973E-4</v>
      </c>
      <c r="T832" s="5">
        <v>45399</v>
      </c>
      <c r="U832" s="1">
        <v>3.2850844642286973E-4</v>
      </c>
    </row>
    <row r="833" spans="3:21" x14ac:dyDescent="0.2">
      <c r="C833" s="5">
        <v>45400</v>
      </c>
      <c r="D833" s="6">
        <v>1.00061</v>
      </c>
      <c r="E833" s="6">
        <v>63445.1</v>
      </c>
      <c r="F833" s="6">
        <v>63574.18</v>
      </c>
      <c r="G833" s="6">
        <v>63474</v>
      </c>
      <c r="H833" s="6">
        <v>63471</v>
      </c>
      <c r="I833" s="5">
        <v>45400</v>
      </c>
      <c r="J833" s="7">
        <f t="shared" si="74"/>
        <v>-4.0806037402910708E-4</v>
      </c>
      <c r="K833" s="5">
        <v>45400</v>
      </c>
      <c r="L833" s="8">
        <f t="shared" si="75"/>
        <v>1.5782840218042079E-3</v>
      </c>
      <c r="M833" s="5">
        <v>45400</v>
      </c>
      <c r="N833" s="9">
        <f t="shared" si="72"/>
        <v>1.1702236477751007E-3</v>
      </c>
      <c r="O833" s="5">
        <v>45400</v>
      </c>
      <c r="P833">
        <f t="shared" si="73"/>
        <v>0.99995273655354955</v>
      </c>
      <c r="Q833" s="6">
        <f t="shared" si="76"/>
        <v>0.99939037187315738</v>
      </c>
      <c r="R833">
        <f t="shared" si="77"/>
        <v>5.6254946222335776E-4</v>
      </c>
      <c r="T833" s="5">
        <v>45400</v>
      </c>
      <c r="U833" s="1">
        <v>5.6254946222335776E-4</v>
      </c>
    </row>
    <row r="834" spans="3:21" x14ac:dyDescent="0.2">
      <c r="C834" s="5">
        <v>45401</v>
      </c>
      <c r="D834" s="6">
        <v>1.00047</v>
      </c>
      <c r="E834" s="6">
        <v>63774.8</v>
      </c>
      <c r="F834" s="6">
        <v>63920.08</v>
      </c>
      <c r="G834" s="6">
        <v>63805</v>
      </c>
      <c r="H834" s="6">
        <v>63812.9</v>
      </c>
      <c r="I834" s="5">
        <v>45401</v>
      </c>
      <c r="J834" s="7">
        <f t="shared" si="74"/>
        <v>-5.9705796163469365E-4</v>
      </c>
      <c r="K834" s="5">
        <v>45401</v>
      </c>
      <c r="L834" s="8">
        <f t="shared" si="75"/>
        <v>1.8036204059243279E-3</v>
      </c>
      <c r="M834" s="5">
        <v>45401</v>
      </c>
      <c r="N834" s="9">
        <f t="shared" si="72"/>
        <v>1.2065624442896342E-3</v>
      </c>
      <c r="O834" s="5">
        <v>45401</v>
      </c>
      <c r="P834">
        <f t="shared" si="73"/>
        <v>1.0001238147480604</v>
      </c>
      <c r="Q834" s="6">
        <f t="shared" si="76"/>
        <v>0.99953022079622578</v>
      </c>
      <c r="R834">
        <f t="shared" si="77"/>
        <v>5.9369666824260524E-4</v>
      </c>
      <c r="T834" s="5">
        <v>45401</v>
      </c>
      <c r="U834" s="1">
        <v>5.9369666824260524E-4</v>
      </c>
    </row>
    <row r="835" spans="3:21" x14ac:dyDescent="0.2">
      <c r="C835" s="5">
        <v>45402</v>
      </c>
      <c r="D835" s="6">
        <v>1.00041</v>
      </c>
      <c r="E835" s="6">
        <v>64900</v>
      </c>
      <c r="F835" s="6">
        <v>65161.79</v>
      </c>
      <c r="G835" s="6">
        <v>64938.5</v>
      </c>
      <c r="H835" s="6">
        <v>64939</v>
      </c>
      <c r="I835" s="5">
        <v>45402</v>
      </c>
      <c r="J835" s="7">
        <f t="shared" si="74"/>
        <v>-6.0056360584548579E-4</v>
      </c>
      <c r="K835" s="5">
        <v>45402</v>
      </c>
      <c r="L835" s="8">
        <f t="shared" si="75"/>
        <v>3.4384841041909019E-3</v>
      </c>
      <c r="M835" s="5">
        <v>45402</v>
      </c>
      <c r="N835" s="9">
        <f t="shared" si="72"/>
        <v>2.837920498345416E-3</v>
      </c>
      <c r="O835" s="5">
        <v>45402</v>
      </c>
      <c r="P835">
        <f t="shared" si="73"/>
        <v>1.0000076995926916</v>
      </c>
      <c r="Q835" s="6">
        <f t="shared" si="76"/>
        <v>0.99959016803110723</v>
      </c>
      <c r="R835">
        <f t="shared" si="77"/>
        <v>4.1761553601657366E-4</v>
      </c>
      <c r="T835" s="5">
        <v>45402</v>
      </c>
      <c r="U835" s="1">
        <v>4.1761553601657366E-4</v>
      </c>
    </row>
    <row r="836" spans="3:21" x14ac:dyDescent="0.2">
      <c r="C836" s="5">
        <v>45403</v>
      </c>
      <c r="D836" s="6">
        <v>1.0001899999999999</v>
      </c>
      <c r="E836" s="6">
        <v>64910.9</v>
      </c>
      <c r="F836" s="6">
        <v>65066.62</v>
      </c>
      <c r="G836" s="6">
        <v>64936</v>
      </c>
      <c r="H836" s="6">
        <v>64943.17</v>
      </c>
      <c r="I836" s="5">
        <v>45403</v>
      </c>
      <c r="J836" s="7">
        <f t="shared" si="74"/>
        <v>-4.9689597843771412E-4</v>
      </c>
      <c r="K836" s="5">
        <v>45403</v>
      </c>
      <c r="L836" s="8">
        <f t="shared" si="75"/>
        <v>2.0115190341259488E-3</v>
      </c>
      <c r="M836" s="5">
        <v>45403</v>
      </c>
      <c r="N836" s="9">
        <f t="shared" si="72"/>
        <v>1.5146230556882347E-3</v>
      </c>
      <c r="O836" s="5">
        <v>45403</v>
      </c>
      <c r="P836">
        <f t="shared" si="73"/>
        <v>1.0001104164100036</v>
      </c>
      <c r="Q836" s="6">
        <f t="shared" si="76"/>
        <v>0.99981003609314234</v>
      </c>
      <c r="R836">
        <f t="shared" si="77"/>
        <v>3.0039226684655003E-4</v>
      </c>
      <c r="T836" s="5">
        <v>45403</v>
      </c>
      <c r="U836" s="1">
        <v>3.0039226684655003E-4</v>
      </c>
    </row>
    <row r="837" spans="3:21" x14ac:dyDescent="0.2">
      <c r="C837" s="5">
        <v>45404</v>
      </c>
      <c r="D837" s="6">
        <v>1.00038</v>
      </c>
      <c r="E837" s="6">
        <v>66770.3</v>
      </c>
      <c r="F837" s="6">
        <v>66879.429999999993</v>
      </c>
      <c r="G837" s="6">
        <v>66821.5</v>
      </c>
      <c r="H837" s="6">
        <v>66811.56</v>
      </c>
      <c r="I837" s="5">
        <v>45404</v>
      </c>
      <c r="J837" s="7">
        <f t="shared" si="74"/>
        <v>-6.1755779987766727E-4</v>
      </c>
      <c r="K837" s="5">
        <v>45404</v>
      </c>
      <c r="L837" s="8">
        <f t="shared" si="75"/>
        <v>8.6693653988600993E-4</v>
      </c>
      <c r="M837" s="5">
        <v>45404</v>
      </c>
      <c r="N837" s="9">
        <f t="shared" si="72"/>
        <v>2.4937874000834266E-4</v>
      </c>
      <c r="O837" s="5">
        <v>45404</v>
      </c>
      <c r="P837">
        <f t="shared" si="73"/>
        <v>0.99985124548236715</v>
      </c>
      <c r="Q837" s="6">
        <f t="shared" si="76"/>
        <v>0.99962014434514879</v>
      </c>
      <c r="R837">
        <f t="shared" si="77"/>
        <v>2.3116223560211863E-4</v>
      </c>
      <c r="T837" s="5">
        <v>45404</v>
      </c>
      <c r="U837" s="1">
        <v>2.3116223560211863E-4</v>
      </c>
    </row>
    <row r="838" spans="3:21" x14ac:dyDescent="0.2">
      <c r="C838" s="5">
        <v>45405</v>
      </c>
      <c r="D838" s="6">
        <v>1.00007</v>
      </c>
      <c r="E838" s="6">
        <v>66397.8</v>
      </c>
      <c r="F838" s="6">
        <v>66498.09</v>
      </c>
      <c r="G838" s="6">
        <v>66407</v>
      </c>
      <c r="H838" s="6">
        <v>66417.53</v>
      </c>
      <c r="I838" s="5">
        <v>45405</v>
      </c>
      <c r="J838" s="7">
        <f t="shared" si="74"/>
        <v>-2.970601285533492E-4</v>
      </c>
      <c r="K838" s="5">
        <v>45405</v>
      </c>
      <c r="L838" s="8">
        <f t="shared" si="75"/>
        <v>1.3716927432348472E-3</v>
      </c>
      <c r="M838" s="5">
        <v>45405</v>
      </c>
      <c r="N838" s="9">
        <f t="shared" si="72"/>
        <v>1.074632614681498E-3</v>
      </c>
      <c r="O838" s="5">
        <v>45405</v>
      </c>
      <c r="P838">
        <f t="shared" si="73"/>
        <v>1.0001585676208833</v>
      </c>
      <c r="Q838" s="6">
        <f t="shared" si="76"/>
        <v>0.999930004899657</v>
      </c>
      <c r="R838">
        <f t="shared" si="77"/>
        <v>2.2855260048138166E-4</v>
      </c>
      <c r="T838" s="5">
        <v>45405</v>
      </c>
      <c r="U838" s="1">
        <v>2.2855260048138166E-4</v>
      </c>
    </row>
    <row r="839" spans="3:21" x14ac:dyDescent="0.2">
      <c r="C839" s="5">
        <v>45406</v>
      </c>
      <c r="D839" s="6">
        <v>0.99953999999999998</v>
      </c>
      <c r="E839" s="6">
        <v>64259.1</v>
      </c>
      <c r="F839" s="6">
        <v>64332.51</v>
      </c>
      <c r="G839" s="6">
        <v>64236</v>
      </c>
      <c r="H839" s="6">
        <v>64286.9</v>
      </c>
      <c r="I839" s="5">
        <v>45406</v>
      </c>
      <c r="J839" s="7">
        <f t="shared" si="74"/>
        <v>-4.3243646839407268E-4</v>
      </c>
      <c r="K839" s="5">
        <v>45406</v>
      </c>
      <c r="L839" s="8">
        <f t="shared" si="75"/>
        <v>1.5024285447412984E-3</v>
      </c>
      <c r="M839" s="5">
        <v>45406</v>
      </c>
      <c r="N839" s="9">
        <f t="shared" si="72"/>
        <v>1.0699920763472257E-3</v>
      </c>
      <c r="O839" s="5">
        <v>45406</v>
      </c>
      <c r="P839">
        <f t="shared" si="73"/>
        <v>1.0007923905598106</v>
      </c>
      <c r="Q839" s="6">
        <f t="shared" si="76"/>
        <v>1.0004602116973809</v>
      </c>
      <c r="R839">
        <f t="shared" si="77"/>
        <v>3.3197095169879297E-4</v>
      </c>
      <c r="T839" s="5">
        <v>45406</v>
      </c>
      <c r="U839" s="1">
        <v>3.3197095169879297E-4</v>
      </c>
    </row>
    <row r="840" spans="3:21" x14ac:dyDescent="0.2">
      <c r="C840" s="5">
        <v>45407</v>
      </c>
      <c r="D840" s="6">
        <v>0.99978</v>
      </c>
      <c r="E840" s="6">
        <v>64464.6</v>
      </c>
      <c r="F840" s="6">
        <v>64561.98</v>
      </c>
      <c r="G840" s="6">
        <v>64449.5</v>
      </c>
      <c r="H840" s="6">
        <v>64495.92</v>
      </c>
      <c r="I840" s="5">
        <v>45407</v>
      </c>
      <c r="J840" s="7">
        <f t="shared" si="74"/>
        <v>-4.8561211313831497E-4</v>
      </c>
      <c r="K840" s="5">
        <v>45407</v>
      </c>
      <c r="L840" s="8">
        <f t="shared" si="75"/>
        <v>1.7452423990877075E-3</v>
      </c>
      <c r="M840" s="5">
        <v>45407</v>
      </c>
      <c r="N840" s="9">
        <f t="shared" ref="N840:N903" si="78">J840+L840</f>
        <v>1.2596302859493925E-3</v>
      </c>
      <c r="O840" s="5">
        <v>45407</v>
      </c>
      <c r="P840">
        <f t="shared" ref="P840:P903" si="79">(1/G840)*H840</f>
        <v>1.0007202538421556</v>
      </c>
      <c r="Q840" s="6">
        <f t="shared" si="76"/>
        <v>1.0002200484106503</v>
      </c>
      <c r="R840">
        <f t="shared" si="77"/>
        <v>4.9997038028753342E-4</v>
      </c>
      <c r="T840" s="5">
        <v>45407</v>
      </c>
      <c r="U840" s="1">
        <v>4.9997038028753342E-4</v>
      </c>
    </row>
    <row r="841" spans="3:21" x14ac:dyDescent="0.2">
      <c r="C841" s="5">
        <v>45408</v>
      </c>
      <c r="D841" s="6">
        <v>0.99970999999999999</v>
      </c>
      <c r="E841" s="6">
        <v>63746</v>
      </c>
      <c r="F841" s="6">
        <v>63778.86</v>
      </c>
      <c r="G841" s="6">
        <v>63713.5</v>
      </c>
      <c r="H841" s="6">
        <v>63777.35</v>
      </c>
      <c r="I841" s="5">
        <v>45408</v>
      </c>
      <c r="J841" s="7">
        <f t="shared" ref="J841:J904" si="80">(E841-H841)/H841</f>
        <v>-4.9155381965538777E-4</v>
      </c>
      <c r="K841" s="5">
        <v>45408</v>
      </c>
      <c r="L841" s="8">
        <f t="shared" ref="L841:L904" si="81">(F841-G841)/G841</f>
        <v>1.0258422469335475E-3</v>
      </c>
      <c r="M841" s="5">
        <v>45408</v>
      </c>
      <c r="N841" s="9">
        <f t="shared" si="78"/>
        <v>5.3428842727815974E-4</v>
      </c>
      <c r="O841" s="5">
        <v>45408</v>
      </c>
      <c r="P841">
        <f t="shared" si="79"/>
        <v>1.0010021424031013</v>
      </c>
      <c r="Q841" s="6">
        <f t="shared" ref="Q841:Q904" si="82">1/D841</f>
        <v>1.000290084124396</v>
      </c>
      <c r="R841">
        <f t="shared" ref="R841:R904" si="83">LN(P841/Q841)</f>
        <v>7.1159853550012864E-4</v>
      </c>
      <c r="T841" s="5">
        <v>45408</v>
      </c>
      <c r="U841" s="1">
        <v>7.1159853550012864E-4</v>
      </c>
    </row>
    <row r="842" spans="3:21" x14ac:dyDescent="0.2">
      <c r="C842" s="5">
        <v>45409</v>
      </c>
      <c r="D842" s="6">
        <v>0.99939</v>
      </c>
      <c r="E842" s="6">
        <v>63412.9</v>
      </c>
      <c r="F842" s="6">
        <v>63545.36</v>
      </c>
      <c r="G842" s="6">
        <v>63389.5</v>
      </c>
      <c r="H842" s="6">
        <v>63455.86</v>
      </c>
      <c r="I842" s="5">
        <v>45409</v>
      </c>
      <c r="J842" s="7">
        <f t="shared" si="80"/>
        <v>-6.770060322245909E-4</v>
      </c>
      <c r="K842" s="5">
        <v>45409</v>
      </c>
      <c r="L842" s="8">
        <f t="shared" si="81"/>
        <v>2.4587668304687778E-3</v>
      </c>
      <c r="M842" s="5">
        <v>45409</v>
      </c>
      <c r="N842" s="9">
        <f t="shared" si="78"/>
        <v>1.7817607982441868E-3</v>
      </c>
      <c r="O842" s="5">
        <v>45409</v>
      </c>
      <c r="P842">
        <f t="shared" si="79"/>
        <v>1.0010468610732062</v>
      </c>
      <c r="Q842" s="6">
        <f t="shared" si="82"/>
        <v>1.0006103723271196</v>
      </c>
      <c r="R842">
        <f t="shared" si="83"/>
        <v>4.3612737058255295E-4</v>
      </c>
      <c r="T842" s="5">
        <v>45409</v>
      </c>
      <c r="U842" s="1">
        <v>4.3612737058255295E-4</v>
      </c>
    </row>
    <row r="843" spans="3:21" x14ac:dyDescent="0.2">
      <c r="C843" s="5">
        <v>45410</v>
      </c>
      <c r="D843" s="6">
        <v>0.99977000000000005</v>
      </c>
      <c r="E843" s="6">
        <v>63092.800000000003</v>
      </c>
      <c r="F843" s="6">
        <v>63165.59</v>
      </c>
      <c r="G843" s="6">
        <v>63061.5</v>
      </c>
      <c r="H843" s="6">
        <v>63121.38</v>
      </c>
      <c r="I843" s="5">
        <v>45410</v>
      </c>
      <c r="J843" s="7">
        <f t="shared" si="80"/>
        <v>-4.5277844052196692E-4</v>
      </c>
      <c r="K843" s="5">
        <v>45410</v>
      </c>
      <c r="L843" s="8">
        <f t="shared" si="81"/>
        <v>1.6506109115703956E-3</v>
      </c>
      <c r="M843" s="5">
        <v>45410</v>
      </c>
      <c r="N843" s="9">
        <f t="shared" si="78"/>
        <v>1.1978324710484288E-3</v>
      </c>
      <c r="O843" s="5">
        <v>45410</v>
      </c>
      <c r="P843">
        <f t="shared" si="79"/>
        <v>1.0009495492495422</v>
      </c>
      <c r="Q843" s="6">
        <f t="shared" si="82"/>
        <v>1.0002300529121697</v>
      </c>
      <c r="R843">
        <f t="shared" si="83"/>
        <v>7.1907225877930751E-4</v>
      </c>
      <c r="T843" s="5">
        <v>45410</v>
      </c>
      <c r="U843" s="1">
        <v>7.1907225877930751E-4</v>
      </c>
    </row>
    <row r="844" spans="3:21" x14ac:dyDescent="0.2">
      <c r="C844" s="5">
        <v>45411</v>
      </c>
      <c r="D844" s="6">
        <v>0.99968999999999997</v>
      </c>
      <c r="E844" s="6">
        <v>63827.9</v>
      </c>
      <c r="F844" s="6">
        <v>63876.1</v>
      </c>
      <c r="G844" s="6">
        <v>63802</v>
      </c>
      <c r="H844" s="6">
        <v>63867.839999999997</v>
      </c>
      <c r="I844" s="5">
        <v>45411</v>
      </c>
      <c r="J844" s="7">
        <f t="shared" si="80"/>
        <v>-6.2535385571196791E-4</v>
      </c>
      <c r="K844" s="5">
        <v>45411</v>
      </c>
      <c r="L844" s="8">
        <f t="shared" si="81"/>
        <v>1.161405598570555E-3</v>
      </c>
      <c r="M844" s="5">
        <v>45411</v>
      </c>
      <c r="N844" s="9">
        <f t="shared" si="78"/>
        <v>5.360517428585871E-4</v>
      </c>
      <c r="O844" s="5">
        <v>45411</v>
      </c>
      <c r="P844">
        <f t="shared" si="79"/>
        <v>1.0010319425723331</v>
      </c>
      <c r="Q844" s="6">
        <f t="shared" si="82"/>
        <v>1.0003100961298004</v>
      </c>
      <c r="R844">
        <f t="shared" si="83"/>
        <v>7.21362425687734E-4</v>
      </c>
      <c r="T844" s="5">
        <v>45411</v>
      </c>
      <c r="U844" s="1">
        <v>7.21362425687734E-4</v>
      </c>
    </row>
    <row r="845" spans="3:21" x14ac:dyDescent="0.2">
      <c r="C845" s="5">
        <v>45412</v>
      </c>
      <c r="D845" s="6">
        <v>0.99917999999999996</v>
      </c>
      <c r="E845" s="6">
        <v>60655.9</v>
      </c>
      <c r="F845" s="6">
        <v>60674.53</v>
      </c>
      <c r="G845" s="6">
        <v>60637.5</v>
      </c>
      <c r="H845" s="6">
        <v>60681.36</v>
      </c>
      <c r="I845" s="5">
        <v>45412</v>
      </c>
      <c r="J845" s="7">
        <f t="shared" si="80"/>
        <v>-4.1956871105062787E-4</v>
      </c>
      <c r="K845" s="5">
        <v>45412</v>
      </c>
      <c r="L845" s="8">
        <f t="shared" si="81"/>
        <v>6.106782106781915E-4</v>
      </c>
      <c r="M845" s="5">
        <v>45412</v>
      </c>
      <c r="N845" s="9">
        <f t="shared" si="78"/>
        <v>1.9110949962756362E-4</v>
      </c>
      <c r="O845" s="5">
        <v>45412</v>
      </c>
      <c r="P845">
        <f t="shared" si="79"/>
        <v>1.0007233147804577</v>
      </c>
      <c r="Q845" s="6">
        <f t="shared" si="82"/>
        <v>1.0008206729518205</v>
      </c>
      <c r="R845">
        <f t="shared" si="83"/>
        <v>-9.7283069506627745E-5</v>
      </c>
      <c r="T845" s="5">
        <v>45412</v>
      </c>
      <c r="U845" s="1">
        <v>-9.7283069506627745E-5</v>
      </c>
    </row>
    <row r="846" spans="3:21" x14ac:dyDescent="0.2">
      <c r="C846" s="5">
        <v>45413</v>
      </c>
      <c r="D846" s="6">
        <v>0.99856999999999996</v>
      </c>
      <c r="E846" s="6">
        <v>58298.5</v>
      </c>
      <c r="F846" s="6">
        <v>58462.07</v>
      </c>
      <c r="G846" s="6">
        <v>58232</v>
      </c>
      <c r="H846" s="6">
        <v>58341.1</v>
      </c>
      <c r="I846" s="5">
        <v>45413</v>
      </c>
      <c r="J846" s="7">
        <f t="shared" si="80"/>
        <v>-7.3018849490322506E-4</v>
      </c>
      <c r="K846" s="5">
        <v>45413</v>
      </c>
      <c r="L846" s="8">
        <f t="shared" si="81"/>
        <v>3.9509204561066031E-3</v>
      </c>
      <c r="M846" s="5">
        <v>45413</v>
      </c>
      <c r="N846" s="9">
        <f t="shared" si="78"/>
        <v>3.2207319612033783E-3</v>
      </c>
      <c r="O846" s="5">
        <v>45413</v>
      </c>
      <c r="P846">
        <f t="shared" si="79"/>
        <v>1.0018735403214727</v>
      </c>
      <c r="Q846" s="6">
        <f t="shared" si="82"/>
        <v>1.0014320478283947</v>
      </c>
      <c r="R846">
        <f t="shared" si="83"/>
        <v>4.4076400808451999E-4</v>
      </c>
      <c r="T846" s="5">
        <v>45413</v>
      </c>
      <c r="U846" s="1">
        <v>4.4076400808451999E-4</v>
      </c>
    </row>
    <row r="847" spans="3:21" x14ac:dyDescent="0.2">
      <c r="C847" s="5">
        <v>45414</v>
      </c>
      <c r="D847" s="6">
        <v>1.0000500000000001</v>
      </c>
      <c r="E847" s="6">
        <v>59030.400000000001</v>
      </c>
      <c r="F847" s="6">
        <v>59142.12</v>
      </c>
      <c r="G847" s="6">
        <v>59030</v>
      </c>
      <c r="H847" s="6">
        <v>59063.6</v>
      </c>
      <c r="I847" s="5">
        <v>45414</v>
      </c>
      <c r="J847" s="7">
        <f t="shared" si="80"/>
        <v>-5.6210593326510899E-4</v>
      </c>
      <c r="K847" s="5">
        <v>45414</v>
      </c>
      <c r="L847" s="8">
        <f t="shared" si="81"/>
        <v>1.8993732000678065E-3</v>
      </c>
      <c r="M847" s="5">
        <v>45414</v>
      </c>
      <c r="N847" s="9">
        <f t="shared" si="78"/>
        <v>1.3372672668026976E-3</v>
      </c>
      <c r="O847" s="5">
        <v>45414</v>
      </c>
      <c r="P847">
        <f t="shared" si="79"/>
        <v>1.0005692021006267</v>
      </c>
      <c r="Q847" s="6">
        <f t="shared" si="82"/>
        <v>0.99995000249987487</v>
      </c>
      <c r="R847">
        <f t="shared" si="83"/>
        <v>6.1903891659883636E-4</v>
      </c>
      <c r="T847" s="5">
        <v>45414</v>
      </c>
      <c r="U847" s="1">
        <v>6.1903891659883636E-4</v>
      </c>
    </row>
    <row r="848" spans="3:21" x14ac:dyDescent="0.2">
      <c r="C848" s="5">
        <v>45415</v>
      </c>
      <c r="D848" s="6">
        <v>1.00051</v>
      </c>
      <c r="E848" s="6">
        <v>62843.7</v>
      </c>
      <c r="F848" s="6">
        <v>62937.94</v>
      </c>
      <c r="G848" s="6">
        <v>62883.5</v>
      </c>
      <c r="H848" s="6">
        <v>62877.97</v>
      </c>
      <c r="I848" s="5">
        <v>45415</v>
      </c>
      <c r="J848" s="7">
        <f t="shared" si="80"/>
        <v>-5.4502395672131388E-4</v>
      </c>
      <c r="K848" s="5">
        <v>45415</v>
      </c>
      <c r="L848" s="8">
        <f t="shared" si="81"/>
        <v>8.6572789364463382E-4</v>
      </c>
      <c r="M848" s="5">
        <v>45415</v>
      </c>
      <c r="N848" s="9">
        <f t="shared" si="78"/>
        <v>3.2070393692331994E-4</v>
      </c>
      <c r="O848" s="5">
        <v>45415</v>
      </c>
      <c r="P848">
        <f t="shared" si="79"/>
        <v>0.99991205960228058</v>
      </c>
      <c r="Q848" s="6">
        <f t="shared" si="82"/>
        <v>0.99949025996741658</v>
      </c>
      <c r="R848">
        <f t="shared" si="83"/>
        <v>4.2192572949711281E-4</v>
      </c>
      <c r="T848" s="5">
        <v>45415</v>
      </c>
      <c r="U848" s="1">
        <v>4.2192572949711281E-4</v>
      </c>
    </row>
    <row r="849" spans="3:21" x14ac:dyDescent="0.2">
      <c r="C849" s="5">
        <v>45416</v>
      </c>
      <c r="D849" s="6">
        <v>1.0002200000000001</v>
      </c>
      <c r="E849" s="6">
        <v>63860</v>
      </c>
      <c r="F849" s="6">
        <v>63927.7</v>
      </c>
      <c r="G849" s="6">
        <v>63877</v>
      </c>
      <c r="H849" s="6">
        <v>63894.37</v>
      </c>
      <c r="I849" s="5">
        <v>45416</v>
      </c>
      <c r="J849" s="7">
        <f t="shared" si="80"/>
        <v>-5.379190686128155E-4</v>
      </c>
      <c r="K849" s="5">
        <v>45416</v>
      </c>
      <c r="L849" s="8">
        <f t="shared" si="81"/>
        <v>7.9371291701233761E-4</v>
      </c>
      <c r="M849" s="5">
        <v>45416</v>
      </c>
      <c r="N849" s="9">
        <f t="shared" si="78"/>
        <v>2.5579384839952211E-4</v>
      </c>
      <c r="O849" s="5">
        <v>45416</v>
      </c>
      <c r="P849">
        <f t="shared" si="79"/>
        <v>1.0002719288632842</v>
      </c>
      <c r="Q849" s="6">
        <f t="shared" si="82"/>
        <v>0.99978004838935419</v>
      </c>
      <c r="R849">
        <f t="shared" si="83"/>
        <v>4.9186770088096221E-4</v>
      </c>
      <c r="T849" s="5">
        <v>45416</v>
      </c>
      <c r="U849" s="1">
        <v>4.9186770088096221E-4</v>
      </c>
    </row>
    <row r="850" spans="3:21" x14ac:dyDescent="0.2">
      <c r="C850" s="5">
        <v>45417</v>
      </c>
      <c r="D850" s="6">
        <v>1.0000100000000001</v>
      </c>
      <c r="E850" s="6">
        <v>63997.8</v>
      </c>
      <c r="F850" s="6">
        <v>63999.519999999997</v>
      </c>
      <c r="G850" s="6">
        <v>64003</v>
      </c>
      <c r="H850" s="6">
        <v>64020.72</v>
      </c>
      <c r="I850" s="5">
        <v>45417</v>
      </c>
      <c r="J850" s="7">
        <f t="shared" si="80"/>
        <v>-3.5800909455561031E-4</v>
      </c>
      <c r="K850" s="5">
        <v>45417</v>
      </c>
      <c r="L850" s="8">
        <f t="shared" si="81"/>
        <v>-5.437245129139574E-5</v>
      </c>
      <c r="M850" s="5">
        <v>45417</v>
      </c>
      <c r="N850" s="9">
        <f t="shared" si="78"/>
        <v>-4.1238154584700607E-4</v>
      </c>
      <c r="O850" s="5">
        <v>45417</v>
      </c>
      <c r="P850">
        <f t="shared" si="79"/>
        <v>1.0002768620220928</v>
      </c>
      <c r="Q850" s="6">
        <f t="shared" si="82"/>
        <v>0.99999000009999894</v>
      </c>
      <c r="R850">
        <f t="shared" si="83"/>
        <v>2.8682365287611625E-4</v>
      </c>
      <c r="T850" s="5">
        <v>45417</v>
      </c>
      <c r="U850" s="1">
        <v>2.8682365287611625E-4</v>
      </c>
    </row>
    <row r="851" spans="3:21" x14ac:dyDescent="0.2">
      <c r="C851" s="5">
        <v>45418</v>
      </c>
      <c r="D851" s="6">
        <v>1.0000500000000001</v>
      </c>
      <c r="E851" s="6">
        <v>63149.3</v>
      </c>
      <c r="F851" s="6">
        <v>63197.26</v>
      </c>
      <c r="G851" s="6">
        <v>63128.5</v>
      </c>
      <c r="H851" s="6">
        <v>63166.31</v>
      </c>
      <c r="I851" s="5">
        <v>45418</v>
      </c>
      <c r="J851" s="7">
        <f t="shared" si="80"/>
        <v>-2.6928911946882386E-4</v>
      </c>
      <c r="K851" s="5">
        <v>45418</v>
      </c>
      <c r="L851" s="8">
        <f t="shared" si="81"/>
        <v>1.0892069350610586E-3</v>
      </c>
      <c r="M851" s="5">
        <v>45418</v>
      </c>
      <c r="N851" s="9">
        <f t="shared" si="78"/>
        <v>8.1991781559223478E-4</v>
      </c>
      <c r="O851" s="5">
        <v>45418</v>
      </c>
      <c r="P851">
        <f t="shared" si="79"/>
        <v>1.0005989370886366</v>
      </c>
      <c r="Q851" s="6">
        <f t="shared" si="82"/>
        <v>0.99995000249987487</v>
      </c>
      <c r="R851">
        <f t="shared" si="83"/>
        <v>6.4875654744625609E-4</v>
      </c>
      <c r="T851" s="5">
        <v>45418</v>
      </c>
      <c r="U851" s="1">
        <v>6.4875654744625609E-4</v>
      </c>
    </row>
    <row r="852" spans="3:21" x14ac:dyDescent="0.2">
      <c r="C852" s="5">
        <v>45419</v>
      </c>
      <c r="D852" s="6">
        <v>1.0000800000000001</v>
      </c>
      <c r="E852" s="6">
        <v>62314.5</v>
      </c>
      <c r="F852" s="6">
        <v>62357.66</v>
      </c>
      <c r="G852" s="6">
        <v>62300.5</v>
      </c>
      <c r="H852" s="6">
        <v>62326.12</v>
      </c>
      <c r="I852" s="5">
        <v>45419</v>
      </c>
      <c r="J852" s="7">
        <f t="shared" si="80"/>
        <v>-1.8643868734332603E-4</v>
      </c>
      <c r="K852" s="5">
        <v>45419</v>
      </c>
      <c r="L852" s="8">
        <f t="shared" si="81"/>
        <v>9.1748862368686436E-4</v>
      </c>
      <c r="M852" s="5">
        <v>45419</v>
      </c>
      <c r="N852" s="9">
        <f t="shared" si="78"/>
        <v>7.310499363435383E-4</v>
      </c>
      <c r="O852" s="5">
        <v>45419</v>
      </c>
      <c r="P852">
        <f t="shared" si="79"/>
        <v>1.0004112326546337</v>
      </c>
      <c r="Q852" s="6">
        <f t="shared" si="82"/>
        <v>0.99992000639948797</v>
      </c>
      <c r="R852">
        <f t="shared" si="83"/>
        <v>4.9114492183059786E-4</v>
      </c>
      <c r="T852" s="5">
        <v>45419</v>
      </c>
      <c r="U852" s="1">
        <v>4.9114492183059786E-4</v>
      </c>
    </row>
    <row r="853" spans="3:21" x14ac:dyDescent="0.2">
      <c r="C853" s="5">
        <v>45420</v>
      </c>
      <c r="D853" s="6">
        <v>0.99965999999999999</v>
      </c>
      <c r="E853" s="6">
        <v>61164</v>
      </c>
      <c r="F853" s="6">
        <v>61145.41</v>
      </c>
      <c r="G853" s="6">
        <v>61132.5</v>
      </c>
      <c r="H853" s="6">
        <v>61198.46</v>
      </c>
      <c r="I853" s="5">
        <v>45420</v>
      </c>
      <c r="J853" s="7">
        <f t="shared" si="80"/>
        <v>-5.630860645839638E-4</v>
      </c>
      <c r="K853" s="5">
        <v>45420</v>
      </c>
      <c r="L853" s="8">
        <f t="shared" si="81"/>
        <v>2.1118063223332095E-4</v>
      </c>
      <c r="M853" s="5">
        <v>45420</v>
      </c>
      <c r="N853" s="9">
        <f t="shared" si="78"/>
        <v>-3.5190543235064282E-4</v>
      </c>
      <c r="O853" s="5">
        <v>45420</v>
      </c>
      <c r="P853">
        <f t="shared" si="79"/>
        <v>1.0010789678158099</v>
      </c>
      <c r="Q853" s="6">
        <f t="shared" si="82"/>
        <v>1.0003401156393175</v>
      </c>
      <c r="R853">
        <f t="shared" si="83"/>
        <v>7.3832833529409209E-4</v>
      </c>
      <c r="T853" s="5">
        <v>45420</v>
      </c>
      <c r="U853" s="1">
        <v>7.3832833529409209E-4</v>
      </c>
    </row>
    <row r="854" spans="3:21" x14ac:dyDescent="0.2">
      <c r="C854" s="5">
        <v>45421</v>
      </c>
      <c r="D854" s="6">
        <v>0.99992000000000003</v>
      </c>
      <c r="E854" s="6">
        <v>63035.5</v>
      </c>
      <c r="F854" s="6">
        <v>63098.89</v>
      </c>
      <c r="G854" s="6">
        <v>63044</v>
      </c>
      <c r="H854" s="6">
        <v>63072.51</v>
      </c>
      <c r="I854" s="5">
        <v>45421</v>
      </c>
      <c r="J854" s="7">
        <f t="shared" si="80"/>
        <v>-5.867849559182286E-4</v>
      </c>
      <c r="K854" s="5">
        <v>45421</v>
      </c>
      <c r="L854" s="8">
        <f t="shared" si="81"/>
        <v>8.706617600405973E-4</v>
      </c>
      <c r="M854" s="5">
        <v>45421</v>
      </c>
      <c r="N854" s="9">
        <f t="shared" si="78"/>
        <v>2.838768041223687E-4</v>
      </c>
      <c r="O854" s="5">
        <v>45421</v>
      </c>
      <c r="P854">
        <f t="shared" si="79"/>
        <v>1.0004522238436646</v>
      </c>
      <c r="Q854" s="6">
        <f t="shared" si="82"/>
        <v>1.000080006400512</v>
      </c>
      <c r="R854">
        <f t="shared" si="83"/>
        <v>3.7211842110872781E-4</v>
      </c>
      <c r="T854" s="5">
        <v>45421</v>
      </c>
      <c r="U854" s="1">
        <v>3.7211842110872781E-4</v>
      </c>
    </row>
    <row r="855" spans="3:21" x14ac:dyDescent="0.2">
      <c r="C855" s="5">
        <v>45422</v>
      </c>
      <c r="D855" s="6">
        <v>0.99987000000000004</v>
      </c>
      <c r="E855" s="6">
        <v>60789.1</v>
      </c>
      <c r="F855" s="6">
        <v>60875.74</v>
      </c>
      <c r="G855" s="6">
        <v>60761.5</v>
      </c>
      <c r="H855" s="6">
        <v>60803.75</v>
      </c>
      <c r="I855" s="5">
        <v>45422</v>
      </c>
      <c r="J855" s="7">
        <f t="shared" si="80"/>
        <v>-2.4093908681621537E-4</v>
      </c>
      <c r="K855" s="5">
        <v>45422</v>
      </c>
      <c r="L855" s="8">
        <f t="shared" si="81"/>
        <v>1.8801379162791893E-3</v>
      </c>
      <c r="M855" s="5">
        <v>45422</v>
      </c>
      <c r="N855" s="9">
        <f t="shared" si="78"/>
        <v>1.6391988294629739E-3</v>
      </c>
      <c r="O855" s="5">
        <v>45422</v>
      </c>
      <c r="P855">
        <f t="shared" si="79"/>
        <v>1.0006953416225737</v>
      </c>
      <c r="Q855" s="6">
        <f t="shared" si="82"/>
        <v>1.0001300169021972</v>
      </c>
      <c r="R855">
        <f t="shared" si="83"/>
        <v>5.6509153386282882E-4</v>
      </c>
      <c r="T855" s="5">
        <v>45422</v>
      </c>
      <c r="U855" s="1">
        <v>5.6509153386282882E-4</v>
      </c>
    </row>
    <row r="856" spans="3:21" x14ac:dyDescent="0.2">
      <c r="C856" s="5">
        <v>45423</v>
      </c>
      <c r="D856" s="6">
        <v>0.99972000000000005</v>
      </c>
      <c r="E856" s="6">
        <v>60810.2</v>
      </c>
      <c r="F856" s="6">
        <v>60878.13</v>
      </c>
      <c r="G856" s="6">
        <v>60787.5</v>
      </c>
      <c r="H856" s="6">
        <v>60834.11</v>
      </c>
      <c r="I856" s="5">
        <v>45423</v>
      </c>
      <c r="J856" s="7">
        <f t="shared" si="80"/>
        <v>-3.9303607795040469E-4</v>
      </c>
      <c r="K856" s="5">
        <v>45423</v>
      </c>
      <c r="L856" s="8">
        <f t="shared" si="81"/>
        <v>1.4909315237507281E-3</v>
      </c>
      <c r="M856" s="5">
        <v>45423</v>
      </c>
      <c r="N856" s="9">
        <f t="shared" si="78"/>
        <v>1.0978954458003235E-3</v>
      </c>
      <c r="O856" s="5">
        <v>45423</v>
      </c>
      <c r="P856">
        <f t="shared" si="79"/>
        <v>1.0007667694838578</v>
      </c>
      <c r="Q856" s="6">
        <f t="shared" si="82"/>
        <v>1.0002800784219581</v>
      </c>
      <c r="R856">
        <f t="shared" si="83"/>
        <v>4.8643645900219219E-4</v>
      </c>
      <c r="T856" s="5">
        <v>45423</v>
      </c>
      <c r="U856" s="1">
        <v>4.8643645900219219E-4</v>
      </c>
    </row>
    <row r="857" spans="3:21" x14ac:dyDescent="0.2">
      <c r="C857" s="5">
        <v>45424</v>
      </c>
      <c r="D857" s="6">
        <v>0.99948999999999999</v>
      </c>
      <c r="E857" s="6">
        <v>61449.7</v>
      </c>
      <c r="F857" s="6">
        <v>61485.36</v>
      </c>
      <c r="G857" s="6">
        <v>61428</v>
      </c>
      <c r="H857" s="6">
        <v>61478.29</v>
      </c>
      <c r="I857" s="5">
        <v>45424</v>
      </c>
      <c r="J857" s="7">
        <f t="shared" si="80"/>
        <v>-4.6504221246237954E-4</v>
      </c>
      <c r="K857" s="5">
        <v>45424</v>
      </c>
      <c r="L857" s="8">
        <f t="shared" si="81"/>
        <v>9.3377612815003874E-4</v>
      </c>
      <c r="M857" s="5">
        <v>45424</v>
      </c>
      <c r="N857" s="9">
        <f t="shared" si="78"/>
        <v>4.687339156876592E-4</v>
      </c>
      <c r="O857" s="5">
        <v>45424</v>
      </c>
      <c r="P857">
        <f t="shared" si="79"/>
        <v>1.0008186820342515</v>
      </c>
      <c r="Q857" s="6">
        <f t="shared" si="82"/>
        <v>1.0005102602327187</v>
      </c>
      <c r="R857">
        <f t="shared" si="83"/>
        <v>3.0821700267334988E-4</v>
      </c>
      <c r="T857" s="5">
        <v>45424</v>
      </c>
      <c r="U857" s="1">
        <v>3.0821700267334988E-4</v>
      </c>
    </row>
    <row r="858" spans="3:21" x14ac:dyDescent="0.2">
      <c r="C858" s="5">
        <v>45425</v>
      </c>
      <c r="D858" s="6">
        <v>1</v>
      </c>
      <c r="E858" s="6">
        <v>62909.4</v>
      </c>
      <c r="F858" s="6">
        <v>62916.71</v>
      </c>
      <c r="G858" s="6">
        <v>62906.5</v>
      </c>
      <c r="H858" s="6">
        <v>62932.71</v>
      </c>
      <c r="I858" s="5">
        <v>45425</v>
      </c>
      <c r="J858" s="7">
        <f t="shared" si="80"/>
        <v>-3.7039561779554181E-4</v>
      </c>
      <c r="K858" s="5">
        <v>45425</v>
      </c>
      <c r="L858" s="8">
        <f t="shared" si="81"/>
        <v>1.6230437236214266E-4</v>
      </c>
      <c r="M858" s="5">
        <v>45425</v>
      </c>
      <c r="N858" s="9">
        <f t="shared" si="78"/>
        <v>-2.0809124543339915E-4</v>
      </c>
      <c r="O858" s="5">
        <v>45425</v>
      </c>
      <c r="P858">
        <f t="shared" si="79"/>
        <v>1.0004166501076994</v>
      </c>
      <c r="Q858" s="6">
        <f t="shared" si="82"/>
        <v>1</v>
      </c>
      <c r="R858">
        <f t="shared" si="83"/>
        <v>4.1656333314554848E-4</v>
      </c>
      <c r="T858" s="5">
        <v>45425</v>
      </c>
      <c r="U858" s="1">
        <v>4.1656333314554848E-4</v>
      </c>
    </row>
    <row r="859" spans="3:21" x14ac:dyDescent="0.2">
      <c r="C859" s="5">
        <v>45426</v>
      </c>
      <c r="D859" s="6">
        <v>0.99958999999999998</v>
      </c>
      <c r="E859" s="6">
        <v>61546</v>
      </c>
      <c r="F859" s="6">
        <v>61582.75</v>
      </c>
      <c r="G859" s="6">
        <v>61525.5</v>
      </c>
      <c r="H859" s="6">
        <v>61574.29</v>
      </c>
      <c r="I859" s="5">
        <v>45426</v>
      </c>
      <c r="J859" s="7">
        <f t="shared" si="80"/>
        <v>-4.5944500537482239E-4</v>
      </c>
      <c r="K859" s="5">
        <v>45426</v>
      </c>
      <c r="L859" s="8">
        <f t="shared" si="81"/>
        <v>9.3050848835035877E-4</v>
      </c>
      <c r="M859" s="5">
        <v>45426</v>
      </c>
      <c r="N859" s="9">
        <f t="shared" si="78"/>
        <v>4.7106348297553638E-4</v>
      </c>
      <c r="O859" s="5">
        <v>45426</v>
      </c>
      <c r="P859">
        <f t="shared" si="79"/>
        <v>1.0007930045265785</v>
      </c>
      <c r="Q859" s="6">
        <f t="shared" si="82"/>
        <v>1.0004101681689492</v>
      </c>
      <c r="R859">
        <f t="shared" si="83"/>
        <v>3.8260619163795818E-4</v>
      </c>
      <c r="T859" s="5">
        <v>45426</v>
      </c>
      <c r="U859" s="1">
        <v>3.8260619163795818E-4</v>
      </c>
    </row>
    <row r="860" spans="3:21" x14ac:dyDescent="0.2">
      <c r="C860" s="5">
        <v>45427</v>
      </c>
      <c r="D860" s="6">
        <v>1.00037</v>
      </c>
      <c r="E860" s="6">
        <v>66185.399999999994</v>
      </c>
      <c r="F860" s="6">
        <v>66163.11</v>
      </c>
      <c r="G860" s="6">
        <v>66215</v>
      </c>
      <c r="H860" s="6">
        <v>66211.22</v>
      </c>
      <c r="I860" s="5">
        <v>45427</v>
      </c>
      <c r="J860" s="7">
        <f t="shared" si="80"/>
        <v>-3.8996411786411703E-4</v>
      </c>
      <c r="K860" s="5">
        <v>45427</v>
      </c>
      <c r="L860" s="8">
        <f t="shared" si="81"/>
        <v>-7.8365929170126733E-4</v>
      </c>
      <c r="M860" s="5">
        <v>45427</v>
      </c>
      <c r="N860" s="9">
        <f t="shared" si="78"/>
        <v>-1.1736234095653844E-3</v>
      </c>
      <c r="O860" s="5">
        <v>45427</v>
      </c>
      <c r="P860">
        <f t="shared" si="79"/>
        <v>0.99994291323718187</v>
      </c>
      <c r="Q860" s="6">
        <f t="shared" si="82"/>
        <v>0.99963013684936575</v>
      </c>
      <c r="R860">
        <f t="shared" si="83"/>
        <v>3.128431745503086E-4</v>
      </c>
      <c r="T860" s="5">
        <v>45427</v>
      </c>
      <c r="U860" s="1">
        <v>3.128431745503086E-4</v>
      </c>
    </row>
    <row r="861" spans="3:21" x14ac:dyDescent="0.2">
      <c r="C861" s="5">
        <v>45428</v>
      </c>
      <c r="D861" s="6">
        <v>1.0001500000000001</v>
      </c>
      <c r="E861" s="6">
        <v>65226</v>
      </c>
      <c r="F861" s="6">
        <v>65199.99</v>
      </c>
      <c r="G861" s="6">
        <v>65221</v>
      </c>
      <c r="H861" s="6">
        <v>65242.59</v>
      </c>
      <c r="I861" s="5">
        <v>45428</v>
      </c>
      <c r="J861" s="7">
        <f t="shared" si="80"/>
        <v>-2.5428175061714301E-4</v>
      </c>
      <c r="K861" s="5">
        <v>45428</v>
      </c>
      <c r="L861" s="8">
        <f t="shared" si="81"/>
        <v>-3.2213550850189411E-4</v>
      </c>
      <c r="M861" s="5">
        <v>45428</v>
      </c>
      <c r="N861" s="9">
        <f t="shared" si="78"/>
        <v>-5.7641725911903707E-4</v>
      </c>
      <c r="O861" s="5">
        <v>45428</v>
      </c>
      <c r="P861">
        <f t="shared" si="79"/>
        <v>1.0003310283497646</v>
      </c>
      <c r="Q861" s="6">
        <f t="shared" si="82"/>
        <v>0.99985002249662536</v>
      </c>
      <c r="R861">
        <f t="shared" si="83"/>
        <v>4.8096232309376938E-4</v>
      </c>
      <c r="T861" s="5">
        <v>45428</v>
      </c>
      <c r="U861" s="1">
        <v>4.8096232309376938E-4</v>
      </c>
    </row>
    <row r="862" spans="3:21" x14ac:dyDescent="0.2">
      <c r="C862" s="5">
        <v>45429</v>
      </c>
      <c r="D862" s="6">
        <v>1.0004999999999999</v>
      </c>
      <c r="E862" s="6">
        <v>66973</v>
      </c>
      <c r="F862" s="6">
        <v>67029.81</v>
      </c>
      <c r="G862" s="6">
        <v>67017.5</v>
      </c>
      <c r="H862" s="6">
        <v>67007.990000000005</v>
      </c>
      <c r="I862" s="5">
        <v>45429</v>
      </c>
      <c r="J862" s="7">
        <f t="shared" si="80"/>
        <v>-5.2217653447007189E-4</v>
      </c>
      <c r="K862" s="5">
        <v>45429</v>
      </c>
      <c r="L862" s="8">
        <f t="shared" si="81"/>
        <v>1.8368336628489084E-4</v>
      </c>
      <c r="M862" s="5">
        <v>45429</v>
      </c>
      <c r="N862" s="9">
        <f t="shared" si="78"/>
        <v>-3.3849316818518105E-4</v>
      </c>
      <c r="O862" s="5">
        <v>45429</v>
      </c>
      <c r="P862">
        <f t="shared" si="79"/>
        <v>0.9998580967657702</v>
      </c>
      <c r="Q862" s="6">
        <f t="shared" si="82"/>
        <v>0.99950024987506247</v>
      </c>
      <c r="R862">
        <f t="shared" si="83"/>
        <v>3.5796173820475737E-4</v>
      </c>
      <c r="T862" s="5">
        <v>45429</v>
      </c>
      <c r="U862" s="1">
        <v>3.5796173820475737E-4</v>
      </c>
    </row>
    <row r="863" spans="3:21" x14ac:dyDescent="0.2">
      <c r="C863" s="5">
        <v>45430</v>
      </c>
      <c r="D863" s="6">
        <v>1.00024</v>
      </c>
      <c r="E863" s="6">
        <v>66875.8</v>
      </c>
      <c r="F863" s="6">
        <v>66890.820000000007</v>
      </c>
      <c r="G863" s="6">
        <v>66895</v>
      </c>
      <c r="H863" s="6">
        <v>66909.33</v>
      </c>
      <c r="I863" s="5">
        <v>45430</v>
      </c>
      <c r="J863" s="7">
        <f t="shared" si="80"/>
        <v>-5.0112592668315214E-4</v>
      </c>
      <c r="K863" s="5">
        <v>45430</v>
      </c>
      <c r="L863" s="8">
        <f t="shared" si="81"/>
        <v>-6.2485985499559233E-5</v>
      </c>
      <c r="M863" s="5">
        <v>45430</v>
      </c>
      <c r="N863" s="9">
        <f t="shared" si="78"/>
        <v>-5.6361191218271141E-4</v>
      </c>
      <c r="O863" s="5">
        <v>45430</v>
      </c>
      <c r="P863">
        <f t="shared" si="79"/>
        <v>1.0002142163091412</v>
      </c>
      <c r="Q863" s="6">
        <f t="shared" si="82"/>
        <v>0.99976005758617925</v>
      </c>
      <c r="R863">
        <f t="shared" si="83"/>
        <v>4.5416457271109812E-4</v>
      </c>
      <c r="T863" s="5">
        <v>45430</v>
      </c>
      <c r="U863" s="1">
        <v>4.5416457271109812E-4</v>
      </c>
    </row>
    <row r="864" spans="3:21" x14ac:dyDescent="0.2">
      <c r="C864" s="5">
        <v>45431</v>
      </c>
      <c r="D864" s="6">
        <v>0.99999000000000005</v>
      </c>
      <c r="E864" s="6">
        <v>66235.600000000006</v>
      </c>
      <c r="F864" s="6">
        <v>66243.149999999994</v>
      </c>
      <c r="G864" s="6">
        <v>66248.5</v>
      </c>
      <c r="H864" s="6">
        <v>66267.58</v>
      </c>
      <c r="I864" s="5">
        <v>45431</v>
      </c>
      <c r="J864" s="7">
        <f t="shared" si="80"/>
        <v>-4.8258892206409114E-4</v>
      </c>
      <c r="K864" s="5">
        <v>45431</v>
      </c>
      <c r="L864" s="8">
        <f t="shared" si="81"/>
        <v>-8.0756545431305167E-5</v>
      </c>
      <c r="M864" s="5">
        <v>45431</v>
      </c>
      <c r="N864" s="9">
        <f t="shared" si="78"/>
        <v>-5.6334546749539627E-4</v>
      </c>
      <c r="O864" s="5">
        <v>45431</v>
      </c>
      <c r="P864">
        <f t="shared" si="79"/>
        <v>1.0002880065209023</v>
      </c>
      <c r="Q864" s="6">
        <f t="shared" si="82"/>
        <v>1.000010000100001</v>
      </c>
      <c r="R864">
        <f t="shared" si="83"/>
        <v>2.7796500498546747E-4</v>
      </c>
      <c r="T864" s="5">
        <v>45431</v>
      </c>
      <c r="U864" s="1">
        <v>2.7796500498546747E-4</v>
      </c>
    </row>
    <row r="865" spans="3:21" x14ac:dyDescent="0.2">
      <c r="C865" s="5">
        <v>45432</v>
      </c>
      <c r="D865" s="6">
        <v>1.0001100000000001</v>
      </c>
      <c r="E865" s="6">
        <v>71436.899999999994</v>
      </c>
      <c r="F865" s="6">
        <v>70203.509999999995</v>
      </c>
      <c r="G865" s="6">
        <v>71468</v>
      </c>
      <c r="H865" s="6">
        <v>71432.800000000003</v>
      </c>
      <c r="I865" s="5">
        <v>45432</v>
      </c>
      <c r="J865" s="7">
        <f t="shared" si="80"/>
        <v>5.7396602121032196E-5</v>
      </c>
      <c r="K865" s="5">
        <v>45432</v>
      </c>
      <c r="L865" s="8">
        <f t="shared" si="81"/>
        <v>-1.7693093412436408E-2</v>
      </c>
      <c r="M865" s="5">
        <v>45432</v>
      </c>
      <c r="N865" s="9">
        <f t="shared" si="78"/>
        <v>-1.7635696810315377E-2</v>
      </c>
      <c r="O865" s="5">
        <v>45432</v>
      </c>
      <c r="P865">
        <f t="shared" si="79"/>
        <v>0.9995074718755248</v>
      </c>
      <c r="Q865" s="6">
        <f t="shared" si="82"/>
        <v>0.99989001209866912</v>
      </c>
      <c r="R865">
        <f t="shared" si="83"/>
        <v>-3.8265550584939143E-4</v>
      </c>
      <c r="T865" s="5">
        <v>45432</v>
      </c>
      <c r="U865" s="1">
        <v>-3.8265550584939143E-4</v>
      </c>
    </row>
    <row r="866" spans="3:21" x14ac:dyDescent="0.2">
      <c r="C866" s="5">
        <v>45433</v>
      </c>
      <c r="D866" s="6">
        <v>0.99988999999999995</v>
      </c>
      <c r="E866" s="6">
        <v>70167.8</v>
      </c>
      <c r="F866" s="6">
        <v>69630.92</v>
      </c>
      <c r="G866" s="6">
        <v>70183.5</v>
      </c>
      <c r="H866" s="6">
        <v>70153</v>
      </c>
      <c r="I866" s="5">
        <v>45433</v>
      </c>
      <c r="J866" s="7">
        <f t="shared" si="80"/>
        <v>2.1096745684436746E-4</v>
      </c>
      <c r="K866" s="5">
        <v>45433</v>
      </c>
      <c r="L866" s="8">
        <f t="shared" si="81"/>
        <v>-7.8733605477071065E-3</v>
      </c>
      <c r="M866" s="5">
        <v>45433</v>
      </c>
      <c r="N866" s="9">
        <f t="shared" si="78"/>
        <v>-7.6623930908627392E-3</v>
      </c>
      <c r="O866" s="5">
        <v>45433</v>
      </c>
      <c r="P866">
        <f t="shared" si="79"/>
        <v>0.99956542492181211</v>
      </c>
      <c r="Q866" s="6">
        <f t="shared" si="82"/>
        <v>1.0001100121013311</v>
      </c>
      <c r="R866">
        <f t="shared" si="83"/>
        <v>-5.446755837470752E-4</v>
      </c>
      <c r="T866" s="5">
        <v>45433</v>
      </c>
      <c r="U866" s="1">
        <v>-5.446755837470752E-4</v>
      </c>
    </row>
    <row r="867" spans="3:21" x14ac:dyDescent="0.2">
      <c r="C867" s="5">
        <v>45434</v>
      </c>
      <c r="D867" s="6">
        <v>0.99951999999999996</v>
      </c>
      <c r="E867" s="6">
        <v>69210.100000000006</v>
      </c>
      <c r="F867" s="6">
        <v>69059.69</v>
      </c>
      <c r="G867" s="6">
        <v>69188</v>
      </c>
      <c r="H867" s="6">
        <v>69163.100000000006</v>
      </c>
      <c r="I867" s="5">
        <v>45434</v>
      </c>
      <c r="J867" s="7">
        <f t="shared" si="80"/>
        <v>6.7955311430517129E-4</v>
      </c>
      <c r="K867" s="5">
        <v>45434</v>
      </c>
      <c r="L867" s="8">
        <f t="shared" si="81"/>
        <v>-1.8545123431808648E-3</v>
      </c>
      <c r="M867" s="5">
        <v>45434</v>
      </c>
      <c r="N867" s="9">
        <f t="shared" si="78"/>
        <v>-1.1749592288756935E-3</v>
      </c>
      <c r="O867" s="5">
        <v>45434</v>
      </c>
      <c r="P867">
        <f t="shared" si="79"/>
        <v>0.99964011100190797</v>
      </c>
      <c r="Q867" s="6">
        <f t="shared" si="82"/>
        <v>1.0004802305106451</v>
      </c>
      <c r="R867">
        <f t="shared" si="83"/>
        <v>-8.4006901055656065E-4</v>
      </c>
      <c r="T867" s="5">
        <v>45434</v>
      </c>
      <c r="U867" s="1">
        <v>-8.4006901055656065E-4</v>
      </c>
    </row>
    <row r="868" spans="3:21" x14ac:dyDescent="0.2">
      <c r="C868" s="5">
        <v>45435</v>
      </c>
      <c r="D868" s="6">
        <v>0.99955000000000005</v>
      </c>
      <c r="E868" s="6">
        <v>68000.3</v>
      </c>
      <c r="F868" s="6">
        <v>67950.86</v>
      </c>
      <c r="G868" s="6">
        <v>67991.5</v>
      </c>
      <c r="H868" s="6">
        <v>67971.360000000001</v>
      </c>
      <c r="I868" s="5">
        <v>45435</v>
      </c>
      <c r="J868" s="7">
        <f t="shared" si="80"/>
        <v>4.257675585717621E-4</v>
      </c>
      <c r="K868" s="5">
        <v>45435</v>
      </c>
      <c r="L868" s="8">
        <f t="shared" si="81"/>
        <v>-5.977217740452765E-4</v>
      </c>
      <c r="M868" s="5">
        <v>45435</v>
      </c>
      <c r="N868" s="9">
        <f t="shared" si="78"/>
        <v>-1.719542154735144E-4</v>
      </c>
      <c r="O868" s="5">
        <v>45435</v>
      </c>
      <c r="P868">
        <f t="shared" si="79"/>
        <v>0.99970378650272462</v>
      </c>
      <c r="Q868" s="6">
        <f t="shared" si="82"/>
        <v>1.0004502025911659</v>
      </c>
      <c r="R868">
        <f t="shared" si="83"/>
        <v>-7.4635865754391843E-4</v>
      </c>
      <c r="T868" s="5">
        <v>45435</v>
      </c>
      <c r="U868" s="1">
        <v>-7.4635865754391843E-4</v>
      </c>
    </row>
    <row r="869" spans="3:21" x14ac:dyDescent="0.2">
      <c r="C869" s="5">
        <v>45436</v>
      </c>
      <c r="D869" s="6">
        <v>0.99982000000000004</v>
      </c>
      <c r="E869" s="6">
        <v>68580</v>
      </c>
      <c r="F869" s="6">
        <v>68563.83</v>
      </c>
      <c r="G869" s="6">
        <v>68581</v>
      </c>
      <c r="H869" s="6">
        <v>68563.06</v>
      </c>
      <c r="I869" s="5">
        <v>45436</v>
      </c>
      <c r="J869" s="7">
        <f t="shared" si="80"/>
        <v>2.4707181972336603E-4</v>
      </c>
      <c r="K869" s="5">
        <v>45436</v>
      </c>
      <c r="L869" s="8">
        <f t="shared" si="81"/>
        <v>-2.503608871261465E-4</v>
      </c>
      <c r="M869" s="5">
        <v>45436</v>
      </c>
      <c r="N869" s="9">
        <f t="shared" si="78"/>
        <v>-3.2890674027804753E-6</v>
      </c>
      <c r="O869" s="5">
        <v>45436</v>
      </c>
      <c r="P869">
        <f t="shared" si="79"/>
        <v>0.99973841151339293</v>
      </c>
      <c r="Q869" s="6">
        <f t="shared" si="82"/>
        <v>1.000180032405833</v>
      </c>
      <c r="R869">
        <f t="shared" si="83"/>
        <v>-4.4163890878731483E-4</v>
      </c>
      <c r="T869" s="5">
        <v>45436</v>
      </c>
      <c r="U869" s="1">
        <v>-4.4163890878731483E-4</v>
      </c>
    </row>
    <row r="870" spans="3:21" x14ac:dyDescent="0.2">
      <c r="C870" s="5">
        <v>45437</v>
      </c>
      <c r="D870" s="6">
        <v>0.99992000000000003</v>
      </c>
      <c r="E870" s="6">
        <v>69306.2</v>
      </c>
      <c r="F870" s="6">
        <v>69290.84</v>
      </c>
      <c r="G870" s="6">
        <v>69325</v>
      </c>
      <c r="H870" s="6">
        <v>69292.070000000007</v>
      </c>
      <c r="I870" s="5">
        <v>45437</v>
      </c>
      <c r="J870" s="7">
        <f t="shared" si="80"/>
        <v>2.0391943840023977E-4</v>
      </c>
      <c r="K870" s="5">
        <v>45437</v>
      </c>
      <c r="L870" s="8">
        <f t="shared" si="81"/>
        <v>-4.9275153263618455E-4</v>
      </c>
      <c r="M870" s="5">
        <v>45437</v>
      </c>
      <c r="N870" s="9">
        <f t="shared" si="78"/>
        <v>-2.8883209423594477E-4</v>
      </c>
      <c r="O870" s="5">
        <v>45437</v>
      </c>
      <c r="P870">
        <f t="shared" si="79"/>
        <v>0.99952499098449343</v>
      </c>
      <c r="Q870" s="6">
        <f t="shared" si="82"/>
        <v>1.000080006400512</v>
      </c>
      <c r="R870">
        <f t="shared" si="83"/>
        <v>-5.5512506819834796E-4</v>
      </c>
      <c r="T870" s="5">
        <v>45437</v>
      </c>
      <c r="U870" s="1">
        <v>-5.5512506819834796E-4</v>
      </c>
    </row>
    <row r="871" spans="3:21" x14ac:dyDescent="0.2">
      <c r="C871" s="5">
        <v>45438</v>
      </c>
      <c r="D871" s="6">
        <v>0.99944999999999995</v>
      </c>
      <c r="E871" s="6">
        <v>68528.600000000006</v>
      </c>
      <c r="F871" s="6">
        <v>68443.990000000005</v>
      </c>
      <c r="G871" s="6">
        <v>68503</v>
      </c>
      <c r="H871" s="6">
        <v>68510</v>
      </c>
      <c r="I871" s="5">
        <v>45438</v>
      </c>
      <c r="J871" s="7">
        <f t="shared" si="80"/>
        <v>2.7149321266976823E-4</v>
      </c>
      <c r="K871" s="5">
        <v>45438</v>
      </c>
      <c r="L871" s="8">
        <f t="shared" si="81"/>
        <v>-8.6142212749798931E-4</v>
      </c>
      <c r="M871" s="5">
        <v>45438</v>
      </c>
      <c r="N871" s="9">
        <f t="shared" si="78"/>
        <v>-5.8992891482822108E-4</v>
      </c>
      <c r="O871" s="5">
        <v>45438</v>
      </c>
      <c r="P871">
        <f t="shared" si="79"/>
        <v>1.000102185305753</v>
      </c>
      <c r="Q871" s="6">
        <f t="shared" si="82"/>
        <v>1.0005503026664666</v>
      </c>
      <c r="R871">
        <f t="shared" si="83"/>
        <v>-4.4797122029093054E-4</v>
      </c>
      <c r="T871" s="5">
        <v>45438</v>
      </c>
      <c r="U871" s="1">
        <v>-4.4797122029093054E-4</v>
      </c>
    </row>
    <row r="872" spans="3:21" x14ac:dyDescent="0.2">
      <c r="C872" s="5">
        <v>45439</v>
      </c>
      <c r="D872" s="6">
        <v>0.99924000000000002</v>
      </c>
      <c r="E872" s="6">
        <v>69450</v>
      </c>
      <c r="F872" s="6">
        <v>69364.289999999994</v>
      </c>
      <c r="G872" s="6">
        <v>69438</v>
      </c>
      <c r="H872" s="6">
        <v>69431.61</v>
      </c>
      <c r="I872" s="5">
        <v>45439</v>
      </c>
      <c r="J872" s="7">
        <f t="shared" si="80"/>
        <v>2.6486495128082751E-4</v>
      </c>
      <c r="K872" s="5">
        <v>45439</v>
      </c>
      <c r="L872" s="8">
        <f t="shared" si="81"/>
        <v>-1.0615225092889542E-3</v>
      </c>
      <c r="M872" s="5">
        <v>45439</v>
      </c>
      <c r="N872" s="9">
        <f t="shared" si="78"/>
        <v>-7.9665755800812667E-4</v>
      </c>
      <c r="O872" s="5">
        <v>45439</v>
      </c>
      <c r="P872">
        <f t="shared" si="79"/>
        <v>0.99990797546012267</v>
      </c>
      <c r="Q872" s="6">
        <f t="shared" si="82"/>
        <v>1.0007605780393098</v>
      </c>
      <c r="R872">
        <f t="shared" si="83"/>
        <v>-8.5231772080385519E-4</v>
      </c>
      <c r="T872" s="5">
        <v>45439</v>
      </c>
      <c r="U872" s="1">
        <v>-8.5231772080385519E-4</v>
      </c>
    </row>
    <row r="873" spans="3:21" x14ac:dyDescent="0.2">
      <c r="C873" s="5">
        <v>45440</v>
      </c>
      <c r="D873" s="6">
        <v>0.99894000000000005</v>
      </c>
      <c r="E873" s="6">
        <v>68443.600000000006</v>
      </c>
      <c r="F873" s="6">
        <v>68325.149999999994</v>
      </c>
      <c r="G873" s="6">
        <v>68385.5</v>
      </c>
      <c r="H873" s="6">
        <v>68406.58</v>
      </c>
      <c r="I873" s="5">
        <v>45440</v>
      </c>
      <c r="J873" s="7">
        <f t="shared" si="80"/>
        <v>5.4117600967632168E-4</v>
      </c>
      <c r="K873" s="5">
        <v>45440</v>
      </c>
      <c r="L873" s="8">
        <f t="shared" si="81"/>
        <v>-8.8249702056731065E-4</v>
      </c>
      <c r="M873" s="5">
        <v>45440</v>
      </c>
      <c r="N873" s="9">
        <f t="shared" si="78"/>
        <v>-3.4132101089098896E-4</v>
      </c>
      <c r="O873" s="5">
        <v>45440</v>
      </c>
      <c r="P873">
        <f t="shared" si="79"/>
        <v>1.0003082524804234</v>
      </c>
      <c r="Q873" s="6">
        <f t="shared" si="82"/>
        <v>1.0010611247922798</v>
      </c>
      <c r="R873">
        <f t="shared" si="83"/>
        <v>-7.523572169325347E-4</v>
      </c>
      <c r="T873" s="5">
        <v>45440</v>
      </c>
      <c r="U873" s="1">
        <v>-7.523572169325347E-4</v>
      </c>
    </row>
    <row r="874" spans="3:21" x14ac:dyDescent="0.2">
      <c r="C874" s="5">
        <v>45441</v>
      </c>
      <c r="D874" s="6">
        <v>0.99870000000000003</v>
      </c>
      <c r="E874" s="6">
        <v>67676</v>
      </c>
      <c r="F874" s="6">
        <v>67645.899999999994</v>
      </c>
      <c r="G874" s="6">
        <v>67604</v>
      </c>
      <c r="H874" s="6">
        <v>67648.850000000006</v>
      </c>
      <c r="I874" s="5">
        <v>45441</v>
      </c>
      <c r="J874" s="7">
        <f t="shared" si="80"/>
        <v>4.0133719937580871E-4</v>
      </c>
      <c r="K874" s="5">
        <v>45441</v>
      </c>
      <c r="L874" s="8">
        <f t="shared" si="81"/>
        <v>6.1978581149035828E-4</v>
      </c>
      <c r="M874" s="5">
        <v>45441</v>
      </c>
      <c r="N874" s="9">
        <f t="shared" si="78"/>
        <v>1.021123010866167E-3</v>
      </c>
      <c r="O874" s="5">
        <v>45441</v>
      </c>
      <c r="P874">
        <f t="shared" si="79"/>
        <v>1.0006634222827053</v>
      </c>
      <c r="Q874" s="6">
        <f t="shared" si="82"/>
        <v>1.0013016921998599</v>
      </c>
      <c r="R874">
        <f t="shared" si="83"/>
        <v>-6.3764341762330824E-4</v>
      </c>
      <c r="T874" s="5">
        <v>45441</v>
      </c>
      <c r="U874" s="1">
        <v>-6.3764341762330824E-4</v>
      </c>
    </row>
    <row r="875" spans="3:21" x14ac:dyDescent="0.2">
      <c r="C875" s="5">
        <v>45442</v>
      </c>
      <c r="D875" s="6">
        <v>0.99968999999999997</v>
      </c>
      <c r="E875" s="6">
        <v>68371.8</v>
      </c>
      <c r="F875" s="6">
        <v>68385.279999999999</v>
      </c>
      <c r="G875" s="6">
        <v>68375</v>
      </c>
      <c r="H875" s="6">
        <v>68356.69</v>
      </c>
      <c r="I875" s="5">
        <v>45442</v>
      </c>
      <c r="J875" s="7">
        <f t="shared" si="80"/>
        <v>2.2104639648292773E-4</v>
      </c>
      <c r="K875" s="5">
        <v>45442</v>
      </c>
      <c r="L875" s="8">
        <f t="shared" si="81"/>
        <v>1.5034734917731388E-4</v>
      </c>
      <c r="M875" s="5">
        <v>45442</v>
      </c>
      <c r="N875" s="9">
        <f t="shared" si="78"/>
        <v>3.7139374566024159E-4</v>
      </c>
      <c r="O875" s="5">
        <v>45442</v>
      </c>
      <c r="P875">
        <f t="shared" si="79"/>
        <v>0.99973221206581364</v>
      </c>
      <c r="Q875" s="6">
        <f t="shared" si="82"/>
        <v>1.0003100961298004</v>
      </c>
      <c r="R875">
        <f t="shared" si="83"/>
        <v>-5.7787185571035694E-4</v>
      </c>
      <c r="T875" s="5">
        <v>45442</v>
      </c>
      <c r="U875" s="1">
        <v>-5.7787185571035694E-4</v>
      </c>
    </row>
    <row r="876" spans="3:21" x14ac:dyDescent="0.2">
      <c r="C876" s="5">
        <v>45443</v>
      </c>
      <c r="D876" s="6">
        <v>0.99899000000000004</v>
      </c>
      <c r="E876" s="6">
        <v>67555.8</v>
      </c>
      <c r="F876" s="6">
        <v>67517.75</v>
      </c>
      <c r="G876" s="6">
        <v>67500</v>
      </c>
      <c r="H876" s="6">
        <v>67541.3</v>
      </c>
      <c r="I876" s="5">
        <v>45443</v>
      </c>
      <c r="J876" s="7">
        <f t="shared" si="80"/>
        <v>2.1468346034204255E-4</v>
      </c>
      <c r="K876" s="5">
        <v>45443</v>
      </c>
      <c r="L876" s="8">
        <f t="shared" si="81"/>
        <v>2.6296296296296294E-4</v>
      </c>
      <c r="M876" s="5">
        <v>45443</v>
      </c>
      <c r="N876" s="9">
        <f t="shared" si="78"/>
        <v>4.776464233050055E-4</v>
      </c>
      <c r="O876" s="5">
        <v>45443</v>
      </c>
      <c r="P876">
        <f t="shared" si="79"/>
        <v>1.0006118518518519</v>
      </c>
      <c r="Q876" s="6">
        <f t="shared" si="82"/>
        <v>1.0010110211313425</v>
      </c>
      <c r="R876">
        <f t="shared" si="83"/>
        <v>-3.9884564686989532E-4</v>
      </c>
      <c r="T876" s="5">
        <v>45443</v>
      </c>
      <c r="U876" s="1">
        <v>-3.9884564686989532E-4</v>
      </c>
    </row>
    <row r="877" spans="3:21" x14ac:dyDescent="0.2">
      <c r="C877" s="5">
        <v>45444</v>
      </c>
      <c r="D877" s="6">
        <v>0.99924999999999997</v>
      </c>
      <c r="E877" s="6">
        <v>67792.800000000003</v>
      </c>
      <c r="F877" s="6">
        <v>67717.149999999994</v>
      </c>
      <c r="G877" s="6">
        <v>67753.5</v>
      </c>
      <c r="H877" s="6">
        <v>67763.27</v>
      </c>
      <c r="I877" s="5">
        <v>45444</v>
      </c>
      <c r="J877" s="7">
        <f t="shared" si="80"/>
        <v>4.3578180332795087E-4</v>
      </c>
      <c r="K877" s="5">
        <v>45444</v>
      </c>
      <c r="L877" s="8">
        <f t="shared" si="81"/>
        <v>-5.3650364925805782E-4</v>
      </c>
      <c r="M877" s="5">
        <v>45444</v>
      </c>
      <c r="N877" s="9">
        <f t="shared" si="78"/>
        <v>-1.0072184593010696E-4</v>
      </c>
      <c r="O877" s="5">
        <v>45444</v>
      </c>
      <c r="P877">
        <f t="shared" si="79"/>
        <v>1.0001441991926616</v>
      </c>
      <c r="Q877" s="6">
        <f t="shared" si="82"/>
        <v>1.0007505629221918</v>
      </c>
      <c r="R877">
        <f t="shared" si="83"/>
        <v>-6.0609259374683785E-4</v>
      </c>
      <c r="T877" s="5">
        <v>45444</v>
      </c>
      <c r="U877" s="1">
        <v>-6.0609259374683785E-4</v>
      </c>
    </row>
    <row r="878" spans="3:21" x14ac:dyDescent="0.2">
      <c r="C878" s="5">
        <v>45445</v>
      </c>
      <c r="D878" s="6">
        <v>0.99951000000000001</v>
      </c>
      <c r="E878" s="6">
        <v>67776.3</v>
      </c>
      <c r="F878" s="6">
        <v>67791.69</v>
      </c>
      <c r="G878" s="6">
        <v>67758.5</v>
      </c>
      <c r="H878" s="6">
        <v>67765.5</v>
      </c>
      <c r="I878" s="5">
        <v>45445</v>
      </c>
      <c r="J878" s="7">
        <f t="shared" si="80"/>
        <v>1.5937313234614826E-4</v>
      </c>
      <c r="K878" s="5">
        <v>45445</v>
      </c>
      <c r="L878" s="8">
        <f t="shared" si="81"/>
        <v>4.8982784447711104E-4</v>
      </c>
      <c r="M878" s="5">
        <v>45445</v>
      </c>
      <c r="N878" s="9">
        <f t="shared" si="78"/>
        <v>6.4920097682325927E-4</v>
      </c>
      <c r="O878" s="5">
        <v>45445</v>
      </c>
      <c r="P878">
        <f t="shared" si="79"/>
        <v>1.0001033080720501</v>
      </c>
      <c r="Q878" s="6">
        <f t="shared" si="82"/>
        <v>1.0004902402177067</v>
      </c>
      <c r="R878">
        <f t="shared" si="83"/>
        <v>-3.868173530920799E-4</v>
      </c>
      <c r="T878" s="5">
        <v>45445</v>
      </c>
      <c r="U878" s="1">
        <v>-3.868173530920799E-4</v>
      </c>
    </row>
    <row r="879" spans="3:21" x14ac:dyDescent="0.2">
      <c r="C879" s="5">
        <v>45446</v>
      </c>
      <c r="D879" s="6">
        <v>0.99983999999999995</v>
      </c>
      <c r="E879" s="6">
        <v>68837</v>
      </c>
      <c r="F879" s="6">
        <v>68845.259999999995</v>
      </c>
      <c r="G879" s="6">
        <v>68840.5</v>
      </c>
      <c r="H879" s="6">
        <v>68808.039999999994</v>
      </c>
      <c r="I879" s="5">
        <v>45446</v>
      </c>
      <c r="J879" s="7">
        <f t="shared" si="80"/>
        <v>4.2088104820318099E-4</v>
      </c>
      <c r="K879" s="5">
        <v>45446</v>
      </c>
      <c r="L879" s="8">
        <f t="shared" si="81"/>
        <v>6.9145343220847633E-5</v>
      </c>
      <c r="M879" s="5">
        <v>45446</v>
      </c>
      <c r="N879" s="9">
        <f t="shared" si="78"/>
        <v>4.9002639142402857E-4</v>
      </c>
      <c r="O879" s="5">
        <v>45446</v>
      </c>
      <c r="P879">
        <f t="shared" si="79"/>
        <v>0.99952847524349753</v>
      </c>
      <c r="Q879" s="6">
        <f t="shared" si="82"/>
        <v>1.0001600256040968</v>
      </c>
      <c r="R879">
        <f t="shared" si="83"/>
        <v>-6.3164876062403159E-4</v>
      </c>
      <c r="T879" s="5">
        <v>45446</v>
      </c>
      <c r="U879" s="1">
        <v>-6.3164876062403159E-4</v>
      </c>
    </row>
    <row r="880" spans="3:21" x14ac:dyDescent="0.2">
      <c r="C880" s="5">
        <v>45447</v>
      </c>
      <c r="D880" s="6">
        <v>1.0001100000000001</v>
      </c>
      <c r="E880" s="6">
        <v>70559.3</v>
      </c>
      <c r="F880" s="6">
        <v>70453.5</v>
      </c>
      <c r="G880" s="6">
        <v>70587.5</v>
      </c>
      <c r="H880" s="6">
        <v>70535.899999999994</v>
      </c>
      <c r="I880" s="5">
        <v>45447</v>
      </c>
      <c r="J880" s="7">
        <f t="shared" si="80"/>
        <v>3.317459619854391E-4</v>
      </c>
      <c r="K880" s="5">
        <v>45447</v>
      </c>
      <c r="L880" s="8">
        <f t="shared" si="81"/>
        <v>-1.8983531078448734E-3</v>
      </c>
      <c r="M880" s="5">
        <v>45447</v>
      </c>
      <c r="N880" s="9">
        <f t="shared" si="78"/>
        <v>-1.5666071458594344E-3</v>
      </c>
      <c r="O880" s="5">
        <v>45447</v>
      </c>
      <c r="P880">
        <f t="shared" si="79"/>
        <v>0.99926899238533728</v>
      </c>
      <c r="Q880" s="6">
        <f t="shared" si="82"/>
        <v>0.99989001209866912</v>
      </c>
      <c r="R880">
        <f t="shared" si="83"/>
        <v>-6.2128098056688321E-4</v>
      </c>
      <c r="T880" s="5">
        <v>45447</v>
      </c>
      <c r="U880" s="1">
        <v>-6.2128098056688321E-4</v>
      </c>
    </row>
    <row r="881" spans="3:21" x14ac:dyDescent="0.2">
      <c r="C881" s="5">
        <v>45448</v>
      </c>
      <c r="D881" s="6">
        <v>1.0000899999999999</v>
      </c>
      <c r="E881" s="6">
        <v>71140.600000000006</v>
      </c>
      <c r="F881" s="6">
        <v>70978.3</v>
      </c>
      <c r="G881" s="6">
        <v>71142</v>
      </c>
      <c r="H881" s="6">
        <v>71113.08</v>
      </c>
      <c r="I881" s="5">
        <v>45448</v>
      </c>
      <c r="J881" s="7">
        <f t="shared" si="80"/>
        <v>3.8698928523422238E-4</v>
      </c>
      <c r="K881" s="5">
        <v>45448</v>
      </c>
      <c r="L881" s="8">
        <f t="shared" si="81"/>
        <v>-2.3010317393381842E-3</v>
      </c>
      <c r="M881" s="5">
        <v>45448</v>
      </c>
      <c r="N881" s="9">
        <f t="shared" si="78"/>
        <v>-1.9140424541039618E-3</v>
      </c>
      <c r="O881" s="5">
        <v>45448</v>
      </c>
      <c r="P881">
        <f t="shared" si="79"/>
        <v>0.99959348907818169</v>
      </c>
      <c r="Q881" s="6">
        <f t="shared" si="82"/>
        <v>0.99991000809927111</v>
      </c>
      <c r="R881">
        <f t="shared" si="83"/>
        <v>-3.165976195390918E-4</v>
      </c>
      <c r="T881" s="5">
        <v>45448</v>
      </c>
      <c r="U881" s="1">
        <v>-3.165976195390918E-4</v>
      </c>
    </row>
    <row r="882" spans="3:21" x14ac:dyDescent="0.2">
      <c r="C882" s="5">
        <v>45449</v>
      </c>
      <c r="D882" s="6">
        <v>0.99963000000000002</v>
      </c>
      <c r="E882" s="6">
        <v>70835.8</v>
      </c>
      <c r="F882" s="6">
        <v>70822.52</v>
      </c>
      <c r="G882" s="6">
        <v>70818</v>
      </c>
      <c r="H882" s="6">
        <v>70799.8</v>
      </c>
      <c r="I882" s="5">
        <v>45449</v>
      </c>
      <c r="J882" s="7">
        <f t="shared" si="80"/>
        <v>5.0847601264410354E-4</v>
      </c>
      <c r="K882" s="5">
        <v>45449</v>
      </c>
      <c r="L882" s="8">
        <f t="shared" si="81"/>
        <v>6.3825581067017913E-5</v>
      </c>
      <c r="M882" s="5">
        <v>45449</v>
      </c>
      <c r="N882" s="9">
        <f t="shared" si="78"/>
        <v>5.7230159371112149E-4</v>
      </c>
      <c r="O882" s="5">
        <v>45449</v>
      </c>
      <c r="P882">
        <f t="shared" si="79"/>
        <v>0.99974300319127907</v>
      </c>
      <c r="Q882" s="6">
        <f t="shared" si="82"/>
        <v>1.0003701369506717</v>
      </c>
      <c r="R882">
        <f t="shared" si="83"/>
        <v>-6.2709830494882225E-4</v>
      </c>
      <c r="T882" s="5">
        <v>45449</v>
      </c>
      <c r="U882" s="1">
        <v>-6.2709830494882225E-4</v>
      </c>
    </row>
    <row r="883" spans="3:21" x14ac:dyDescent="0.2">
      <c r="C883" s="5">
        <v>45450</v>
      </c>
      <c r="D883" s="6">
        <v>0.99958999999999998</v>
      </c>
      <c r="E883" s="6">
        <v>69389.899999999994</v>
      </c>
      <c r="F883" s="6">
        <v>69429.97</v>
      </c>
      <c r="G883" s="6">
        <v>69346</v>
      </c>
      <c r="H883" s="6">
        <v>69354.070000000007</v>
      </c>
      <c r="I883" s="5">
        <v>45450</v>
      </c>
      <c r="J883" s="7">
        <f t="shared" si="80"/>
        <v>5.1662433077088608E-4</v>
      </c>
      <c r="K883" s="5">
        <v>45450</v>
      </c>
      <c r="L883" s="8">
        <f t="shared" si="81"/>
        <v>1.2108845499380089E-3</v>
      </c>
      <c r="M883" s="5">
        <v>45450</v>
      </c>
      <c r="N883" s="9">
        <f t="shared" si="78"/>
        <v>1.7275088807088951E-3</v>
      </c>
      <c r="O883" s="5">
        <v>45450</v>
      </c>
      <c r="P883">
        <f t="shared" si="79"/>
        <v>1.0001163729703229</v>
      </c>
      <c r="Q883" s="6">
        <f t="shared" si="82"/>
        <v>1.0004101681689492</v>
      </c>
      <c r="R883">
        <f t="shared" si="83"/>
        <v>-2.9371787346662025E-4</v>
      </c>
      <c r="T883" s="5">
        <v>45450</v>
      </c>
      <c r="U883" s="1">
        <v>-2.9371787346662025E-4</v>
      </c>
    </row>
    <row r="884" spans="3:21" x14ac:dyDescent="0.2">
      <c r="C884" s="5">
        <v>45451</v>
      </c>
      <c r="D884" s="6">
        <v>0.99990000000000001</v>
      </c>
      <c r="E884" s="6">
        <v>69326</v>
      </c>
      <c r="F884" s="6">
        <v>69388.73</v>
      </c>
      <c r="G884" s="6">
        <v>69340</v>
      </c>
      <c r="H884" s="6">
        <v>69301.94</v>
      </c>
      <c r="I884" s="5">
        <v>45451</v>
      </c>
      <c r="J884" s="7">
        <f t="shared" si="80"/>
        <v>3.4717642825002695E-4</v>
      </c>
      <c r="K884" s="5">
        <v>45451</v>
      </c>
      <c r="L884" s="8">
        <f t="shared" si="81"/>
        <v>7.0276896452258332E-4</v>
      </c>
      <c r="M884" s="5">
        <v>45451</v>
      </c>
      <c r="N884" s="9">
        <f t="shared" si="78"/>
        <v>1.0499453927726103E-3</v>
      </c>
      <c r="O884" s="5">
        <v>45451</v>
      </c>
      <c r="P884">
        <f t="shared" si="79"/>
        <v>0.99945111047014712</v>
      </c>
      <c r="Q884" s="6">
        <f t="shared" si="82"/>
        <v>1.000100010001</v>
      </c>
      <c r="R884">
        <f t="shared" si="83"/>
        <v>-6.4904522518995111E-4</v>
      </c>
      <c r="T884" s="5">
        <v>45451</v>
      </c>
      <c r="U884" s="1">
        <v>-6.4904522518995111E-4</v>
      </c>
    </row>
    <row r="885" spans="3:21" x14ac:dyDescent="0.2">
      <c r="C885" s="5">
        <v>45452</v>
      </c>
      <c r="D885" s="6">
        <v>0.99988999999999995</v>
      </c>
      <c r="E885" s="6">
        <v>69642.3</v>
      </c>
      <c r="F885" s="6">
        <v>69680.649999999994</v>
      </c>
      <c r="G885" s="6">
        <v>69681.5</v>
      </c>
      <c r="H885" s="6">
        <v>69643.539999999994</v>
      </c>
      <c r="I885" s="5">
        <v>45452</v>
      </c>
      <c r="J885" s="7">
        <f t="shared" si="80"/>
        <v>-1.7804953625141497E-5</v>
      </c>
      <c r="K885" s="5">
        <v>45452</v>
      </c>
      <c r="L885" s="8">
        <f t="shared" si="81"/>
        <v>-1.2198359679481939E-5</v>
      </c>
      <c r="M885" s="5">
        <v>45452</v>
      </c>
      <c r="N885" s="9">
        <f t="shared" si="78"/>
        <v>-3.0003313304623436E-5</v>
      </c>
      <c r="O885" s="5">
        <v>45452</v>
      </c>
      <c r="P885">
        <f t="shared" si="79"/>
        <v>0.99945523560772942</v>
      </c>
      <c r="Q885" s="6">
        <f t="shared" si="82"/>
        <v>1.0001100121013311</v>
      </c>
      <c r="R885">
        <f t="shared" si="83"/>
        <v>-6.5491888074739764E-4</v>
      </c>
      <c r="T885" s="5">
        <v>45452</v>
      </c>
      <c r="U885" s="1">
        <v>-6.5491888074739764E-4</v>
      </c>
    </row>
    <row r="886" spans="3:21" x14ac:dyDescent="0.2">
      <c r="C886" s="5">
        <v>45453</v>
      </c>
      <c r="D886" s="6">
        <v>0.99950000000000006</v>
      </c>
      <c r="E886" s="6">
        <v>69516</v>
      </c>
      <c r="F886" s="6">
        <v>69570.039999999994</v>
      </c>
      <c r="G886" s="6">
        <v>69528.5</v>
      </c>
      <c r="H886" s="6">
        <v>69528.41</v>
      </c>
      <c r="I886" s="5">
        <v>45453</v>
      </c>
      <c r="J886" s="7">
        <f t="shared" si="80"/>
        <v>-1.7848818921651583E-4</v>
      </c>
      <c r="K886" s="5">
        <v>45453</v>
      </c>
      <c r="L886" s="8">
        <f t="shared" si="81"/>
        <v>5.9745284307864536E-4</v>
      </c>
      <c r="M886" s="5">
        <v>45453</v>
      </c>
      <c r="N886" s="9">
        <f t="shared" si="78"/>
        <v>4.1896465386212956E-4</v>
      </c>
      <c r="O886" s="5">
        <v>45453</v>
      </c>
      <c r="P886">
        <f t="shared" si="79"/>
        <v>0.99999870556678205</v>
      </c>
      <c r="Q886" s="6">
        <f t="shared" si="82"/>
        <v>1.0005002501250624</v>
      </c>
      <c r="R886">
        <f t="shared" si="83"/>
        <v>-5.0141947573785299E-4</v>
      </c>
      <c r="T886" s="5">
        <v>45453</v>
      </c>
      <c r="U886" s="1">
        <v>-5.0141947573785299E-4</v>
      </c>
    </row>
    <row r="887" spans="3:21" x14ac:dyDescent="0.2">
      <c r="C887" s="5">
        <v>45454</v>
      </c>
      <c r="D887" s="6">
        <v>0.99987000000000004</v>
      </c>
      <c r="E887" s="6">
        <v>67276.3</v>
      </c>
      <c r="F887" s="6">
        <v>67376.38</v>
      </c>
      <c r="G887" s="6">
        <v>67343.5</v>
      </c>
      <c r="H887" s="6">
        <v>67313.8</v>
      </c>
      <c r="I887" s="5">
        <v>45454</v>
      </c>
      <c r="J887" s="7">
        <f t="shared" si="80"/>
        <v>-5.5709230499540949E-4</v>
      </c>
      <c r="K887" s="5">
        <v>45454</v>
      </c>
      <c r="L887" s="8">
        <f t="shared" si="81"/>
        <v>4.8824311180744478E-4</v>
      </c>
      <c r="M887" s="5">
        <v>45454</v>
      </c>
      <c r="N887" s="9">
        <f t="shared" si="78"/>
        <v>-6.8849193187964708E-5</v>
      </c>
      <c r="O887" s="5">
        <v>45454</v>
      </c>
      <c r="P887">
        <f t="shared" si="79"/>
        <v>0.99955897748112299</v>
      </c>
      <c r="Q887" s="6">
        <f t="shared" si="82"/>
        <v>1.0001300169021972</v>
      </c>
      <c r="R887">
        <f t="shared" si="83"/>
        <v>-5.7112824864294159E-4</v>
      </c>
      <c r="T887" s="5">
        <v>45454</v>
      </c>
      <c r="U887" s="1">
        <v>-5.7112824864294159E-4</v>
      </c>
    </row>
    <row r="888" spans="3:21" x14ac:dyDescent="0.2">
      <c r="C888" s="5">
        <v>45455</v>
      </c>
      <c r="D888" s="6">
        <v>0.99970000000000003</v>
      </c>
      <c r="E888" s="6">
        <v>68240.899999999994</v>
      </c>
      <c r="F888" s="6">
        <v>68295.27</v>
      </c>
      <c r="G888" s="6">
        <v>68252</v>
      </c>
      <c r="H888" s="6">
        <v>68264.02</v>
      </c>
      <c r="I888" s="5">
        <v>45455</v>
      </c>
      <c r="J888" s="7">
        <f t="shared" si="80"/>
        <v>-3.3868500565905572E-4</v>
      </c>
      <c r="K888" s="5">
        <v>45455</v>
      </c>
      <c r="L888" s="8">
        <f t="shared" si="81"/>
        <v>6.3397409599724654E-4</v>
      </c>
      <c r="M888" s="5">
        <v>45455</v>
      </c>
      <c r="N888" s="9">
        <f t="shared" si="78"/>
        <v>2.9528909033819082E-4</v>
      </c>
      <c r="O888" s="5">
        <v>45455</v>
      </c>
      <c r="P888">
        <f t="shared" si="79"/>
        <v>1.0001761120553245</v>
      </c>
      <c r="Q888" s="6">
        <f t="shared" si="82"/>
        <v>1.000300090027008</v>
      </c>
      <c r="R888">
        <f t="shared" si="83"/>
        <v>-1.2394845958498297E-4</v>
      </c>
      <c r="T888" s="5">
        <v>45455</v>
      </c>
      <c r="U888" s="1">
        <v>-1.2394845958498297E-4</v>
      </c>
    </row>
    <row r="889" spans="3:21" x14ac:dyDescent="0.2">
      <c r="C889" s="5">
        <v>45456</v>
      </c>
      <c r="D889" s="6">
        <v>0.99963000000000002</v>
      </c>
      <c r="E889" s="6">
        <v>66742.5</v>
      </c>
      <c r="F889" s="6">
        <v>66783.009999999995</v>
      </c>
      <c r="G889" s="6">
        <v>66768</v>
      </c>
      <c r="H889" s="6">
        <v>66775.460000000006</v>
      </c>
      <c r="I889" s="5">
        <v>45456</v>
      </c>
      <c r="J889" s="7">
        <f t="shared" si="80"/>
        <v>-4.9359450313043746E-4</v>
      </c>
      <c r="K889" s="5">
        <v>45456</v>
      </c>
      <c r="L889" s="8">
        <f t="shared" si="81"/>
        <v>2.2480829139699798E-4</v>
      </c>
      <c r="M889" s="5">
        <v>45456</v>
      </c>
      <c r="N889" s="9">
        <f t="shared" si="78"/>
        <v>-2.6878621173343951E-4</v>
      </c>
      <c r="O889" s="5">
        <v>45456</v>
      </c>
      <c r="P889">
        <f t="shared" si="79"/>
        <v>1.0001117301701414</v>
      </c>
      <c r="Q889" s="6">
        <f t="shared" si="82"/>
        <v>1.0003701369506717</v>
      </c>
      <c r="R889">
        <f t="shared" si="83"/>
        <v>-2.5834453809803079E-4</v>
      </c>
      <c r="T889" s="5">
        <v>45456</v>
      </c>
      <c r="U889" s="1">
        <v>-2.5834453809803079E-4</v>
      </c>
    </row>
    <row r="890" spans="3:21" x14ac:dyDescent="0.2">
      <c r="C890" s="5">
        <v>45457</v>
      </c>
      <c r="D890" s="6">
        <v>0.99946999999999997</v>
      </c>
      <c r="E890" s="6">
        <v>66021.2</v>
      </c>
      <c r="F890" s="6">
        <v>66109.19</v>
      </c>
      <c r="G890" s="6">
        <v>66000.5</v>
      </c>
      <c r="H890" s="6">
        <v>66047.320000000007</v>
      </c>
      <c r="I890" s="5">
        <v>45457</v>
      </c>
      <c r="J890" s="7">
        <f t="shared" si="80"/>
        <v>-3.9547403286022646E-4</v>
      </c>
      <c r="K890" s="5">
        <v>45457</v>
      </c>
      <c r="L890" s="8">
        <f t="shared" si="81"/>
        <v>1.6468057060174139E-3</v>
      </c>
      <c r="M890" s="5">
        <v>45457</v>
      </c>
      <c r="N890" s="9">
        <f t="shared" si="78"/>
        <v>1.2513316731571874E-3</v>
      </c>
      <c r="O890" s="5">
        <v>45457</v>
      </c>
      <c r="P890">
        <f t="shared" si="79"/>
        <v>1.0007093885652383</v>
      </c>
      <c r="Q890" s="6">
        <f t="shared" si="82"/>
        <v>1.000530281048956</v>
      </c>
      <c r="R890">
        <f t="shared" si="83"/>
        <v>1.7899656845700652E-4</v>
      </c>
      <c r="T890" s="5">
        <v>45457</v>
      </c>
      <c r="U890" s="1">
        <v>1.7899656845700652E-4</v>
      </c>
    </row>
    <row r="891" spans="3:21" x14ac:dyDescent="0.2">
      <c r="C891" s="5">
        <v>45458</v>
      </c>
      <c r="D891" s="6">
        <v>0.99941999999999998</v>
      </c>
      <c r="E891" s="6">
        <v>66184</v>
      </c>
      <c r="F891" s="6">
        <v>66244.12</v>
      </c>
      <c r="G891" s="6">
        <v>66162</v>
      </c>
      <c r="H891" s="6">
        <v>66222.31</v>
      </c>
      <c r="I891" s="5">
        <v>45458</v>
      </c>
      <c r="J891" s="7">
        <f t="shared" si="80"/>
        <v>-5.7850594459778995E-4</v>
      </c>
      <c r="K891" s="5">
        <v>45458</v>
      </c>
      <c r="L891" s="8">
        <f t="shared" si="81"/>
        <v>1.2411958526041436E-3</v>
      </c>
      <c r="M891" s="5">
        <v>45458</v>
      </c>
      <c r="N891" s="9">
        <f t="shared" si="78"/>
        <v>6.6268990800635364E-4</v>
      </c>
      <c r="O891" s="5">
        <v>45458</v>
      </c>
      <c r="P891">
        <f t="shared" si="79"/>
        <v>1.0009115504368065</v>
      </c>
      <c r="Q891" s="6">
        <f t="shared" si="82"/>
        <v>1.0005803365952253</v>
      </c>
      <c r="R891">
        <f t="shared" si="83"/>
        <v>3.3096696194541691E-4</v>
      </c>
      <c r="T891" s="5">
        <v>45458</v>
      </c>
      <c r="U891" s="1">
        <v>3.3096696194541691E-4</v>
      </c>
    </row>
    <row r="892" spans="3:21" x14ac:dyDescent="0.2">
      <c r="C892" s="5">
        <v>45459</v>
      </c>
      <c r="D892" s="6">
        <v>0.99934999999999996</v>
      </c>
      <c r="E892" s="6">
        <v>66638.2</v>
      </c>
      <c r="F892" s="6">
        <v>66614.34</v>
      </c>
      <c r="G892" s="6">
        <v>66611</v>
      </c>
      <c r="H892" s="6">
        <v>66673.72</v>
      </c>
      <c r="I892" s="5">
        <v>45459</v>
      </c>
      <c r="J892" s="7">
        <f t="shared" si="80"/>
        <v>-5.3274363572340157E-4</v>
      </c>
      <c r="K892" s="5">
        <v>45459</v>
      </c>
      <c r="L892" s="8">
        <f t="shared" si="81"/>
        <v>5.0141868460111808E-5</v>
      </c>
      <c r="M892" s="5">
        <v>45459</v>
      </c>
      <c r="N892" s="9">
        <f t="shared" si="78"/>
        <v>-4.8260176726328978E-4</v>
      </c>
      <c r="O892" s="5">
        <v>45459</v>
      </c>
      <c r="P892">
        <f t="shared" si="79"/>
        <v>1.0009415862244975</v>
      </c>
      <c r="Q892" s="6">
        <f t="shared" si="82"/>
        <v>1.0006504227748036</v>
      </c>
      <c r="R892">
        <f t="shared" si="83"/>
        <v>2.9093186867104029E-4</v>
      </c>
      <c r="T892" s="5">
        <v>45459</v>
      </c>
      <c r="U892" s="1">
        <v>2.9093186867104029E-4</v>
      </c>
    </row>
    <row r="893" spans="3:21" x14ac:dyDescent="0.2">
      <c r="C893" s="5">
        <v>45460</v>
      </c>
      <c r="D893" s="6">
        <v>0.99961</v>
      </c>
      <c r="E893" s="6">
        <v>66454.8</v>
      </c>
      <c r="F893" s="6">
        <v>66542.58</v>
      </c>
      <c r="G893" s="6">
        <v>66478</v>
      </c>
      <c r="H893" s="6">
        <v>66485.460000000006</v>
      </c>
      <c r="I893" s="5">
        <v>45460</v>
      </c>
      <c r="J893" s="7">
        <f t="shared" si="80"/>
        <v>-4.6115346122300256E-4</v>
      </c>
      <c r="K893" s="5">
        <v>45460</v>
      </c>
      <c r="L893" s="8">
        <f t="shared" si="81"/>
        <v>9.7144920123953403E-4</v>
      </c>
      <c r="M893" s="5">
        <v>45460</v>
      </c>
      <c r="N893" s="9">
        <f t="shared" si="78"/>
        <v>5.1029574001653147E-4</v>
      </c>
      <c r="O893" s="5">
        <v>45460</v>
      </c>
      <c r="P893">
        <f t="shared" si="79"/>
        <v>1.0001122175757395</v>
      </c>
      <c r="Q893" s="6">
        <f t="shared" si="82"/>
        <v>1.0003901521593421</v>
      </c>
      <c r="R893">
        <f t="shared" si="83"/>
        <v>-2.7786478996037761E-4</v>
      </c>
      <c r="T893" s="5">
        <v>45460</v>
      </c>
      <c r="U893" s="1">
        <v>-2.7786478996037761E-4</v>
      </c>
    </row>
    <row r="894" spans="3:21" x14ac:dyDescent="0.2">
      <c r="C894" s="5">
        <v>45461</v>
      </c>
      <c r="D894" s="6">
        <v>0.99936999999999998</v>
      </c>
      <c r="E894" s="6">
        <v>65146.5</v>
      </c>
      <c r="F894" s="6">
        <v>65198.93</v>
      </c>
      <c r="G894" s="6">
        <v>65108</v>
      </c>
      <c r="H894" s="6">
        <v>65178.29</v>
      </c>
      <c r="I894" s="5">
        <v>45461</v>
      </c>
      <c r="J894" s="7">
        <f t="shared" si="80"/>
        <v>-4.8773909226524465E-4</v>
      </c>
      <c r="K894" s="5">
        <v>45461</v>
      </c>
      <c r="L894" s="8">
        <f t="shared" si="81"/>
        <v>1.3966025680407983E-3</v>
      </c>
      <c r="M894" s="5">
        <v>45461</v>
      </c>
      <c r="N894" s="9">
        <f t="shared" si="78"/>
        <v>9.088634757755536E-4</v>
      </c>
      <c r="O894" s="5">
        <v>45461</v>
      </c>
      <c r="P894">
        <f t="shared" si="79"/>
        <v>1.0010795908336918</v>
      </c>
      <c r="Q894" s="6">
        <f t="shared" si="82"/>
        <v>1.0006303971502046</v>
      </c>
      <c r="R894">
        <f t="shared" si="83"/>
        <v>4.4880996120680734E-4</v>
      </c>
      <c r="T894" s="5">
        <v>45461</v>
      </c>
      <c r="U894" s="1">
        <v>4.4880996120680734E-4</v>
      </c>
    </row>
    <row r="895" spans="3:21" x14ac:dyDescent="0.2">
      <c r="C895" s="5">
        <v>45462</v>
      </c>
      <c r="D895" s="6">
        <v>0.99961</v>
      </c>
      <c r="E895" s="6">
        <v>64940.2</v>
      </c>
      <c r="F895" s="6">
        <v>65019.67</v>
      </c>
      <c r="G895" s="6">
        <v>64951.5</v>
      </c>
      <c r="H895" s="6">
        <v>64964.02</v>
      </c>
      <c r="I895" s="5">
        <v>45462</v>
      </c>
      <c r="J895" s="7">
        <f t="shared" si="80"/>
        <v>-3.6666450136552066E-4</v>
      </c>
      <c r="K895" s="5">
        <v>45462</v>
      </c>
      <c r="L895" s="8">
        <f t="shared" si="81"/>
        <v>1.0495523582980879E-3</v>
      </c>
      <c r="M895" s="5">
        <v>45462</v>
      </c>
      <c r="N895" s="9">
        <f t="shared" si="78"/>
        <v>6.8288785693256719E-4</v>
      </c>
      <c r="O895" s="5">
        <v>45462</v>
      </c>
      <c r="P895">
        <f t="shared" si="79"/>
        <v>1.0001927592126432</v>
      </c>
      <c r="Q895" s="6">
        <f t="shared" si="82"/>
        <v>1.0003901521593421</v>
      </c>
      <c r="R895">
        <f t="shared" si="83"/>
        <v>-1.9733543280557475E-4</v>
      </c>
      <c r="T895" s="5">
        <v>45462</v>
      </c>
      <c r="U895" s="1">
        <v>-1.9733543280557475E-4</v>
      </c>
    </row>
    <row r="896" spans="3:21" x14ac:dyDescent="0.2">
      <c r="C896" s="5">
        <v>45463</v>
      </c>
      <c r="D896" s="6">
        <v>0.99948000000000004</v>
      </c>
      <c r="E896" s="6">
        <v>64853.9</v>
      </c>
      <c r="F896" s="6">
        <v>64861.46</v>
      </c>
      <c r="G896" s="6">
        <v>64858</v>
      </c>
      <c r="H896" s="6">
        <v>64876.83</v>
      </c>
      <c r="I896" s="5">
        <v>45463</v>
      </c>
      <c r="J896" s="7">
        <f t="shared" si="80"/>
        <v>-3.5343897043058807E-4</v>
      </c>
      <c r="K896" s="5">
        <v>45463</v>
      </c>
      <c r="L896" s="8">
        <f t="shared" si="81"/>
        <v>5.3347312590569039E-5</v>
      </c>
      <c r="M896" s="5">
        <v>45463</v>
      </c>
      <c r="N896" s="9">
        <f t="shared" si="78"/>
        <v>-3.0009165784001905E-4</v>
      </c>
      <c r="O896" s="5">
        <v>45463</v>
      </c>
      <c r="P896">
        <f t="shared" si="79"/>
        <v>1.0002903265595608</v>
      </c>
      <c r="Q896" s="6">
        <f t="shared" si="82"/>
        <v>1.000520270540681</v>
      </c>
      <c r="R896">
        <f t="shared" si="83"/>
        <v>-2.2985082392684627E-4</v>
      </c>
      <c r="T896" s="5">
        <v>45463</v>
      </c>
      <c r="U896" s="1">
        <v>-2.2985082392684627E-4</v>
      </c>
    </row>
    <row r="897" spans="3:21" x14ac:dyDescent="0.2">
      <c r="C897" s="5">
        <v>45464</v>
      </c>
      <c r="D897" s="6">
        <v>0.99953000000000003</v>
      </c>
      <c r="E897" s="6">
        <v>64108.3</v>
      </c>
      <c r="F897" s="6">
        <v>64162.89</v>
      </c>
      <c r="G897" s="6">
        <v>64122</v>
      </c>
      <c r="H897" s="6">
        <v>64142.67</v>
      </c>
      <c r="I897" s="5">
        <v>45464</v>
      </c>
      <c r="J897" s="7">
        <f t="shared" si="80"/>
        <v>-5.3583675266394965E-4</v>
      </c>
      <c r="K897" s="5">
        <v>45464</v>
      </c>
      <c r="L897" s="8">
        <f t="shared" si="81"/>
        <v>6.3769065219424566E-4</v>
      </c>
      <c r="M897" s="5">
        <v>45464</v>
      </c>
      <c r="N897" s="9">
        <f t="shared" si="78"/>
        <v>1.0185389953029601E-4</v>
      </c>
      <c r="O897" s="5">
        <v>45464</v>
      </c>
      <c r="P897">
        <f t="shared" si="79"/>
        <v>1.0003223542621877</v>
      </c>
      <c r="Q897" s="6">
        <f t="shared" si="82"/>
        <v>1.0004702210038718</v>
      </c>
      <c r="R897">
        <f t="shared" si="83"/>
        <v>-1.47808167404457E-4</v>
      </c>
      <c r="T897" s="5">
        <v>45464</v>
      </c>
      <c r="U897" s="1">
        <v>-1.47808167404457E-4</v>
      </c>
    </row>
    <row r="898" spans="3:21" x14ac:dyDescent="0.2">
      <c r="C898" s="5">
        <v>45465</v>
      </c>
      <c r="D898" s="6">
        <v>0.99960000000000004</v>
      </c>
      <c r="E898" s="6">
        <v>64223.1</v>
      </c>
      <c r="F898" s="6">
        <v>64252.95</v>
      </c>
      <c r="G898" s="6">
        <v>64255.5</v>
      </c>
      <c r="H898" s="6">
        <v>64259.11</v>
      </c>
      <c r="I898" s="5">
        <v>45465</v>
      </c>
      <c r="J898" s="7">
        <f t="shared" si="80"/>
        <v>-5.6038746879628486E-4</v>
      </c>
      <c r="K898" s="5">
        <v>45465</v>
      </c>
      <c r="L898" s="8">
        <f t="shared" si="81"/>
        <v>-3.968531876653221E-5</v>
      </c>
      <c r="M898" s="5">
        <v>45465</v>
      </c>
      <c r="N898" s="9">
        <f t="shared" si="78"/>
        <v>-6.0007278756281704E-4</v>
      </c>
      <c r="O898" s="5">
        <v>45465</v>
      </c>
      <c r="P898">
        <f t="shared" si="79"/>
        <v>1.0000561819610774</v>
      </c>
      <c r="Q898" s="6">
        <f t="shared" si="82"/>
        <v>1.0004001600640255</v>
      </c>
      <c r="R898">
        <f t="shared" si="83"/>
        <v>-3.4389963840956528E-4</v>
      </c>
      <c r="T898" s="5">
        <v>45465</v>
      </c>
      <c r="U898" s="1">
        <v>-3.4389963840956528E-4</v>
      </c>
    </row>
    <row r="899" spans="3:21" x14ac:dyDescent="0.2">
      <c r="C899" s="5">
        <v>45466</v>
      </c>
      <c r="D899" s="6">
        <v>0.99929000000000001</v>
      </c>
      <c r="E899" s="6">
        <v>63179.9</v>
      </c>
      <c r="F899" s="6">
        <v>63160.84</v>
      </c>
      <c r="G899" s="6">
        <v>63146</v>
      </c>
      <c r="H899" s="6">
        <v>63209.63</v>
      </c>
      <c r="I899" s="5">
        <v>45466</v>
      </c>
      <c r="J899" s="7">
        <f t="shared" si="80"/>
        <v>-4.7033972513359001E-4</v>
      </c>
      <c r="K899" s="5">
        <v>45466</v>
      </c>
      <c r="L899" s="8">
        <f t="shared" si="81"/>
        <v>2.3501092705787392E-4</v>
      </c>
      <c r="M899" s="5">
        <v>45466</v>
      </c>
      <c r="N899" s="9">
        <f t="shared" si="78"/>
        <v>-2.3532879807571609E-4</v>
      </c>
      <c r="O899" s="5">
        <v>45466</v>
      </c>
      <c r="P899">
        <f t="shared" si="79"/>
        <v>1.0010076647768662</v>
      </c>
      <c r="Q899" s="6">
        <f t="shared" si="82"/>
        <v>1.0007105044581652</v>
      </c>
      <c r="R899">
        <f t="shared" si="83"/>
        <v>2.9690525414732328E-4</v>
      </c>
      <c r="T899" s="5">
        <v>45466</v>
      </c>
      <c r="U899" s="1">
        <v>2.9690525414732328E-4</v>
      </c>
    </row>
    <row r="900" spans="3:21" x14ac:dyDescent="0.2">
      <c r="C900" s="5">
        <v>45467</v>
      </c>
      <c r="D900" s="6">
        <v>0.99936000000000003</v>
      </c>
      <c r="E900" s="6">
        <v>60257.1</v>
      </c>
      <c r="F900" s="6">
        <v>60330.26</v>
      </c>
      <c r="G900" s="6">
        <v>60234</v>
      </c>
      <c r="H900" s="6">
        <v>60297.29</v>
      </c>
      <c r="I900" s="5">
        <v>45467</v>
      </c>
      <c r="J900" s="7">
        <f t="shared" si="80"/>
        <v>-6.6653078438520753E-4</v>
      </c>
      <c r="K900" s="5">
        <v>45467</v>
      </c>
      <c r="L900" s="8">
        <f t="shared" si="81"/>
        <v>1.5981007404456294E-3</v>
      </c>
      <c r="M900" s="5">
        <v>45467</v>
      </c>
      <c r="N900" s="9">
        <f t="shared" si="78"/>
        <v>9.3156995606042184E-4</v>
      </c>
      <c r="O900" s="5">
        <v>45467</v>
      </c>
      <c r="P900">
        <f t="shared" si="79"/>
        <v>1.0010507354650198</v>
      </c>
      <c r="Q900" s="6">
        <f t="shared" si="82"/>
        <v>1.0006404098623118</v>
      </c>
      <c r="R900">
        <f t="shared" si="83"/>
        <v>4.0997894146975944E-4</v>
      </c>
      <c r="T900" s="5">
        <v>45467</v>
      </c>
      <c r="U900" s="1">
        <v>4.0997894146975944E-4</v>
      </c>
    </row>
    <row r="901" spans="3:21" x14ac:dyDescent="0.2">
      <c r="C901" s="5">
        <v>45468</v>
      </c>
      <c r="D901" s="6">
        <v>0.99978</v>
      </c>
      <c r="E901" s="6">
        <v>61764.4</v>
      </c>
      <c r="F901" s="6">
        <v>61850.17</v>
      </c>
      <c r="G901" s="6">
        <v>61771.5</v>
      </c>
      <c r="H901" s="6">
        <v>61804.29</v>
      </c>
      <c r="I901" s="5">
        <v>45468</v>
      </c>
      <c r="J901" s="7">
        <f t="shared" si="80"/>
        <v>-6.4542445192719501E-4</v>
      </c>
      <c r="K901" s="5">
        <v>45468</v>
      </c>
      <c r="L901" s="8">
        <f t="shared" si="81"/>
        <v>1.2735646697910566E-3</v>
      </c>
      <c r="M901" s="5">
        <v>45468</v>
      </c>
      <c r="N901" s="9">
        <f t="shared" si="78"/>
        <v>6.2814021786386162E-4</v>
      </c>
      <c r="O901" s="5">
        <v>45468</v>
      </c>
      <c r="P901">
        <f t="shared" si="79"/>
        <v>1.00053082732328</v>
      </c>
      <c r="Q901" s="6">
        <f t="shared" si="82"/>
        <v>1.0002200484106503</v>
      </c>
      <c r="R901">
        <f t="shared" si="83"/>
        <v>3.1066228074518162E-4</v>
      </c>
      <c r="T901" s="5">
        <v>45468</v>
      </c>
      <c r="U901" s="1">
        <v>3.1066228074518162E-4</v>
      </c>
    </row>
    <row r="902" spans="3:21" x14ac:dyDescent="0.2">
      <c r="C902" s="5">
        <v>45469</v>
      </c>
      <c r="D902" s="6">
        <v>0.99934999999999996</v>
      </c>
      <c r="E902" s="6">
        <v>60838.5</v>
      </c>
      <c r="F902" s="6">
        <v>60856.36</v>
      </c>
      <c r="G902" s="6">
        <v>60815</v>
      </c>
      <c r="H902" s="6">
        <v>60857.49</v>
      </c>
      <c r="I902" s="5">
        <v>45469</v>
      </c>
      <c r="J902" s="7">
        <f t="shared" si="80"/>
        <v>-3.1204047357191305E-4</v>
      </c>
      <c r="K902" s="5">
        <v>45469</v>
      </c>
      <c r="L902" s="8">
        <f t="shared" si="81"/>
        <v>6.8009537120777082E-4</v>
      </c>
      <c r="M902" s="5">
        <v>45469</v>
      </c>
      <c r="N902" s="9">
        <f t="shared" si="78"/>
        <v>3.6805489763585777E-4</v>
      </c>
      <c r="O902" s="5">
        <v>45469</v>
      </c>
      <c r="P902">
        <f t="shared" si="79"/>
        <v>1.0006986763134096</v>
      </c>
      <c r="Q902" s="6">
        <f t="shared" si="82"/>
        <v>1.0006504227748036</v>
      </c>
      <c r="R902">
        <f t="shared" si="83"/>
        <v>4.8221011154198887E-5</v>
      </c>
      <c r="T902" s="5">
        <v>45469</v>
      </c>
      <c r="U902" s="1">
        <v>4.8221011154198887E-5</v>
      </c>
    </row>
    <row r="903" spans="3:21" x14ac:dyDescent="0.2">
      <c r="C903" s="5">
        <v>45470</v>
      </c>
      <c r="D903" s="6">
        <v>0.99860000000000004</v>
      </c>
      <c r="E903" s="6">
        <v>61659.5</v>
      </c>
      <c r="F903" s="6">
        <v>61692.82</v>
      </c>
      <c r="G903" s="6">
        <v>61640.5</v>
      </c>
      <c r="H903" s="6">
        <v>61695.87</v>
      </c>
      <c r="I903" s="5">
        <v>45470</v>
      </c>
      <c r="J903" s="7">
        <f t="shared" si="80"/>
        <v>-5.8950461351793266E-4</v>
      </c>
      <c r="K903" s="5">
        <v>45470</v>
      </c>
      <c r="L903" s="8">
        <f t="shared" si="81"/>
        <v>8.4879259577712231E-4</v>
      </c>
      <c r="M903" s="5">
        <v>45470</v>
      </c>
      <c r="N903" s="9">
        <f t="shared" si="78"/>
        <v>2.5928798225918965E-4</v>
      </c>
      <c r="O903" s="5">
        <v>45470</v>
      </c>
      <c r="P903">
        <f t="shared" si="79"/>
        <v>1.0008982730509974</v>
      </c>
      <c r="Q903" s="6">
        <f t="shared" si="82"/>
        <v>1.001401962747847</v>
      </c>
      <c r="R903">
        <f t="shared" si="83"/>
        <v>-5.0311107042657374E-4</v>
      </c>
      <c r="T903" s="5">
        <v>45470</v>
      </c>
      <c r="U903" s="1">
        <v>-5.0311107042657374E-4</v>
      </c>
    </row>
    <row r="904" spans="3:21" x14ac:dyDescent="0.2">
      <c r="C904" s="5">
        <v>45471</v>
      </c>
      <c r="D904" s="6">
        <v>0.99814999999999998</v>
      </c>
      <c r="E904" s="6">
        <v>60406.1</v>
      </c>
      <c r="F904" s="6">
        <v>60412.52</v>
      </c>
      <c r="G904" s="6">
        <v>60319</v>
      </c>
      <c r="H904" s="6">
        <v>60433.19</v>
      </c>
      <c r="I904" s="5">
        <v>45471</v>
      </c>
      <c r="J904" s="7">
        <f t="shared" si="80"/>
        <v>-4.4826361143609632E-4</v>
      </c>
      <c r="K904" s="5">
        <v>45471</v>
      </c>
      <c r="L904" s="8">
        <f t="shared" si="81"/>
        <v>1.5504235812927403E-3</v>
      </c>
      <c r="M904" s="5">
        <v>45471</v>
      </c>
      <c r="N904" s="9">
        <f t="shared" ref="N904:N967" si="84">J904+L904</f>
        <v>1.1021599698566439E-3</v>
      </c>
      <c r="O904" s="5">
        <v>45471</v>
      </c>
      <c r="P904">
        <f t="shared" ref="P904:P967" si="85">(1/G904)*H904</f>
        <v>1.0018931016760888</v>
      </c>
      <c r="Q904" s="6">
        <f t="shared" si="82"/>
        <v>1.0018534288433603</v>
      </c>
      <c r="R904">
        <f t="shared" si="83"/>
        <v>3.959865395098973E-5</v>
      </c>
      <c r="T904" s="5">
        <v>45471</v>
      </c>
      <c r="U904" s="1">
        <v>3.959865395098973E-5</v>
      </c>
    </row>
    <row r="905" spans="3:21" x14ac:dyDescent="0.2">
      <c r="C905" s="5">
        <v>45472</v>
      </c>
      <c r="D905" s="6">
        <v>0.99843999999999999</v>
      </c>
      <c r="E905" s="6">
        <v>60939.9</v>
      </c>
      <c r="F905" s="6">
        <v>60987.42</v>
      </c>
      <c r="G905" s="6">
        <v>60903.5</v>
      </c>
      <c r="H905" s="6">
        <v>60979.9</v>
      </c>
      <c r="I905" s="5">
        <v>45472</v>
      </c>
      <c r="J905" s="7">
        <f t="shared" ref="J905:J968" si="86">(E905-H905)/H905</f>
        <v>-6.5595384708731894E-4</v>
      </c>
      <c r="K905" s="5">
        <v>45472</v>
      </c>
      <c r="L905" s="8">
        <f t="shared" ref="L905:L968" si="87">(F905-G905)/G905</f>
        <v>1.3779175252653501E-3</v>
      </c>
      <c r="M905" s="5">
        <v>45472</v>
      </c>
      <c r="N905" s="9">
        <f t="shared" si="84"/>
        <v>7.2196367817803115E-4</v>
      </c>
      <c r="O905" s="5">
        <v>45472</v>
      </c>
      <c r="P905">
        <f t="shared" si="85"/>
        <v>1.0012544435048889</v>
      </c>
      <c r="Q905" s="6">
        <f t="shared" ref="Q905:Q968" si="88">1/D905</f>
        <v>1.0015624374023477</v>
      </c>
      <c r="R905">
        <f t="shared" ref="R905:R968" si="89">LN(P905/Q905)</f>
        <v>-3.0756071892817471E-4</v>
      </c>
      <c r="T905" s="5">
        <v>45472</v>
      </c>
      <c r="U905" s="1">
        <v>-3.0756071892817471E-4</v>
      </c>
    </row>
    <row r="906" spans="3:21" x14ac:dyDescent="0.2">
      <c r="C906" s="5">
        <v>45473</v>
      </c>
      <c r="D906" s="6">
        <v>0.99841000000000002</v>
      </c>
      <c r="E906" s="6">
        <v>62749.5</v>
      </c>
      <c r="F906" s="6">
        <v>62741.62</v>
      </c>
      <c r="G906" s="6">
        <v>62706.5</v>
      </c>
      <c r="H906" s="6">
        <v>62772.83</v>
      </c>
      <c r="I906" s="5">
        <v>45473</v>
      </c>
      <c r="J906" s="7">
        <f t="shared" si="86"/>
        <v>-3.7165761046621199E-4</v>
      </c>
      <c r="K906" s="5">
        <v>45473</v>
      </c>
      <c r="L906" s="8">
        <f t="shared" si="87"/>
        <v>5.6006953027202318E-4</v>
      </c>
      <c r="M906" s="5">
        <v>45473</v>
      </c>
      <c r="N906" s="9">
        <f t="shared" si="84"/>
        <v>1.884119198058112E-4</v>
      </c>
      <c r="O906" s="5">
        <v>45473</v>
      </c>
      <c r="P906">
        <f t="shared" si="85"/>
        <v>1.0010577850781019</v>
      </c>
      <c r="Q906" s="6">
        <f t="shared" si="88"/>
        <v>1.0015925321260803</v>
      </c>
      <c r="R906">
        <f t="shared" si="89"/>
        <v>-5.3403937381741305E-4</v>
      </c>
      <c r="T906" s="5">
        <v>45473</v>
      </c>
      <c r="U906" s="1">
        <v>-5.3403937381741305E-4</v>
      </c>
    </row>
    <row r="907" spans="3:21" x14ac:dyDescent="0.2">
      <c r="C907" s="5">
        <v>45474</v>
      </c>
      <c r="D907" s="6">
        <v>0.99899000000000004</v>
      </c>
      <c r="E907" s="6">
        <v>62860.1</v>
      </c>
      <c r="F907" s="6">
        <v>62892.98</v>
      </c>
      <c r="G907" s="6">
        <v>62849</v>
      </c>
      <c r="H907" s="6">
        <v>62893.02</v>
      </c>
      <c r="I907" s="5">
        <v>45474</v>
      </c>
      <c r="J907" s="7">
        <f t="shared" si="86"/>
        <v>-5.2342851400677306E-4</v>
      </c>
      <c r="K907" s="5">
        <v>45474</v>
      </c>
      <c r="L907" s="8">
        <f t="shared" si="87"/>
        <v>6.9977247052464158E-4</v>
      </c>
      <c r="M907" s="5">
        <v>45474</v>
      </c>
      <c r="N907" s="9">
        <f t="shared" si="84"/>
        <v>1.7634395651786852E-4</v>
      </c>
      <c r="O907" s="5">
        <v>45474</v>
      </c>
      <c r="P907">
        <f t="shared" si="85"/>
        <v>1.0007004089166096</v>
      </c>
      <c r="Q907" s="6">
        <f t="shared" si="88"/>
        <v>1.0010110211313425</v>
      </c>
      <c r="R907">
        <f t="shared" si="89"/>
        <v>-3.1034664893587511E-4</v>
      </c>
      <c r="T907" s="5">
        <v>45474</v>
      </c>
      <c r="U907" s="1">
        <v>-3.1034664893587511E-4</v>
      </c>
    </row>
    <row r="908" spans="3:21" x14ac:dyDescent="0.2">
      <c r="C908" s="5">
        <v>45475</v>
      </c>
      <c r="D908" s="6">
        <v>0.99856</v>
      </c>
      <c r="E908" s="6">
        <v>62092.6</v>
      </c>
      <c r="F908" s="6">
        <v>62106.92</v>
      </c>
      <c r="G908" s="6">
        <v>62049.5</v>
      </c>
      <c r="H908" s="6">
        <v>62131.02</v>
      </c>
      <c r="I908" s="5">
        <v>45475</v>
      </c>
      <c r="J908" s="7">
        <f t="shared" si="86"/>
        <v>-6.1837066251283586E-4</v>
      </c>
      <c r="K908" s="5">
        <v>45475</v>
      </c>
      <c r="L908" s="8">
        <f t="shared" si="87"/>
        <v>9.2539021265277321E-4</v>
      </c>
      <c r="M908" s="5">
        <v>45475</v>
      </c>
      <c r="N908" s="9">
        <f t="shared" si="84"/>
        <v>3.0701955013993736E-4</v>
      </c>
      <c r="O908" s="5">
        <v>45475</v>
      </c>
      <c r="P908">
        <f t="shared" si="85"/>
        <v>1.0013137897968556</v>
      </c>
      <c r="Q908" s="6">
        <f t="shared" si="88"/>
        <v>1.0014420765902901</v>
      </c>
      <c r="R908">
        <f t="shared" si="89"/>
        <v>-1.2811026622162205E-4</v>
      </c>
      <c r="T908" s="5">
        <v>45475</v>
      </c>
      <c r="U908" s="1">
        <v>-1.2811026622162205E-4</v>
      </c>
    </row>
    <row r="909" spans="3:21" x14ac:dyDescent="0.2">
      <c r="C909" s="5">
        <v>45476</v>
      </c>
      <c r="D909" s="6">
        <v>0.99905999999999995</v>
      </c>
      <c r="E909" s="6">
        <v>60184.800000000003</v>
      </c>
      <c r="F909" s="6">
        <v>60210.39</v>
      </c>
      <c r="G909" s="6">
        <v>60128</v>
      </c>
      <c r="H909" s="6">
        <v>60211.1</v>
      </c>
      <c r="I909" s="5">
        <v>45476</v>
      </c>
      <c r="J909" s="7">
        <f t="shared" si="86"/>
        <v>-4.3679653751543547E-4</v>
      </c>
      <c r="K909" s="5">
        <v>45476</v>
      </c>
      <c r="L909" s="8">
        <f t="shared" si="87"/>
        <v>1.3702434805747642E-3</v>
      </c>
      <c r="M909" s="5">
        <v>45476</v>
      </c>
      <c r="N909" s="9">
        <f t="shared" si="84"/>
        <v>9.3344694305932865E-4</v>
      </c>
      <c r="O909" s="5">
        <v>45476</v>
      </c>
      <c r="P909">
        <f t="shared" si="85"/>
        <v>1.0013820516232037</v>
      </c>
      <c r="Q909" s="6">
        <f t="shared" si="88"/>
        <v>1.0009408844313656</v>
      </c>
      <c r="R909">
        <f t="shared" si="89"/>
        <v>4.4065539182806183E-4</v>
      </c>
      <c r="T909" s="5">
        <v>45476</v>
      </c>
      <c r="U909" s="1">
        <v>4.4065539182806183E-4</v>
      </c>
    </row>
    <row r="910" spans="3:21" x14ac:dyDescent="0.2">
      <c r="C910" s="5">
        <v>45477</v>
      </c>
      <c r="D910" s="6">
        <v>0.99983</v>
      </c>
      <c r="E910" s="6">
        <v>57034.6</v>
      </c>
      <c r="F910" s="6">
        <v>57097</v>
      </c>
      <c r="G910" s="6">
        <v>57011.5</v>
      </c>
      <c r="H910" s="6">
        <v>57056.28</v>
      </c>
      <c r="I910" s="5">
        <v>45477</v>
      </c>
      <c r="J910" s="7">
        <f t="shared" si="86"/>
        <v>-3.7997570118487032E-4</v>
      </c>
      <c r="K910" s="5">
        <v>45477</v>
      </c>
      <c r="L910" s="8">
        <f t="shared" si="87"/>
        <v>1.4996974294659848E-3</v>
      </c>
      <c r="M910" s="5">
        <v>45477</v>
      </c>
      <c r="N910" s="9">
        <f t="shared" si="84"/>
        <v>1.1197217282811144E-3</v>
      </c>
      <c r="O910" s="5">
        <v>45477</v>
      </c>
      <c r="P910">
        <f t="shared" si="85"/>
        <v>1.0007854555659823</v>
      </c>
      <c r="Q910" s="6">
        <f t="shared" si="88"/>
        <v>1.0001700289049138</v>
      </c>
      <c r="R910">
        <f t="shared" si="89"/>
        <v>6.1513280555270929E-4</v>
      </c>
      <c r="T910" s="5">
        <v>45477</v>
      </c>
      <c r="U910" s="1">
        <v>6.1513280555270929E-4</v>
      </c>
    </row>
    <row r="911" spans="3:21" x14ac:dyDescent="0.2">
      <c r="C911" s="5">
        <v>45478</v>
      </c>
      <c r="D911" s="6">
        <v>1.0000800000000001</v>
      </c>
      <c r="E911" s="6">
        <v>56602.8</v>
      </c>
      <c r="F911" s="6">
        <v>56742.69</v>
      </c>
      <c r="G911" s="6">
        <v>56609</v>
      </c>
      <c r="H911" s="6">
        <v>56631.519999999997</v>
      </c>
      <c r="I911" s="5">
        <v>45478</v>
      </c>
      <c r="J911" s="7">
        <f t="shared" si="86"/>
        <v>-5.0713807434435616E-4</v>
      </c>
      <c r="K911" s="5">
        <v>45478</v>
      </c>
      <c r="L911" s="8">
        <f t="shared" si="87"/>
        <v>2.3616386087018377E-3</v>
      </c>
      <c r="M911" s="5">
        <v>45478</v>
      </c>
      <c r="N911" s="9">
        <f t="shared" si="84"/>
        <v>1.8545005343574817E-3</v>
      </c>
      <c r="O911" s="5">
        <v>45478</v>
      </c>
      <c r="P911">
        <f t="shared" si="85"/>
        <v>1.0003978166016003</v>
      </c>
      <c r="Q911" s="6">
        <f t="shared" si="88"/>
        <v>0.99992000639948797</v>
      </c>
      <c r="R911">
        <f t="shared" si="89"/>
        <v>4.7773429372645852E-4</v>
      </c>
      <c r="T911" s="5">
        <v>45478</v>
      </c>
      <c r="U911" s="1">
        <v>4.7773429372645852E-4</v>
      </c>
    </row>
    <row r="912" spans="3:21" x14ac:dyDescent="0.2">
      <c r="C912" s="5">
        <v>45479</v>
      </c>
      <c r="D912" s="6">
        <v>1.0001199999999999</v>
      </c>
      <c r="E912" s="6">
        <v>58204.1</v>
      </c>
      <c r="F912" s="6">
        <v>58309.37</v>
      </c>
      <c r="G912" s="6">
        <v>58207.5</v>
      </c>
      <c r="H912" s="6">
        <v>58239.99</v>
      </c>
      <c r="I912" s="5">
        <v>45479</v>
      </c>
      <c r="J912" s="7">
        <f t="shared" si="86"/>
        <v>-6.1624323767911742E-4</v>
      </c>
      <c r="K912" s="5">
        <v>45479</v>
      </c>
      <c r="L912" s="8">
        <f t="shared" si="87"/>
        <v>1.7501181119272023E-3</v>
      </c>
      <c r="M912" s="5">
        <v>45479</v>
      </c>
      <c r="N912" s="9">
        <f t="shared" si="84"/>
        <v>1.1338748742480849E-3</v>
      </c>
      <c r="O912" s="5">
        <v>45479</v>
      </c>
      <c r="P912">
        <f t="shared" si="85"/>
        <v>1.0005581754928488</v>
      </c>
      <c r="Q912" s="6">
        <f t="shared" si="88"/>
        <v>0.99988001439827234</v>
      </c>
      <c r="R912">
        <f t="shared" si="89"/>
        <v>6.7801257142830211E-4</v>
      </c>
      <c r="T912" s="5">
        <v>45479</v>
      </c>
      <c r="U912" s="1">
        <v>6.7801257142830211E-4</v>
      </c>
    </row>
    <row r="913" spans="3:21" x14ac:dyDescent="0.2">
      <c r="C913" s="5">
        <v>45480</v>
      </c>
      <c r="D913" s="6">
        <v>0.99983999999999995</v>
      </c>
      <c r="E913" s="6">
        <v>55840</v>
      </c>
      <c r="F913" s="6">
        <v>55909.63</v>
      </c>
      <c r="G913" s="6">
        <v>55858</v>
      </c>
      <c r="H913" s="6">
        <v>55864.83</v>
      </c>
      <c r="I913" s="5">
        <v>45480</v>
      </c>
      <c r="J913" s="7">
        <f t="shared" si="86"/>
        <v>-4.4446568619293652E-4</v>
      </c>
      <c r="K913" s="5">
        <v>45480</v>
      </c>
      <c r="L913" s="8">
        <f t="shared" si="87"/>
        <v>9.2430806688383721E-4</v>
      </c>
      <c r="M913" s="5">
        <v>45480</v>
      </c>
      <c r="N913" s="9">
        <f t="shared" si="84"/>
        <v>4.798423806909007E-4</v>
      </c>
      <c r="O913" s="5">
        <v>45480</v>
      </c>
      <c r="P913">
        <f t="shared" si="85"/>
        <v>1.0001222743385012</v>
      </c>
      <c r="Q913" s="6">
        <f t="shared" si="88"/>
        <v>1.0001600256040968</v>
      </c>
      <c r="R913">
        <f t="shared" si="89"/>
        <v>-3.7745937762072251E-5</v>
      </c>
      <c r="T913" s="5">
        <v>45480</v>
      </c>
      <c r="U913" s="1">
        <v>-3.7745937762072251E-5</v>
      </c>
    </row>
    <row r="914" spans="3:21" x14ac:dyDescent="0.2">
      <c r="C914" s="5">
        <v>45481</v>
      </c>
      <c r="D914" s="6">
        <v>0.99987000000000004</v>
      </c>
      <c r="E914" s="6">
        <v>56696.5</v>
      </c>
      <c r="F914" s="6">
        <v>56762.41</v>
      </c>
      <c r="G914" s="6">
        <v>56709.5</v>
      </c>
      <c r="H914" s="6">
        <v>56711.66</v>
      </c>
      <c r="I914" s="5">
        <v>45481</v>
      </c>
      <c r="J914" s="7">
        <f t="shared" si="86"/>
        <v>-2.673171619381886E-4</v>
      </c>
      <c r="K914" s="5">
        <v>45481</v>
      </c>
      <c r="L914" s="8">
        <f t="shared" si="87"/>
        <v>9.3300064363119925E-4</v>
      </c>
      <c r="M914" s="5">
        <v>45481</v>
      </c>
      <c r="N914" s="9">
        <f t="shared" si="84"/>
        <v>6.656834816930106E-4</v>
      </c>
      <c r="O914" s="5">
        <v>45481</v>
      </c>
      <c r="P914">
        <f t="shared" si="85"/>
        <v>1.0000380888563645</v>
      </c>
      <c r="Q914" s="6">
        <f t="shared" si="88"/>
        <v>1.0001300169021972</v>
      </c>
      <c r="R914">
        <f t="shared" si="89"/>
        <v>-9.1920319729920749E-5</v>
      </c>
      <c r="T914" s="5">
        <v>45481</v>
      </c>
      <c r="U914" s="1">
        <v>-9.1920319729920749E-5</v>
      </c>
    </row>
    <row r="915" spans="3:21" x14ac:dyDescent="0.2">
      <c r="C915" s="5">
        <v>45482</v>
      </c>
      <c r="D915" s="6">
        <v>1.0000899999999999</v>
      </c>
      <c r="E915" s="6">
        <v>58029.9</v>
      </c>
      <c r="F915" s="6">
        <v>58081.73</v>
      </c>
      <c r="G915" s="6">
        <v>58016.5</v>
      </c>
      <c r="H915" s="6">
        <v>58048.52</v>
      </c>
      <c r="I915" s="5">
        <v>45482</v>
      </c>
      <c r="J915" s="7">
        <f t="shared" si="86"/>
        <v>-3.2076614528665581E-4</v>
      </c>
      <c r="K915" s="5">
        <v>45482</v>
      </c>
      <c r="L915" s="8">
        <f t="shared" si="87"/>
        <v>1.1243353184008549E-3</v>
      </c>
      <c r="M915" s="5">
        <v>45482</v>
      </c>
      <c r="N915" s="9">
        <f t="shared" si="84"/>
        <v>8.0356917311419905E-4</v>
      </c>
      <c r="O915" s="5">
        <v>45482</v>
      </c>
      <c r="P915">
        <f t="shared" si="85"/>
        <v>1.0005519119560815</v>
      </c>
      <c r="Q915" s="6">
        <f t="shared" si="88"/>
        <v>0.99991000809927111</v>
      </c>
      <c r="R915">
        <f t="shared" si="89"/>
        <v>6.4175565893626952E-4</v>
      </c>
      <c r="T915" s="5">
        <v>45482</v>
      </c>
      <c r="U915" s="1">
        <v>6.4175565893626952E-4</v>
      </c>
    </row>
    <row r="916" spans="3:21" x14ac:dyDescent="0.2">
      <c r="C916" s="5">
        <v>45483</v>
      </c>
      <c r="D916" s="6">
        <v>1.0000199999999999</v>
      </c>
      <c r="E916" s="6">
        <v>57713.8</v>
      </c>
      <c r="F916" s="6">
        <v>57826.55</v>
      </c>
      <c r="G916" s="6">
        <v>57718.5</v>
      </c>
      <c r="H916" s="6">
        <v>57733.33</v>
      </c>
      <c r="I916" s="5">
        <v>45483</v>
      </c>
      <c r="J916" s="7">
        <f t="shared" si="86"/>
        <v>-3.3827946525860945E-4</v>
      </c>
      <c r="K916" s="5">
        <v>45483</v>
      </c>
      <c r="L916" s="8">
        <f t="shared" si="87"/>
        <v>1.8720167710526592E-3</v>
      </c>
      <c r="M916" s="5">
        <v>45483</v>
      </c>
      <c r="N916" s="9">
        <f t="shared" si="84"/>
        <v>1.5337373057940497E-3</v>
      </c>
      <c r="O916" s="5">
        <v>45483</v>
      </c>
      <c r="P916">
        <f t="shared" si="85"/>
        <v>1.0002569366840788</v>
      </c>
      <c r="Q916" s="6">
        <f t="shared" si="88"/>
        <v>0.99998000039999213</v>
      </c>
      <c r="R916">
        <f t="shared" si="89"/>
        <v>2.7690348150444862E-4</v>
      </c>
      <c r="T916" s="5">
        <v>45483</v>
      </c>
      <c r="U916" s="1">
        <v>2.7690348150444862E-4</v>
      </c>
    </row>
    <row r="917" spans="3:21" x14ac:dyDescent="0.2">
      <c r="C917" s="5">
        <v>45484</v>
      </c>
      <c r="D917" s="6">
        <v>1.0000800000000001</v>
      </c>
      <c r="E917" s="6">
        <v>57312.1</v>
      </c>
      <c r="F917" s="6">
        <v>57386.080000000002</v>
      </c>
      <c r="G917" s="6">
        <v>57315.5</v>
      </c>
      <c r="H917" s="6">
        <v>57343.88</v>
      </c>
      <c r="I917" s="5">
        <v>45484</v>
      </c>
      <c r="J917" s="7">
        <f t="shared" si="86"/>
        <v>-5.5420037848849502E-4</v>
      </c>
      <c r="K917" s="5">
        <v>45484</v>
      </c>
      <c r="L917" s="8">
        <f t="shared" si="87"/>
        <v>1.2314295434917562E-3</v>
      </c>
      <c r="M917" s="5">
        <v>45484</v>
      </c>
      <c r="N917" s="9">
        <f t="shared" si="84"/>
        <v>6.7722916500326117E-4</v>
      </c>
      <c r="O917" s="5">
        <v>45484</v>
      </c>
      <c r="P917">
        <f t="shared" si="85"/>
        <v>1.0004951540159293</v>
      </c>
      <c r="Q917" s="6">
        <f t="shared" si="88"/>
        <v>0.99992000639948797</v>
      </c>
      <c r="R917">
        <f t="shared" si="89"/>
        <v>5.7502826780202567E-4</v>
      </c>
      <c r="T917" s="5">
        <v>45484</v>
      </c>
      <c r="U917" s="1">
        <v>5.7502826780202567E-4</v>
      </c>
    </row>
    <row r="918" spans="3:21" x14ac:dyDescent="0.2">
      <c r="C918" s="5">
        <v>45485</v>
      </c>
      <c r="D918" s="6">
        <v>1.0003599999999999</v>
      </c>
      <c r="E918" s="6">
        <v>57860.9</v>
      </c>
      <c r="F918" s="6">
        <v>57952.7</v>
      </c>
      <c r="G918" s="6">
        <v>57882.5</v>
      </c>
      <c r="H918" s="6">
        <v>57891.49</v>
      </c>
      <c r="I918" s="5">
        <v>45485</v>
      </c>
      <c r="J918" s="7">
        <f t="shared" si="86"/>
        <v>-5.2840236103780553E-4</v>
      </c>
      <c r="K918" s="5">
        <v>45485</v>
      </c>
      <c r="L918" s="8">
        <f t="shared" si="87"/>
        <v>1.2128017967433524E-3</v>
      </c>
      <c r="M918" s="5">
        <v>45485</v>
      </c>
      <c r="N918" s="9">
        <f t="shared" si="84"/>
        <v>6.8439943570554687E-4</v>
      </c>
      <c r="O918" s="5">
        <v>45485</v>
      </c>
      <c r="P918">
        <f t="shared" si="85"/>
        <v>1.0001553146460502</v>
      </c>
      <c r="Q918" s="6">
        <f t="shared" si="88"/>
        <v>0.9996401295533609</v>
      </c>
      <c r="R918">
        <f t="shared" si="89"/>
        <v>5.152378015269095E-4</v>
      </c>
      <c r="T918" s="5">
        <v>45485</v>
      </c>
      <c r="U918" s="1">
        <v>5.152378015269095E-4</v>
      </c>
    </row>
    <row r="919" spans="3:21" x14ac:dyDescent="0.2">
      <c r="C919" s="5">
        <v>45486</v>
      </c>
      <c r="D919" s="6">
        <v>1.00057</v>
      </c>
      <c r="E919" s="6">
        <v>59181.8</v>
      </c>
      <c r="F919" s="6">
        <v>58944.47</v>
      </c>
      <c r="G919" s="6">
        <v>59232</v>
      </c>
      <c r="H919" s="6">
        <v>59204.58</v>
      </c>
      <c r="I919" s="5">
        <v>45486</v>
      </c>
      <c r="J919" s="7">
        <f t="shared" si="86"/>
        <v>-3.8476752980932954E-4</v>
      </c>
      <c r="K919" s="5">
        <v>45486</v>
      </c>
      <c r="L919" s="8">
        <f t="shared" si="87"/>
        <v>-4.8543017287952265E-3</v>
      </c>
      <c r="M919" s="5">
        <v>45486</v>
      </c>
      <c r="N919" s="9">
        <f t="shared" si="84"/>
        <v>-5.239069258604556E-3</v>
      </c>
      <c r="O919" s="5">
        <v>45486</v>
      </c>
      <c r="P919">
        <f t="shared" si="85"/>
        <v>0.99953707455429497</v>
      </c>
      <c r="Q919" s="6">
        <f t="shared" si="88"/>
        <v>0.99943032471491255</v>
      </c>
      <c r="R919">
        <f t="shared" si="89"/>
        <v>1.068049829357153E-4</v>
      </c>
      <c r="T919" s="5">
        <v>45486</v>
      </c>
      <c r="U919" s="1">
        <v>1.068049829357153E-4</v>
      </c>
    </row>
    <row r="920" spans="3:21" x14ac:dyDescent="0.2">
      <c r="C920" s="5">
        <v>45487</v>
      </c>
      <c r="D920" s="6">
        <v>1.0003</v>
      </c>
      <c r="E920" s="6">
        <v>60755.8</v>
      </c>
      <c r="F920" s="6">
        <v>60750.080000000002</v>
      </c>
      <c r="G920" s="6">
        <v>60769.5</v>
      </c>
      <c r="H920" s="6">
        <v>60791.33</v>
      </c>
      <c r="I920" s="5">
        <v>45487</v>
      </c>
      <c r="J920" s="7">
        <f t="shared" si="86"/>
        <v>-5.8445834299066717E-4</v>
      </c>
      <c r="K920" s="5">
        <v>45487</v>
      </c>
      <c r="L920" s="8">
        <f t="shared" si="87"/>
        <v>-3.195682044446351E-4</v>
      </c>
      <c r="M920" s="5">
        <v>45487</v>
      </c>
      <c r="N920" s="9">
        <f t="shared" si="84"/>
        <v>-9.0402654743530222E-4</v>
      </c>
      <c r="O920" s="5">
        <v>45487</v>
      </c>
      <c r="P920">
        <f t="shared" si="85"/>
        <v>1.0003592262565926</v>
      </c>
      <c r="Q920" s="6">
        <f t="shared" si="88"/>
        <v>0.99970008997300808</v>
      </c>
      <c r="R920">
        <f t="shared" si="89"/>
        <v>6.5911675928666572E-4</v>
      </c>
      <c r="T920" s="5">
        <v>45487</v>
      </c>
      <c r="U920" s="1">
        <v>6.5911675928666572E-4</v>
      </c>
    </row>
    <row r="921" spans="3:21" x14ac:dyDescent="0.2">
      <c r="C921" s="5">
        <v>45488</v>
      </c>
      <c r="D921" s="6">
        <v>1.00058</v>
      </c>
      <c r="E921" s="6">
        <v>64696.1</v>
      </c>
      <c r="F921" s="6">
        <v>64776.75</v>
      </c>
      <c r="G921" s="6">
        <v>64754.5</v>
      </c>
      <c r="H921" s="6">
        <v>64721.37</v>
      </c>
      <c r="I921" s="5">
        <v>45488</v>
      </c>
      <c r="J921" s="7">
        <f t="shared" si="86"/>
        <v>-3.9044290935133285E-4</v>
      </c>
      <c r="K921" s="5">
        <v>45488</v>
      </c>
      <c r="L921" s="8">
        <f t="shared" si="87"/>
        <v>3.436054637129466E-4</v>
      </c>
      <c r="M921" s="5">
        <v>45488</v>
      </c>
      <c r="N921" s="9">
        <f t="shared" si="84"/>
        <v>-4.6837445638386258E-5</v>
      </c>
      <c r="O921" s="5">
        <v>45488</v>
      </c>
      <c r="P921">
        <f t="shared" si="85"/>
        <v>0.99948837532526691</v>
      </c>
      <c r="Q921" s="6">
        <f t="shared" si="88"/>
        <v>0.99942033620500104</v>
      </c>
      <c r="R921">
        <f t="shared" si="89"/>
        <v>6.8076265714095627E-5</v>
      </c>
      <c r="T921" s="5">
        <v>45488</v>
      </c>
      <c r="U921" s="1">
        <v>6.8076265714095627E-5</v>
      </c>
    </row>
    <row r="922" spans="3:21" x14ac:dyDescent="0.2">
      <c r="C922" s="5">
        <v>45489</v>
      </c>
      <c r="D922" s="6">
        <v>1.0003599999999999</v>
      </c>
      <c r="E922" s="6">
        <v>65027</v>
      </c>
      <c r="F922" s="6">
        <v>65126.61</v>
      </c>
      <c r="G922" s="6">
        <v>65052.5</v>
      </c>
      <c r="H922" s="6">
        <v>65047</v>
      </c>
      <c r="I922" s="5">
        <v>45489</v>
      </c>
      <c r="J922" s="7">
        <f t="shared" si="86"/>
        <v>-3.0746998324288592E-4</v>
      </c>
      <c r="K922" s="5">
        <v>45489</v>
      </c>
      <c r="L922" s="8">
        <f t="shared" si="87"/>
        <v>1.1392336958610443E-3</v>
      </c>
      <c r="M922" s="5">
        <v>45489</v>
      </c>
      <c r="N922" s="9">
        <f t="shared" si="84"/>
        <v>8.317637126181584E-4</v>
      </c>
      <c r="O922" s="5">
        <v>45489</v>
      </c>
      <c r="P922">
        <f t="shared" si="85"/>
        <v>0.99991545290342432</v>
      </c>
      <c r="Q922" s="6">
        <f t="shared" si="88"/>
        <v>0.9996401295533609</v>
      </c>
      <c r="R922">
        <f t="shared" si="89"/>
        <v>2.7538454466472179E-4</v>
      </c>
      <c r="T922" s="5">
        <v>45489</v>
      </c>
      <c r="U922" s="1">
        <v>2.7538454466472179E-4</v>
      </c>
    </row>
    <row r="923" spans="3:21" x14ac:dyDescent="0.2">
      <c r="C923" s="5">
        <v>45490</v>
      </c>
      <c r="D923" s="6">
        <v>1.0001</v>
      </c>
      <c r="E923" s="6">
        <v>64048.6</v>
      </c>
      <c r="F923" s="6">
        <v>64156.91</v>
      </c>
      <c r="G923" s="6">
        <v>64076</v>
      </c>
      <c r="H923" s="6">
        <v>64085.63</v>
      </c>
      <c r="I923" s="5">
        <v>45490</v>
      </c>
      <c r="J923" s="7">
        <f t="shared" si="86"/>
        <v>-5.7782064403515793E-4</v>
      </c>
      <c r="K923" s="5">
        <v>45490</v>
      </c>
      <c r="L923" s="8">
        <f t="shared" si="87"/>
        <v>1.2627192708659014E-3</v>
      </c>
      <c r="M923" s="5">
        <v>45490</v>
      </c>
      <c r="N923" s="9">
        <f t="shared" si="84"/>
        <v>6.8489862683074343E-4</v>
      </c>
      <c r="O923" s="5">
        <v>45490</v>
      </c>
      <c r="P923">
        <f t="shared" si="85"/>
        <v>1.0001502902802919</v>
      </c>
      <c r="Q923" s="6">
        <f t="shared" si="88"/>
        <v>0.99990000999900008</v>
      </c>
      <c r="R923">
        <f t="shared" si="89"/>
        <v>2.502739881724297E-4</v>
      </c>
      <c r="T923" s="5">
        <v>45490</v>
      </c>
      <c r="U923" s="1">
        <v>2.502739881724297E-4</v>
      </c>
    </row>
    <row r="924" spans="3:21" x14ac:dyDescent="0.2">
      <c r="C924" s="5">
        <v>45491</v>
      </c>
      <c r="D924" s="6">
        <v>0.99978999999999996</v>
      </c>
      <c r="E924" s="6">
        <v>63966.8</v>
      </c>
      <c r="F924" s="6">
        <v>64027.6</v>
      </c>
      <c r="G924" s="6">
        <v>63967</v>
      </c>
      <c r="H924" s="6">
        <v>63994.11</v>
      </c>
      <c r="I924" s="5">
        <v>45491</v>
      </c>
      <c r="J924" s="7">
        <f t="shared" si="86"/>
        <v>-4.2675802507445874E-4</v>
      </c>
      <c r="K924" s="5">
        <v>45491</v>
      </c>
      <c r="L924" s="8">
        <f t="shared" si="87"/>
        <v>9.473634842965677E-4</v>
      </c>
      <c r="M924" s="5">
        <v>45491</v>
      </c>
      <c r="N924" s="9">
        <f t="shared" si="84"/>
        <v>5.2060545922210895E-4</v>
      </c>
      <c r="O924" s="5">
        <v>45491</v>
      </c>
      <c r="P924">
        <f t="shared" si="85"/>
        <v>1.0004238122782061</v>
      </c>
      <c r="Q924" s="6">
        <f t="shared" si="88"/>
        <v>1.000210044109263</v>
      </c>
      <c r="R924">
        <f t="shared" si="89"/>
        <v>2.1370044206149005E-4</v>
      </c>
      <c r="T924" s="5">
        <v>45491</v>
      </c>
      <c r="U924" s="1">
        <v>2.1370044206149005E-4</v>
      </c>
    </row>
    <row r="925" spans="3:21" x14ac:dyDescent="0.2">
      <c r="C925" s="5">
        <v>45492</v>
      </c>
      <c r="D925" s="6">
        <v>1.0006200000000001</v>
      </c>
      <c r="E925" s="6">
        <v>66631.899999999994</v>
      </c>
      <c r="F925" s="6">
        <v>66652.179999999993</v>
      </c>
      <c r="G925" s="6">
        <v>66670.5</v>
      </c>
      <c r="H925" s="6">
        <v>66660.740000000005</v>
      </c>
      <c r="I925" s="5">
        <v>45492</v>
      </c>
      <c r="J925" s="7">
        <f t="shared" si="86"/>
        <v>-4.326384615593985E-4</v>
      </c>
      <c r="K925" s="5">
        <v>45492</v>
      </c>
      <c r="L925" s="8">
        <f t="shared" si="87"/>
        <v>-2.7478419990861004E-4</v>
      </c>
      <c r="M925" s="5">
        <v>45492</v>
      </c>
      <c r="N925" s="9">
        <f t="shared" si="84"/>
        <v>-7.0742266146800849E-4</v>
      </c>
      <c r="O925" s="5">
        <v>45492</v>
      </c>
      <c r="P925">
        <f t="shared" si="85"/>
        <v>0.99985360841751603</v>
      </c>
      <c r="Q925" s="6">
        <f t="shared" si="88"/>
        <v>0.99938038416181962</v>
      </c>
      <c r="R925">
        <f t="shared" si="89"/>
        <v>4.73405580628333E-4</v>
      </c>
      <c r="T925" s="5">
        <v>45492</v>
      </c>
      <c r="U925" s="1">
        <v>4.73405580628333E-4</v>
      </c>
    </row>
    <row r="926" spans="3:21" x14ac:dyDescent="0.2">
      <c r="C926" s="5">
        <v>45493</v>
      </c>
      <c r="D926" s="6">
        <v>1.0003200000000001</v>
      </c>
      <c r="E926" s="6">
        <v>67103.199999999997</v>
      </c>
      <c r="F926" s="6">
        <v>67087.33</v>
      </c>
      <c r="G926" s="6">
        <v>67136.5</v>
      </c>
      <c r="H926" s="6">
        <v>67132.56</v>
      </c>
      <c r="I926" s="5">
        <v>45493</v>
      </c>
      <c r="J926" s="7">
        <f t="shared" si="86"/>
        <v>-4.3734366751395424E-4</v>
      </c>
      <c r="K926" s="5">
        <v>45493</v>
      </c>
      <c r="L926" s="8">
        <f t="shared" si="87"/>
        <v>-7.3238849210188577E-4</v>
      </c>
      <c r="M926" s="5">
        <v>45493</v>
      </c>
      <c r="N926" s="9">
        <f t="shared" si="84"/>
        <v>-1.16973215961584E-3</v>
      </c>
      <c r="O926" s="5">
        <v>45493</v>
      </c>
      <c r="P926">
        <f t="shared" si="85"/>
        <v>0.99994131359245708</v>
      </c>
      <c r="Q926" s="6">
        <f t="shared" si="88"/>
        <v>0.99968010236724236</v>
      </c>
      <c r="R926">
        <f t="shared" si="89"/>
        <v>2.6126068126254597E-4</v>
      </c>
      <c r="T926" s="5">
        <v>45493</v>
      </c>
      <c r="U926" s="1">
        <v>2.6126068126254597E-4</v>
      </c>
    </row>
    <row r="927" spans="3:21" x14ac:dyDescent="0.2">
      <c r="C927" s="5">
        <v>45494</v>
      </c>
      <c r="D927" s="6">
        <v>1.0001899999999999</v>
      </c>
      <c r="E927" s="6">
        <v>68150</v>
      </c>
      <c r="F927" s="6">
        <v>67654.09</v>
      </c>
      <c r="G927" s="6">
        <v>68194.5</v>
      </c>
      <c r="H927" s="6">
        <v>68170.009999999995</v>
      </c>
      <c r="I927" s="5">
        <v>45494</v>
      </c>
      <c r="J927" s="7">
        <f t="shared" si="86"/>
        <v>-2.9353083562690932E-4</v>
      </c>
      <c r="K927" s="5">
        <v>45494</v>
      </c>
      <c r="L927" s="8">
        <f t="shared" si="87"/>
        <v>-7.9245393690107486E-3</v>
      </c>
      <c r="M927" s="5">
        <v>45494</v>
      </c>
      <c r="N927" s="9">
        <f t="shared" si="84"/>
        <v>-8.2180702046376584E-3</v>
      </c>
      <c r="O927" s="5">
        <v>45494</v>
      </c>
      <c r="P927">
        <f t="shared" si="85"/>
        <v>0.99964088012962915</v>
      </c>
      <c r="Q927" s="6">
        <f t="shared" si="88"/>
        <v>0.99981003609314234</v>
      </c>
      <c r="R927">
        <f t="shared" si="89"/>
        <v>-1.6920241706789882E-4</v>
      </c>
      <c r="T927" s="5">
        <v>45494</v>
      </c>
      <c r="U927" s="1">
        <v>-1.6920241706789882E-4</v>
      </c>
    </row>
    <row r="928" spans="3:21" x14ac:dyDescent="0.2">
      <c r="C928" s="5">
        <v>45495</v>
      </c>
      <c r="D928" s="6">
        <v>1.0003299999999999</v>
      </c>
      <c r="E928" s="6">
        <v>67493.600000000006</v>
      </c>
      <c r="F928" s="6">
        <v>67597.72</v>
      </c>
      <c r="G928" s="6">
        <v>67534.5</v>
      </c>
      <c r="H928" s="6">
        <v>67530.820000000007</v>
      </c>
      <c r="I928" s="5">
        <v>45495</v>
      </c>
      <c r="J928" s="7">
        <f t="shared" si="86"/>
        <v>-5.511557537728871E-4</v>
      </c>
      <c r="K928" s="5">
        <v>45495</v>
      </c>
      <c r="L928" s="8">
        <f t="shared" si="87"/>
        <v>9.3611413425732275E-4</v>
      </c>
      <c r="M928" s="5">
        <v>45495</v>
      </c>
      <c r="N928" s="9">
        <f t="shared" si="84"/>
        <v>3.8495838048443565E-4</v>
      </c>
      <c r="O928" s="5">
        <v>45495</v>
      </c>
      <c r="P928">
        <f t="shared" si="85"/>
        <v>0.99994550933226733</v>
      </c>
      <c r="Q928" s="6">
        <f t="shared" si="88"/>
        <v>0.99967010886407492</v>
      </c>
      <c r="R928">
        <f t="shared" si="89"/>
        <v>2.75453409572898E-4</v>
      </c>
      <c r="T928" s="5">
        <v>45495</v>
      </c>
      <c r="U928" s="1">
        <v>2.75453409572898E-4</v>
      </c>
    </row>
    <row r="929" spans="3:21" x14ac:dyDescent="0.2">
      <c r="C929" s="5">
        <v>45496</v>
      </c>
      <c r="D929" s="6">
        <v>1.0001100000000001</v>
      </c>
      <c r="E929" s="6">
        <v>65922.100000000006</v>
      </c>
      <c r="F929" s="6">
        <v>65894.850000000006</v>
      </c>
      <c r="G929" s="6">
        <v>65954</v>
      </c>
      <c r="H929" s="6">
        <v>65939.31</v>
      </c>
      <c r="I929" s="5">
        <v>45496</v>
      </c>
      <c r="J929" s="7">
        <f t="shared" si="86"/>
        <v>-2.609975748910908E-4</v>
      </c>
      <c r="K929" s="5">
        <v>45496</v>
      </c>
      <c r="L929" s="8">
        <f t="shared" si="87"/>
        <v>-8.9683718955626917E-4</v>
      </c>
      <c r="M929" s="5">
        <v>45496</v>
      </c>
      <c r="N929" s="9">
        <f t="shared" si="84"/>
        <v>-1.15783476444736E-3</v>
      </c>
      <c r="O929" s="5">
        <v>45496</v>
      </c>
      <c r="P929">
        <f t="shared" si="85"/>
        <v>0.99977726900567054</v>
      </c>
      <c r="Q929" s="6">
        <f t="shared" si="88"/>
        <v>0.99989001209866912</v>
      </c>
      <c r="R929">
        <f t="shared" si="89"/>
        <v>-1.1276185211745753E-4</v>
      </c>
      <c r="T929" s="5">
        <v>45496</v>
      </c>
      <c r="U929" s="1">
        <v>-1.1276185211745753E-4</v>
      </c>
    </row>
    <row r="930" spans="3:21" x14ac:dyDescent="0.2">
      <c r="C930" s="5">
        <v>45497</v>
      </c>
      <c r="D930" s="6">
        <v>0.99973000000000001</v>
      </c>
      <c r="E930" s="6">
        <v>65364.6</v>
      </c>
      <c r="F930" s="6">
        <v>65397.69</v>
      </c>
      <c r="G930" s="6">
        <v>65355.5</v>
      </c>
      <c r="H930" s="6">
        <v>65377.2</v>
      </c>
      <c r="I930" s="5">
        <v>45497</v>
      </c>
      <c r="J930" s="7">
        <f t="shared" si="86"/>
        <v>-1.9272773994601398E-4</v>
      </c>
      <c r="K930" s="5">
        <v>45497</v>
      </c>
      <c r="L930" s="8">
        <f t="shared" si="87"/>
        <v>6.4554628149126431E-4</v>
      </c>
      <c r="M930" s="5">
        <v>45497</v>
      </c>
      <c r="N930" s="9">
        <f t="shared" si="84"/>
        <v>4.5281854154525033E-4</v>
      </c>
      <c r="O930" s="5">
        <v>45497</v>
      </c>
      <c r="P930">
        <f t="shared" si="85"/>
        <v>1.0003320302040377</v>
      </c>
      <c r="Q930" s="6">
        <f t="shared" si="88"/>
        <v>1.0002700729196883</v>
      </c>
      <c r="R930">
        <f t="shared" si="89"/>
        <v>6.1938637645579461E-5</v>
      </c>
      <c r="T930" s="5">
        <v>45497</v>
      </c>
      <c r="U930" s="1">
        <v>6.1938637645579461E-5</v>
      </c>
    </row>
    <row r="931" spans="3:21" x14ac:dyDescent="0.2">
      <c r="C931" s="5">
        <v>45498</v>
      </c>
      <c r="D931" s="6">
        <v>0.99975999999999998</v>
      </c>
      <c r="E931" s="6">
        <v>65767.600000000006</v>
      </c>
      <c r="F931" s="6">
        <v>65845.7</v>
      </c>
      <c r="G931" s="6">
        <v>65807</v>
      </c>
      <c r="H931" s="6">
        <v>65805.11</v>
      </c>
      <c r="I931" s="5">
        <v>45498</v>
      </c>
      <c r="J931" s="7">
        <f t="shared" si="86"/>
        <v>-5.7001652303285814E-4</v>
      </c>
      <c r="K931" s="5">
        <v>45498</v>
      </c>
      <c r="L931" s="8">
        <f t="shared" si="87"/>
        <v>5.880833345996184E-4</v>
      </c>
      <c r="M931" s="5">
        <v>45498</v>
      </c>
      <c r="N931" s="9">
        <f t="shared" si="84"/>
        <v>1.806681156676026E-5</v>
      </c>
      <c r="O931" s="5">
        <v>45498</v>
      </c>
      <c r="P931">
        <f t="shared" si="85"/>
        <v>0.999971279651101</v>
      </c>
      <c r="Q931" s="6">
        <f t="shared" si="88"/>
        <v>1.0002400576138273</v>
      </c>
      <c r="R931">
        <f t="shared" si="89"/>
        <v>-2.6874956594488426E-4</v>
      </c>
      <c r="T931" s="5">
        <v>45498</v>
      </c>
      <c r="U931" s="1">
        <v>-2.6874956594488426E-4</v>
      </c>
    </row>
    <row r="932" spans="3:21" x14ac:dyDescent="0.2">
      <c r="C932" s="5">
        <v>45499</v>
      </c>
      <c r="D932" s="6">
        <v>1.0001</v>
      </c>
      <c r="E932" s="6">
        <v>67881.2</v>
      </c>
      <c r="F932" s="6">
        <v>67899.89</v>
      </c>
      <c r="G932" s="6">
        <v>67910.5</v>
      </c>
      <c r="H932" s="6">
        <v>67909.78</v>
      </c>
      <c r="I932" s="5">
        <v>45499</v>
      </c>
      <c r="J932" s="7">
        <f t="shared" si="86"/>
        <v>-4.2085248987703606E-4</v>
      </c>
      <c r="K932" s="5">
        <v>45499</v>
      </c>
      <c r="L932" s="8">
        <f t="shared" si="87"/>
        <v>-1.5623504465436984E-4</v>
      </c>
      <c r="M932" s="5">
        <v>45499</v>
      </c>
      <c r="N932" s="9">
        <f t="shared" si="84"/>
        <v>-5.770875345314059E-4</v>
      </c>
      <c r="O932" s="5">
        <v>45499</v>
      </c>
      <c r="P932">
        <f t="shared" si="85"/>
        <v>0.99998939781035334</v>
      </c>
      <c r="Q932" s="6">
        <f t="shared" si="88"/>
        <v>0.99990000999900008</v>
      </c>
      <c r="R932">
        <f t="shared" si="89"/>
        <v>8.9392754482970472E-5</v>
      </c>
      <c r="T932" s="5">
        <v>45499</v>
      </c>
      <c r="U932" s="1">
        <v>8.9392754482970472E-5</v>
      </c>
    </row>
    <row r="933" spans="3:21" x14ac:dyDescent="0.2">
      <c r="C933" s="5">
        <v>45500</v>
      </c>
      <c r="D933" s="6">
        <v>1.0000899999999999</v>
      </c>
      <c r="E933" s="6">
        <v>67902</v>
      </c>
      <c r="F933" s="6">
        <v>67833.97</v>
      </c>
      <c r="G933" s="6">
        <v>67894</v>
      </c>
      <c r="H933" s="6">
        <v>67899.399999999994</v>
      </c>
      <c r="I933" s="5">
        <v>45500</v>
      </c>
      <c r="J933" s="7">
        <f t="shared" si="86"/>
        <v>3.8291943669691058E-5</v>
      </c>
      <c r="K933" s="5">
        <v>45500</v>
      </c>
      <c r="L933" s="8">
        <f t="shared" si="87"/>
        <v>-8.8417238636696665E-4</v>
      </c>
      <c r="M933" s="5">
        <v>45500</v>
      </c>
      <c r="N933" s="9">
        <f t="shared" si="84"/>
        <v>-8.4588044269727557E-4</v>
      </c>
      <c r="O933" s="5">
        <v>45500</v>
      </c>
      <c r="P933">
        <f t="shared" si="85"/>
        <v>1.0000795357468995</v>
      </c>
      <c r="Q933" s="6">
        <f t="shared" si="88"/>
        <v>0.99991000809927111</v>
      </c>
      <c r="R933">
        <f t="shared" si="89"/>
        <v>1.6952853434267417E-4</v>
      </c>
      <c r="T933" s="5">
        <v>45500</v>
      </c>
      <c r="U933" s="1">
        <v>1.6952853434267417E-4</v>
      </c>
    </row>
    <row r="934" spans="3:21" x14ac:dyDescent="0.2">
      <c r="C934" s="5">
        <v>45501</v>
      </c>
      <c r="D934" s="6">
        <v>1.0000800000000001</v>
      </c>
      <c r="E934" s="6">
        <v>68240.899999999994</v>
      </c>
      <c r="F934" s="6">
        <v>68254.47</v>
      </c>
      <c r="G934" s="6">
        <v>68271.5</v>
      </c>
      <c r="H934" s="6">
        <v>68242.63</v>
      </c>
      <c r="I934" s="5">
        <v>45501</v>
      </c>
      <c r="J934" s="7">
        <f t="shared" si="86"/>
        <v>-2.5350722854768013E-5</v>
      </c>
      <c r="K934" s="5">
        <v>45501</v>
      </c>
      <c r="L934" s="8">
        <f t="shared" si="87"/>
        <v>-2.4944522970784053E-4</v>
      </c>
      <c r="M934" s="5">
        <v>45501</v>
      </c>
      <c r="N934" s="9">
        <f t="shared" si="84"/>
        <v>-2.7479595256260853E-4</v>
      </c>
      <c r="O934" s="5">
        <v>45501</v>
      </c>
      <c r="P934">
        <f t="shared" si="85"/>
        <v>0.99957712954893341</v>
      </c>
      <c r="Q934" s="6">
        <f t="shared" si="88"/>
        <v>0.99992000639948797</v>
      </c>
      <c r="R934">
        <f t="shared" si="89"/>
        <v>-3.4296308581886872E-4</v>
      </c>
      <c r="T934" s="5">
        <v>45501</v>
      </c>
      <c r="U934" s="1">
        <v>-3.4296308581886872E-4</v>
      </c>
    </row>
    <row r="935" spans="3:21" x14ac:dyDescent="0.2">
      <c r="C935" s="5">
        <v>45502</v>
      </c>
      <c r="D935" s="6">
        <v>0.99980999999999998</v>
      </c>
      <c r="E935" s="6">
        <v>66757.7</v>
      </c>
      <c r="F935" s="6">
        <v>66810.13</v>
      </c>
      <c r="G935" s="6">
        <v>66768</v>
      </c>
      <c r="H935" s="6">
        <v>66781.350000000006</v>
      </c>
      <c r="I935" s="5">
        <v>45502</v>
      </c>
      <c r="J935" s="7">
        <f t="shared" si="86"/>
        <v>-3.5414078930732503E-4</v>
      </c>
      <c r="K935" s="5">
        <v>45502</v>
      </c>
      <c r="L935" s="8">
        <f t="shared" si="87"/>
        <v>6.3099089384143089E-4</v>
      </c>
      <c r="M935" s="5">
        <v>45502</v>
      </c>
      <c r="N935" s="9">
        <f t="shared" si="84"/>
        <v>2.7685010453410585E-4</v>
      </c>
      <c r="O935" s="5">
        <v>45502</v>
      </c>
      <c r="P935">
        <f t="shared" si="85"/>
        <v>1.0001999460819555</v>
      </c>
      <c r="Q935" s="6">
        <f t="shared" si="88"/>
        <v>1.0001900361068603</v>
      </c>
      <c r="R935">
        <f t="shared" si="89"/>
        <v>9.9080431152070094E-6</v>
      </c>
      <c r="T935" s="5">
        <v>45502</v>
      </c>
      <c r="U935" s="1">
        <v>9.9080431152070094E-6</v>
      </c>
    </row>
    <row r="936" spans="3:21" x14ac:dyDescent="0.2">
      <c r="C936" s="5">
        <v>45503</v>
      </c>
      <c r="D936" s="6">
        <v>0.99983</v>
      </c>
      <c r="E936" s="6">
        <v>66170</v>
      </c>
      <c r="F936" s="6">
        <v>66252.72</v>
      </c>
      <c r="G936" s="6">
        <v>66195</v>
      </c>
      <c r="H936" s="6">
        <v>66191.899999999994</v>
      </c>
      <c r="I936" s="5">
        <v>45503</v>
      </c>
      <c r="J936" s="7">
        <f t="shared" si="86"/>
        <v>-3.3085619237390346E-4</v>
      </c>
      <c r="K936" s="5">
        <v>45503</v>
      </c>
      <c r="L936" s="8">
        <f t="shared" si="87"/>
        <v>8.7196918196240142E-4</v>
      </c>
      <c r="M936" s="5">
        <v>45503</v>
      </c>
      <c r="N936" s="9">
        <f t="shared" si="84"/>
        <v>5.4111298958849801E-4</v>
      </c>
      <c r="O936" s="5">
        <v>45503</v>
      </c>
      <c r="P936">
        <f t="shared" si="85"/>
        <v>0.99995316866832828</v>
      </c>
      <c r="Q936" s="6">
        <f t="shared" si="88"/>
        <v>1.0001700289049138</v>
      </c>
      <c r="R936">
        <f t="shared" si="89"/>
        <v>-2.1684687993065298E-4</v>
      </c>
      <c r="T936" s="5">
        <v>45503</v>
      </c>
      <c r="U936" s="1">
        <v>-2.1684687993065298E-4</v>
      </c>
    </row>
    <row r="937" spans="3:21" x14ac:dyDescent="0.2">
      <c r="C937" s="5">
        <v>45504</v>
      </c>
      <c r="D937" s="6">
        <v>0.99970000000000003</v>
      </c>
      <c r="E937" s="6">
        <v>64615.9</v>
      </c>
      <c r="F937" s="6">
        <v>64671.33</v>
      </c>
      <c r="G937" s="6">
        <v>64610</v>
      </c>
      <c r="H937" s="6">
        <v>64631.66</v>
      </c>
      <c r="I937" s="5">
        <v>45504</v>
      </c>
      <c r="J937" s="7">
        <f t="shared" si="86"/>
        <v>-2.4384334241147506E-4</v>
      </c>
      <c r="K937" s="5">
        <v>45504</v>
      </c>
      <c r="L937" s="8">
        <f t="shared" si="87"/>
        <v>9.4923386472684954E-4</v>
      </c>
      <c r="M937" s="5">
        <v>45504</v>
      </c>
      <c r="N937" s="9">
        <f t="shared" si="84"/>
        <v>7.0539052231537451E-4</v>
      </c>
      <c r="O937" s="5">
        <v>45504</v>
      </c>
      <c r="P937">
        <f t="shared" si="85"/>
        <v>1.0003352422225662</v>
      </c>
      <c r="Q937" s="6">
        <f t="shared" si="88"/>
        <v>1.000300090027008</v>
      </c>
      <c r="R937">
        <f t="shared" si="89"/>
        <v>3.514103244628157E-5</v>
      </c>
      <c r="T937" s="5">
        <v>45504</v>
      </c>
      <c r="U937" s="1">
        <v>3.514103244628157E-5</v>
      </c>
    </row>
    <row r="938" spans="3:21" x14ac:dyDescent="0.2">
      <c r="C938" s="5">
        <v>45505</v>
      </c>
      <c r="D938" s="6">
        <v>0.99919999999999998</v>
      </c>
      <c r="E938" s="6">
        <v>65341.1</v>
      </c>
      <c r="F938" s="6">
        <v>65312.69</v>
      </c>
      <c r="G938" s="6">
        <v>65305.5</v>
      </c>
      <c r="H938" s="6">
        <v>65359.519999999997</v>
      </c>
      <c r="I938" s="5">
        <v>45505</v>
      </c>
      <c r="J938" s="7">
        <f t="shared" si="86"/>
        <v>-2.8182581512223857E-4</v>
      </c>
      <c r="K938" s="5">
        <v>45505</v>
      </c>
      <c r="L938" s="8">
        <f t="shared" si="87"/>
        <v>1.1009792437087731E-4</v>
      </c>
      <c r="M938" s="5">
        <v>45505</v>
      </c>
      <c r="N938" s="9">
        <f t="shared" si="84"/>
        <v>-1.7172789075136125E-4</v>
      </c>
      <c r="O938" s="5">
        <v>45505</v>
      </c>
      <c r="P938">
        <f t="shared" si="85"/>
        <v>1.0008271891341463</v>
      </c>
      <c r="Q938" s="6">
        <f t="shared" si="88"/>
        <v>1.0008006405124099</v>
      </c>
      <c r="R938">
        <f t="shared" si="89"/>
        <v>2.6527030994238851E-5</v>
      </c>
      <c r="T938" s="5">
        <v>45505</v>
      </c>
      <c r="U938" s="1">
        <v>2.6527030994238851E-5</v>
      </c>
    </row>
    <row r="939" spans="3:21" x14ac:dyDescent="0.2">
      <c r="C939" s="5">
        <v>45506</v>
      </c>
      <c r="D939" s="6">
        <v>0.99861</v>
      </c>
      <c r="E939" s="6">
        <v>61459</v>
      </c>
      <c r="F939" s="6">
        <v>61786.38</v>
      </c>
      <c r="G939" s="6">
        <v>61379.5</v>
      </c>
      <c r="H939" s="6">
        <v>61492.7</v>
      </c>
      <c r="I939" s="5">
        <v>45506</v>
      </c>
      <c r="J939" s="7">
        <f t="shared" si="86"/>
        <v>-5.4803253069058756E-4</v>
      </c>
      <c r="K939" s="5">
        <v>45506</v>
      </c>
      <c r="L939" s="8">
        <f t="shared" si="87"/>
        <v>6.6289233375963858E-3</v>
      </c>
      <c r="M939" s="5">
        <v>45506</v>
      </c>
      <c r="N939" s="9">
        <f t="shared" si="84"/>
        <v>6.0808908069057985E-3</v>
      </c>
      <c r="O939" s="5">
        <v>45506</v>
      </c>
      <c r="P939">
        <f t="shared" si="85"/>
        <v>1.001844263964353</v>
      </c>
      <c r="Q939" s="6">
        <f t="shared" si="88"/>
        <v>1.0013919347893572</v>
      </c>
      <c r="R939">
        <f t="shared" si="89"/>
        <v>4.5159845151011537E-4</v>
      </c>
      <c r="T939" s="5">
        <v>45506</v>
      </c>
      <c r="U939" s="1">
        <v>4.5159845151011537E-4</v>
      </c>
    </row>
    <row r="940" spans="3:21" x14ac:dyDescent="0.2">
      <c r="C940" s="5">
        <v>45507</v>
      </c>
      <c r="D940" s="6">
        <v>0.99941000000000002</v>
      </c>
      <c r="E940" s="6">
        <v>60682</v>
      </c>
      <c r="F940" s="6">
        <v>60992.21</v>
      </c>
      <c r="G940" s="6">
        <v>60674</v>
      </c>
      <c r="H940" s="6">
        <v>60706.71</v>
      </c>
      <c r="I940" s="5">
        <v>45507</v>
      </c>
      <c r="J940" s="7">
        <f t="shared" si="86"/>
        <v>-4.0703902418693299E-4</v>
      </c>
      <c r="K940" s="5">
        <v>45507</v>
      </c>
      <c r="L940" s="8">
        <f t="shared" si="87"/>
        <v>5.2445858192965537E-3</v>
      </c>
      <c r="M940" s="5">
        <v>45507</v>
      </c>
      <c r="N940" s="9">
        <f t="shared" si="84"/>
        <v>4.8375467951096204E-3</v>
      </c>
      <c r="O940" s="5">
        <v>45507</v>
      </c>
      <c r="P940">
        <f t="shared" si="85"/>
        <v>1.0005391106569537</v>
      </c>
      <c r="Q940" s="6">
        <f t="shared" si="88"/>
        <v>1.0005903483055003</v>
      </c>
      <c r="R940">
        <f t="shared" si="89"/>
        <v>-5.1208729478582759E-5</v>
      </c>
      <c r="T940" s="5">
        <v>45507</v>
      </c>
      <c r="U940" s="1">
        <v>-5.1208729478582759E-5</v>
      </c>
    </row>
    <row r="941" spans="3:21" x14ac:dyDescent="0.2">
      <c r="C941" s="5">
        <v>45508</v>
      </c>
      <c r="D941" s="6">
        <v>0.99966999999999995</v>
      </c>
      <c r="E941" s="6">
        <v>58131.6</v>
      </c>
      <c r="F941" s="6">
        <v>58301.5</v>
      </c>
      <c r="G941" s="6">
        <v>58122</v>
      </c>
      <c r="H941" s="6">
        <v>58165.87</v>
      </c>
      <c r="I941" s="5">
        <v>45508</v>
      </c>
      <c r="J941" s="7">
        <f t="shared" si="86"/>
        <v>-5.8917712397328658E-4</v>
      </c>
      <c r="K941" s="5">
        <v>45508</v>
      </c>
      <c r="L941" s="8">
        <f t="shared" si="87"/>
        <v>3.0883314407625338E-3</v>
      </c>
      <c r="M941" s="5">
        <v>45508</v>
      </c>
      <c r="N941" s="9">
        <f t="shared" si="84"/>
        <v>2.4991543167892471E-3</v>
      </c>
      <c r="O941" s="5">
        <v>45508</v>
      </c>
      <c r="P941">
        <f t="shared" si="85"/>
        <v>1.0007547916451602</v>
      </c>
      <c r="Q941" s="6">
        <f t="shared" si="88"/>
        <v>1.0003301089359489</v>
      </c>
      <c r="R941">
        <f t="shared" si="89"/>
        <v>4.2445247122092835E-4</v>
      </c>
      <c r="T941" s="5">
        <v>45508</v>
      </c>
      <c r="U941" s="1">
        <v>4.2445247122092835E-4</v>
      </c>
    </row>
    <row r="942" spans="3:21" x14ac:dyDescent="0.2">
      <c r="C942" s="5">
        <v>45509</v>
      </c>
      <c r="D942" s="6">
        <v>1.0004200000000001</v>
      </c>
      <c r="E942" s="6">
        <v>53988.2</v>
      </c>
      <c r="F942" s="6">
        <v>54274.19</v>
      </c>
      <c r="G942" s="6">
        <v>54015</v>
      </c>
      <c r="H942" s="6">
        <v>54024.47</v>
      </c>
      <c r="I942" s="5">
        <v>45509</v>
      </c>
      <c r="J942" s="7">
        <f t="shared" si="86"/>
        <v>-6.7136244002031066E-4</v>
      </c>
      <c r="K942" s="5">
        <v>45509</v>
      </c>
      <c r="L942" s="8">
        <f t="shared" si="87"/>
        <v>4.7984819031750871E-3</v>
      </c>
      <c r="M942" s="5">
        <v>45509</v>
      </c>
      <c r="N942" s="9">
        <f t="shared" si="84"/>
        <v>4.1271194631547761E-3</v>
      </c>
      <c r="O942" s="5">
        <v>45509</v>
      </c>
      <c r="P942">
        <f t="shared" si="85"/>
        <v>1.0001753216699065</v>
      </c>
      <c r="Q942" s="6">
        <f t="shared" si="88"/>
        <v>0.99958017632594298</v>
      </c>
      <c r="R942">
        <f t="shared" si="89"/>
        <v>5.9521812754694653E-4</v>
      </c>
      <c r="T942" s="5">
        <v>45509</v>
      </c>
      <c r="U942" s="1">
        <v>5.9521812754694653E-4</v>
      </c>
    </row>
    <row r="943" spans="3:21" x14ac:dyDescent="0.2">
      <c r="C943" s="5">
        <v>45510</v>
      </c>
      <c r="D943" s="6">
        <v>1.00037</v>
      </c>
      <c r="E943" s="6">
        <v>55989.8</v>
      </c>
      <c r="F943" s="6">
        <v>56172.639999999999</v>
      </c>
      <c r="G943" s="6">
        <v>56029.5</v>
      </c>
      <c r="H943" s="6">
        <v>56019.93</v>
      </c>
      <c r="I943" s="5">
        <v>45510</v>
      </c>
      <c r="J943" s="7">
        <f t="shared" si="86"/>
        <v>-5.3784429934127691E-4</v>
      </c>
      <c r="K943" s="5">
        <v>45510</v>
      </c>
      <c r="L943" s="8">
        <f t="shared" si="87"/>
        <v>2.5547256356026633E-3</v>
      </c>
      <c r="M943" s="5">
        <v>45510</v>
      </c>
      <c r="N943" s="9">
        <f t="shared" si="84"/>
        <v>2.0168813362613862E-3</v>
      </c>
      <c r="O943" s="5">
        <v>45510</v>
      </c>
      <c r="P943">
        <f t="shared" si="85"/>
        <v>0.99982919711937468</v>
      </c>
      <c r="Q943" s="6">
        <f t="shared" si="88"/>
        <v>0.99963013684936575</v>
      </c>
      <c r="R943">
        <f t="shared" si="89"/>
        <v>1.9911409778113165E-4</v>
      </c>
      <c r="T943" s="5">
        <v>45510</v>
      </c>
      <c r="U943" s="1">
        <v>1.9911409778113165E-4</v>
      </c>
    </row>
    <row r="944" spans="3:21" x14ac:dyDescent="0.2">
      <c r="C944" s="5">
        <v>45511</v>
      </c>
      <c r="D944" s="6">
        <v>1.0000800000000001</v>
      </c>
      <c r="E944" s="6">
        <v>55109.5</v>
      </c>
      <c r="F944" s="6">
        <v>55144.05</v>
      </c>
      <c r="G944" s="6">
        <v>55129.5</v>
      </c>
      <c r="H944" s="6">
        <v>55143.12</v>
      </c>
      <c r="I944" s="5">
        <v>45511</v>
      </c>
      <c r="J944" s="7">
        <f t="shared" si="86"/>
        <v>-6.0968621289478396E-4</v>
      </c>
      <c r="K944" s="5">
        <v>45511</v>
      </c>
      <c r="L944" s="8">
        <f t="shared" si="87"/>
        <v>2.6392403341229123E-4</v>
      </c>
      <c r="M944" s="5">
        <v>45511</v>
      </c>
      <c r="N944" s="9">
        <f t="shared" si="84"/>
        <v>-3.4576217948249273E-4</v>
      </c>
      <c r="O944" s="5">
        <v>45511</v>
      </c>
      <c r="P944">
        <f t="shared" si="85"/>
        <v>1.0002470546622044</v>
      </c>
      <c r="Q944" s="6">
        <f t="shared" si="88"/>
        <v>0.99992000639948797</v>
      </c>
      <c r="R944">
        <f t="shared" si="89"/>
        <v>3.2702094939763415E-4</v>
      </c>
      <c r="T944" s="5">
        <v>45511</v>
      </c>
      <c r="U944" s="1">
        <v>3.2702094939763415E-4</v>
      </c>
    </row>
    <row r="945" spans="3:21" x14ac:dyDescent="0.2">
      <c r="C945" s="5">
        <v>45512</v>
      </c>
      <c r="D945" s="6">
        <v>1.0002</v>
      </c>
      <c r="E945" s="6">
        <v>61670.2</v>
      </c>
      <c r="F945" s="6">
        <v>61763.25</v>
      </c>
      <c r="G945" s="6">
        <v>61672</v>
      </c>
      <c r="H945" s="6">
        <v>61686.97</v>
      </c>
      <c r="I945" s="5">
        <v>45512</v>
      </c>
      <c r="J945" s="7">
        <f t="shared" si="86"/>
        <v>-2.7185643905032253E-4</v>
      </c>
      <c r="K945" s="5">
        <v>45512</v>
      </c>
      <c r="L945" s="8">
        <f t="shared" si="87"/>
        <v>1.4796017641717472E-3</v>
      </c>
      <c r="M945" s="5">
        <v>45512</v>
      </c>
      <c r="N945" s="9">
        <f t="shared" si="84"/>
        <v>1.2077453251214247E-3</v>
      </c>
      <c r="O945" s="5">
        <v>45512</v>
      </c>
      <c r="P945">
        <f t="shared" si="85"/>
        <v>1.0002427357633934</v>
      </c>
      <c r="Q945" s="6">
        <f t="shared" si="88"/>
        <v>0.99980003999200162</v>
      </c>
      <c r="R945">
        <f t="shared" si="89"/>
        <v>4.4268631050080646E-4</v>
      </c>
      <c r="T945" s="5">
        <v>45512</v>
      </c>
      <c r="U945" s="1">
        <v>4.4268631050080646E-4</v>
      </c>
    </row>
    <row r="946" spans="3:21" x14ac:dyDescent="0.2">
      <c r="C946" s="5">
        <v>45513</v>
      </c>
      <c r="D946" s="6">
        <v>1.0003200000000001</v>
      </c>
      <c r="E946" s="6">
        <v>60814.9</v>
      </c>
      <c r="F946" s="6">
        <v>60932.81</v>
      </c>
      <c r="G946" s="6">
        <v>60845</v>
      </c>
      <c r="H946" s="6">
        <v>60845.02</v>
      </c>
      <c r="I946" s="5">
        <v>45513</v>
      </c>
      <c r="J946" s="7">
        <f t="shared" si="86"/>
        <v>-4.9502818800939408E-4</v>
      </c>
      <c r="K946" s="5">
        <v>45513</v>
      </c>
      <c r="L946" s="8">
        <f t="shared" si="87"/>
        <v>1.4431752814528338E-3</v>
      </c>
      <c r="M946" s="5">
        <v>45513</v>
      </c>
      <c r="N946" s="9">
        <f t="shared" si="84"/>
        <v>9.4814709344343971E-4</v>
      </c>
      <c r="O946" s="5">
        <v>45513</v>
      </c>
      <c r="P946">
        <f t="shared" si="85"/>
        <v>1.000000328704084</v>
      </c>
      <c r="Q946" s="6">
        <f t="shared" si="88"/>
        <v>0.99968010236724236</v>
      </c>
      <c r="R946">
        <f t="shared" si="89"/>
        <v>3.202775149501814E-4</v>
      </c>
      <c r="T946" s="5">
        <v>45513</v>
      </c>
      <c r="U946" s="1">
        <v>3.202775149501814E-4</v>
      </c>
    </row>
    <row r="947" spans="3:21" x14ac:dyDescent="0.2">
      <c r="C947" s="5">
        <v>45514</v>
      </c>
      <c r="D947" s="6">
        <v>1.00017</v>
      </c>
      <c r="E947" s="6">
        <v>60893.7</v>
      </c>
      <c r="F947" s="6">
        <v>61049.279999999999</v>
      </c>
      <c r="G947" s="6">
        <v>60906</v>
      </c>
      <c r="H947" s="6">
        <v>60923.71</v>
      </c>
      <c r="I947" s="5">
        <v>45514</v>
      </c>
      <c r="J947" s="7">
        <f t="shared" si="86"/>
        <v>-4.9258326520170944E-4</v>
      </c>
      <c r="K947" s="5">
        <v>45514</v>
      </c>
      <c r="L947" s="8">
        <f t="shared" si="87"/>
        <v>2.3524775884149153E-3</v>
      </c>
      <c r="M947" s="5">
        <v>45514</v>
      </c>
      <c r="N947" s="9">
        <f t="shared" si="84"/>
        <v>1.8598943232132057E-3</v>
      </c>
      <c r="O947" s="5">
        <v>45514</v>
      </c>
      <c r="P947">
        <f t="shared" si="85"/>
        <v>1.0002907759498243</v>
      </c>
      <c r="Q947" s="6">
        <f t="shared" si="88"/>
        <v>0.99983002889508787</v>
      </c>
      <c r="R947">
        <f t="shared" si="89"/>
        <v>4.6071923432855385E-4</v>
      </c>
      <c r="T947" s="5">
        <v>45514</v>
      </c>
      <c r="U947" s="1">
        <v>4.6071923432855385E-4</v>
      </c>
    </row>
    <row r="948" spans="3:21" x14ac:dyDescent="0.2">
      <c r="C948" s="5">
        <v>45515</v>
      </c>
      <c r="D948" s="6">
        <v>1.00007</v>
      </c>
      <c r="E948" s="6">
        <v>58703.4</v>
      </c>
      <c r="F948" s="6">
        <v>58775.97</v>
      </c>
      <c r="G948" s="6">
        <v>58706</v>
      </c>
      <c r="H948" s="6">
        <v>58726.67</v>
      </c>
      <c r="I948" s="5">
        <v>45515</v>
      </c>
      <c r="J948" s="7">
        <f t="shared" si="86"/>
        <v>-3.9624245679172342E-4</v>
      </c>
      <c r="K948" s="5">
        <v>45515</v>
      </c>
      <c r="L948" s="8">
        <f t="shared" si="87"/>
        <v>1.1918713589752522E-3</v>
      </c>
      <c r="M948" s="5">
        <v>45515</v>
      </c>
      <c r="N948" s="9">
        <f t="shared" si="84"/>
        <v>7.9562890218352889E-4</v>
      </c>
      <c r="O948" s="5">
        <v>45515</v>
      </c>
      <c r="P948">
        <f t="shared" si="85"/>
        <v>1.0003520934827785</v>
      </c>
      <c r="Q948" s="6">
        <f t="shared" si="88"/>
        <v>0.999930004899657</v>
      </c>
      <c r="R948">
        <f t="shared" si="89"/>
        <v>4.2202906252828602E-4</v>
      </c>
      <c r="T948" s="5">
        <v>45515</v>
      </c>
      <c r="U948" s="1">
        <v>4.2202906252828602E-4</v>
      </c>
    </row>
    <row r="949" spans="3:21" x14ac:dyDescent="0.2">
      <c r="C949" s="5">
        <v>45516</v>
      </c>
      <c r="D949" s="6">
        <v>1.0001500000000001</v>
      </c>
      <c r="E949" s="6">
        <v>59316.1</v>
      </c>
      <c r="F949" s="6">
        <v>59410.59</v>
      </c>
      <c r="G949" s="6">
        <v>59341</v>
      </c>
      <c r="H949" s="6">
        <v>59349.13</v>
      </c>
      <c r="I949" s="5">
        <v>45516</v>
      </c>
      <c r="J949" s="7">
        <f t="shared" si="86"/>
        <v>-5.5653722303930714E-4</v>
      </c>
      <c r="K949" s="5">
        <v>45516</v>
      </c>
      <c r="L949" s="8">
        <f t="shared" si="87"/>
        <v>1.172713638125352E-3</v>
      </c>
      <c r="M949" s="5">
        <v>45516</v>
      </c>
      <c r="N949" s="9">
        <f t="shared" si="84"/>
        <v>6.1617641508604482E-4</v>
      </c>
      <c r="O949" s="5">
        <v>45516</v>
      </c>
      <c r="P949">
        <f t="shared" si="85"/>
        <v>1.0001370047690468</v>
      </c>
      <c r="Q949" s="6">
        <f t="shared" si="88"/>
        <v>0.99985002249662536</v>
      </c>
      <c r="R949">
        <f t="shared" si="89"/>
        <v>2.8698413587547775E-4</v>
      </c>
      <c r="T949" s="5">
        <v>45516</v>
      </c>
      <c r="U949" s="1">
        <v>2.8698413587547775E-4</v>
      </c>
    </row>
    <row r="950" spans="3:21" x14ac:dyDescent="0.2">
      <c r="C950" s="5">
        <v>45517</v>
      </c>
      <c r="D950" s="6">
        <v>1.0002899999999999</v>
      </c>
      <c r="E950" s="6">
        <v>60558.8</v>
      </c>
      <c r="F950" s="6">
        <v>60658.15</v>
      </c>
      <c r="G950" s="6">
        <v>60579.5</v>
      </c>
      <c r="H950" s="6">
        <v>60582.31</v>
      </c>
      <c r="I950" s="5">
        <v>45517</v>
      </c>
      <c r="J950" s="7">
        <f t="shared" si="86"/>
        <v>-3.8806707766664495E-4</v>
      </c>
      <c r="K950" s="5">
        <v>45517</v>
      </c>
      <c r="L950" s="8">
        <f t="shared" si="87"/>
        <v>1.2982939773355914E-3</v>
      </c>
      <c r="M950" s="5">
        <v>45517</v>
      </c>
      <c r="N950" s="9">
        <f t="shared" si="84"/>
        <v>9.1022689966894642E-4</v>
      </c>
      <c r="O950" s="5">
        <v>45517</v>
      </c>
      <c r="P950">
        <f t="shared" si="85"/>
        <v>1.0000463853283701</v>
      </c>
      <c r="Q950" s="6">
        <f t="shared" si="88"/>
        <v>0.99971008407561812</v>
      </c>
      <c r="R950">
        <f t="shared" si="89"/>
        <v>3.3634221073185964E-4</v>
      </c>
      <c r="T950" s="5">
        <v>45517</v>
      </c>
      <c r="U950" s="1">
        <v>3.3634221073185964E-4</v>
      </c>
    </row>
    <row r="951" spans="3:21" x14ac:dyDescent="0.2">
      <c r="C951" s="5">
        <v>45518</v>
      </c>
      <c r="D951" s="6">
        <v>1.00031</v>
      </c>
      <c r="E951" s="6">
        <v>58647.7</v>
      </c>
      <c r="F951" s="6">
        <v>58750.79</v>
      </c>
      <c r="G951" s="6">
        <v>58672</v>
      </c>
      <c r="H951" s="6">
        <v>58685.49</v>
      </c>
      <c r="I951" s="5">
        <v>45518</v>
      </c>
      <c r="J951" s="7">
        <f t="shared" si="86"/>
        <v>-6.4394111730175336E-4</v>
      </c>
      <c r="K951" s="5">
        <v>45518</v>
      </c>
      <c r="L951" s="8">
        <f t="shared" si="87"/>
        <v>1.3428892827924883E-3</v>
      </c>
      <c r="M951" s="5">
        <v>45518</v>
      </c>
      <c r="N951" s="9">
        <f t="shared" si="84"/>
        <v>6.9894816549073496E-4</v>
      </c>
      <c r="O951" s="5">
        <v>45518</v>
      </c>
      <c r="P951">
        <f t="shared" si="85"/>
        <v>1.0002299222797926</v>
      </c>
      <c r="Q951" s="6">
        <f t="shared" si="88"/>
        <v>0.99969009607021819</v>
      </c>
      <c r="R951">
        <f t="shared" si="89"/>
        <v>5.3984781164411128E-4</v>
      </c>
      <c r="T951" s="5">
        <v>45518</v>
      </c>
      <c r="U951" s="1">
        <v>5.3984781164411128E-4</v>
      </c>
    </row>
    <row r="952" spans="3:21" x14ac:dyDescent="0.2">
      <c r="C952" s="5">
        <v>45519</v>
      </c>
      <c r="D952" s="6">
        <v>1.00031</v>
      </c>
      <c r="E952" s="6">
        <v>57515.9</v>
      </c>
      <c r="F952" s="6">
        <v>57583.82</v>
      </c>
      <c r="G952" s="6">
        <v>57509</v>
      </c>
      <c r="H952" s="6">
        <v>57539.07</v>
      </c>
      <c r="I952" s="5">
        <v>45519</v>
      </c>
      <c r="J952" s="7">
        <f t="shared" si="86"/>
        <v>-4.0268290745745897E-4</v>
      </c>
      <c r="K952" s="5">
        <v>45519</v>
      </c>
      <c r="L952" s="8">
        <f t="shared" si="87"/>
        <v>1.3010137543688763E-3</v>
      </c>
      <c r="M952" s="5">
        <v>45519</v>
      </c>
      <c r="N952" s="9">
        <f t="shared" si="84"/>
        <v>8.9833084691141743E-4</v>
      </c>
      <c r="O952" s="5">
        <v>45519</v>
      </c>
      <c r="P952">
        <f t="shared" si="85"/>
        <v>1.0005228746804848</v>
      </c>
      <c r="Q952" s="6">
        <f t="shared" si="88"/>
        <v>0.99969009607021819</v>
      </c>
      <c r="R952">
        <f t="shared" si="89"/>
        <v>8.3268998907942194E-4</v>
      </c>
      <c r="T952" s="5">
        <v>45519</v>
      </c>
      <c r="U952" s="1">
        <v>8.3268998907942194E-4</v>
      </c>
    </row>
    <row r="953" spans="3:21" x14ac:dyDescent="0.2">
      <c r="C953" s="5">
        <v>45520</v>
      </c>
      <c r="D953" s="6">
        <v>1.00024</v>
      </c>
      <c r="E953" s="6">
        <v>58850</v>
      </c>
      <c r="F953" s="6">
        <v>58916.33</v>
      </c>
      <c r="G953" s="6">
        <v>58882</v>
      </c>
      <c r="H953" s="6">
        <v>58879.89</v>
      </c>
      <c r="I953" s="5">
        <v>45520</v>
      </c>
      <c r="J953" s="7">
        <f t="shared" si="86"/>
        <v>-5.0764361142657398E-4</v>
      </c>
      <c r="K953" s="5">
        <v>45520</v>
      </c>
      <c r="L953" s="8">
        <f t="shared" si="87"/>
        <v>5.8303046771512087E-4</v>
      </c>
      <c r="M953" s="5">
        <v>45520</v>
      </c>
      <c r="N953" s="9">
        <f t="shared" si="84"/>
        <v>7.5386856288546891E-5</v>
      </c>
      <c r="O953" s="5">
        <v>45520</v>
      </c>
      <c r="P953">
        <f t="shared" si="85"/>
        <v>0.9999641656193744</v>
      </c>
      <c r="Q953" s="6">
        <f t="shared" si="88"/>
        <v>0.99976005758617925</v>
      </c>
      <c r="R953">
        <f t="shared" si="89"/>
        <v>2.0413618191489479E-4</v>
      </c>
      <c r="T953" s="5">
        <v>45520</v>
      </c>
      <c r="U953" s="1">
        <v>2.0413618191489479E-4</v>
      </c>
    </row>
    <row r="954" spans="3:21" x14ac:dyDescent="0.2">
      <c r="C954" s="5">
        <v>45521</v>
      </c>
      <c r="D954" s="6">
        <v>1.0000599999999999</v>
      </c>
      <c r="E954" s="6">
        <v>59475.1</v>
      </c>
      <c r="F954" s="6">
        <v>59623.06</v>
      </c>
      <c r="G954" s="6">
        <v>59482.5</v>
      </c>
      <c r="H954" s="6">
        <v>59498.11</v>
      </c>
      <c r="I954" s="5">
        <v>45521</v>
      </c>
      <c r="J954" s="7">
        <f t="shared" si="86"/>
        <v>-3.8673497359835527E-4</v>
      </c>
      <c r="K954" s="5">
        <v>45521</v>
      </c>
      <c r="L954" s="8">
        <f t="shared" si="87"/>
        <v>2.363047955280926E-3</v>
      </c>
      <c r="M954" s="5">
        <v>45521</v>
      </c>
      <c r="N954" s="9">
        <f t="shared" si="84"/>
        <v>1.9763129816825708E-3</v>
      </c>
      <c r="O954" s="5">
        <v>45521</v>
      </c>
      <c r="P954">
        <f t="shared" si="85"/>
        <v>1.0002624301265077</v>
      </c>
      <c r="Q954" s="6">
        <f t="shared" si="88"/>
        <v>0.99994000359978408</v>
      </c>
      <c r="R954">
        <f t="shared" si="89"/>
        <v>3.2239389781727943E-4</v>
      </c>
      <c r="T954" s="5">
        <v>45521</v>
      </c>
      <c r="U954" s="1">
        <v>3.2239389781727943E-4</v>
      </c>
    </row>
    <row r="955" spans="3:21" x14ac:dyDescent="0.2">
      <c r="C955" s="5">
        <v>45522</v>
      </c>
      <c r="D955" s="6">
        <v>1.00013</v>
      </c>
      <c r="E955" s="6">
        <v>58406.400000000001</v>
      </c>
      <c r="F955" s="6">
        <v>58492.4</v>
      </c>
      <c r="G955" s="6">
        <v>58392</v>
      </c>
      <c r="H955" s="6">
        <v>58434.57</v>
      </c>
      <c r="I955" s="5">
        <v>45522</v>
      </c>
      <c r="J955" s="7">
        <f t="shared" si="86"/>
        <v>-4.8207764684497984E-4</v>
      </c>
      <c r="K955" s="5">
        <v>45522</v>
      </c>
      <c r="L955" s="8">
        <f t="shared" si="87"/>
        <v>1.7194136183039021E-3</v>
      </c>
      <c r="M955" s="5">
        <v>45522</v>
      </c>
      <c r="N955" s="9">
        <f t="shared" si="84"/>
        <v>1.2373359714589224E-3</v>
      </c>
      <c r="O955" s="5">
        <v>45522</v>
      </c>
      <c r="P955">
        <f t="shared" si="85"/>
        <v>1.0007290382244143</v>
      </c>
      <c r="Q955" s="6">
        <f t="shared" si="88"/>
        <v>0.9998700168978033</v>
      </c>
      <c r="R955">
        <f t="shared" si="89"/>
        <v>8.5876415587010614E-4</v>
      </c>
      <c r="T955" s="5">
        <v>45522</v>
      </c>
      <c r="U955" s="1">
        <v>8.5876415587010614E-4</v>
      </c>
    </row>
    <row r="956" spans="3:21" x14ac:dyDescent="0.2">
      <c r="C956" s="5">
        <v>45523</v>
      </c>
      <c r="D956" s="6">
        <v>1.0002200000000001</v>
      </c>
      <c r="E956" s="6">
        <v>59403.9</v>
      </c>
      <c r="F956" s="6">
        <v>59501.919999999998</v>
      </c>
      <c r="G956" s="6">
        <v>59431.5</v>
      </c>
      <c r="H956" s="6">
        <v>59439.59</v>
      </c>
      <c r="I956" s="5">
        <v>45523</v>
      </c>
      <c r="J956" s="7">
        <f t="shared" si="86"/>
        <v>-6.0044155755440191E-4</v>
      </c>
      <c r="K956" s="5">
        <v>45523</v>
      </c>
      <c r="L956" s="8">
        <f t="shared" si="87"/>
        <v>1.1848935328907777E-3</v>
      </c>
      <c r="M956" s="5">
        <v>45523</v>
      </c>
      <c r="N956" s="9">
        <f t="shared" si="84"/>
        <v>5.8445197533637584E-4</v>
      </c>
      <c r="O956" s="5">
        <v>45523</v>
      </c>
      <c r="P956">
        <f t="shared" si="85"/>
        <v>1.000136123099703</v>
      </c>
      <c r="Q956" s="6">
        <f t="shared" si="88"/>
        <v>0.99978004838935419</v>
      </c>
      <c r="R956">
        <f t="shared" si="89"/>
        <v>3.5608963934340116E-4</v>
      </c>
      <c r="T956" s="5">
        <v>45523</v>
      </c>
      <c r="U956" s="1">
        <v>3.5608963934340116E-4</v>
      </c>
    </row>
    <row r="957" spans="3:21" x14ac:dyDescent="0.2">
      <c r="C957" s="5">
        <v>45524</v>
      </c>
      <c r="D957" s="6">
        <v>1.00017</v>
      </c>
      <c r="E957" s="6">
        <v>58978</v>
      </c>
      <c r="F957" s="6">
        <v>59066.84</v>
      </c>
      <c r="G957" s="6">
        <v>58996</v>
      </c>
      <c r="H957" s="6">
        <v>59007.92</v>
      </c>
      <c r="I957" s="5">
        <v>45524</v>
      </c>
      <c r="J957" s="7">
        <f t="shared" si="86"/>
        <v>-5.0705057897309808E-4</v>
      </c>
      <c r="K957" s="5">
        <v>45524</v>
      </c>
      <c r="L957" s="8">
        <f t="shared" si="87"/>
        <v>1.2007593735167894E-3</v>
      </c>
      <c r="M957" s="5">
        <v>45524</v>
      </c>
      <c r="N957" s="9">
        <f t="shared" si="84"/>
        <v>6.9370879454369128E-4</v>
      </c>
      <c r="O957" s="5">
        <v>45524</v>
      </c>
      <c r="P957">
        <f t="shared" si="85"/>
        <v>1.0002020475964473</v>
      </c>
      <c r="Q957" s="6">
        <f t="shared" si="88"/>
        <v>0.99983002889508787</v>
      </c>
      <c r="R957">
        <f t="shared" si="89"/>
        <v>3.7201273921796924E-4</v>
      </c>
      <c r="T957" s="5">
        <v>45524</v>
      </c>
      <c r="U957" s="1">
        <v>3.7201273921796924E-4</v>
      </c>
    </row>
    <row r="958" spans="3:21" x14ac:dyDescent="0.2">
      <c r="C958" s="5">
        <v>45525</v>
      </c>
      <c r="D958" s="6">
        <v>1.0001800000000001</v>
      </c>
      <c r="E958" s="6">
        <v>61120.6</v>
      </c>
      <c r="F958" s="6">
        <v>61130.13</v>
      </c>
      <c r="G958" s="6">
        <v>61142</v>
      </c>
      <c r="H958" s="6">
        <v>61152.67</v>
      </c>
      <c r="I958" s="5">
        <v>45525</v>
      </c>
      <c r="J958" s="7">
        <f t="shared" si="86"/>
        <v>-5.2442518045409483E-4</v>
      </c>
      <c r="K958" s="5">
        <v>45525</v>
      </c>
      <c r="L958" s="8">
        <f t="shared" si="87"/>
        <v>-1.9413823558278465E-4</v>
      </c>
      <c r="M958" s="5">
        <v>45525</v>
      </c>
      <c r="N958" s="9">
        <f t="shared" si="84"/>
        <v>-7.1856341603687951E-4</v>
      </c>
      <c r="O958" s="5">
        <v>45525</v>
      </c>
      <c r="P958">
        <f t="shared" si="85"/>
        <v>1.0001745117922214</v>
      </c>
      <c r="Q958" s="6">
        <f t="shared" si="88"/>
        <v>0.99982003239416894</v>
      </c>
      <c r="R958">
        <f t="shared" si="89"/>
        <v>3.5448036875378001E-4</v>
      </c>
      <c r="T958" s="5">
        <v>45525</v>
      </c>
      <c r="U958" s="1">
        <v>3.5448036875378001E-4</v>
      </c>
    </row>
    <row r="959" spans="3:21" x14ac:dyDescent="0.2">
      <c r="C959" s="5">
        <v>45526</v>
      </c>
      <c r="D959" s="6">
        <v>1.00014</v>
      </c>
      <c r="E959" s="6">
        <v>60355.3</v>
      </c>
      <c r="F959" s="6">
        <v>60422.32</v>
      </c>
      <c r="G959" s="6">
        <v>60376.5</v>
      </c>
      <c r="H959" s="6">
        <v>60388.68</v>
      </c>
      <c r="I959" s="5">
        <v>45526</v>
      </c>
      <c r="J959" s="7">
        <f t="shared" si="86"/>
        <v>-5.5275260197767831E-4</v>
      </c>
      <c r="K959" s="5">
        <v>45526</v>
      </c>
      <c r="L959" s="8">
        <f t="shared" si="87"/>
        <v>7.5890454067393284E-4</v>
      </c>
      <c r="M959" s="5">
        <v>45526</v>
      </c>
      <c r="N959" s="9">
        <f t="shared" si="84"/>
        <v>2.0615193869625453E-4</v>
      </c>
      <c r="O959" s="5">
        <v>45526</v>
      </c>
      <c r="P959">
        <f t="shared" si="85"/>
        <v>1.0002017341184068</v>
      </c>
      <c r="Q959" s="6">
        <f t="shared" si="88"/>
        <v>0.99986001959725634</v>
      </c>
      <c r="R959">
        <f t="shared" si="89"/>
        <v>3.4170397373038929E-4</v>
      </c>
      <c r="T959" s="5">
        <v>45526</v>
      </c>
      <c r="U959" s="1">
        <v>3.4170397373038929E-4</v>
      </c>
    </row>
    <row r="960" spans="3:21" x14ac:dyDescent="0.2">
      <c r="C960" s="5">
        <v>45527</v>
      </c>
      <c r="D960" s="6">
        <v>1.0006999999999999</v>
      </c>
      <c r="E960" s="6">
        <v>64005</v>
      </c>
      <c r="F960" s="6">
        <v>64032.1</v>
      </c>
      <c r="G960" s="6">
        <v>64063</v>
      </c>
      <c r="H960" s="6">
        <v>64046.3</v>
      </c>
      <c r="I960" s="5">
        <v>45527</v>
      </c>
      <c r="J960" s="7">
        <f t="shared" si="86"/>
        <v>-6.4484599422609751E-4</v>
      </c>
      <c r="K960" s="5">
        <v>45527</v>
      </c>
      <c r="L960" s="8">
        <f t="shared" si="87"/>
        <v>-4.8233769882773917E-4</v>
      </c>
      <c r="M960" s="5">
        <v>45527</v>
      </c>
      <c r="N960" s="9">
        <f t="shared" si="84"/>
        <v>-1.1271836930538367E-3</v>
      </c>
      <c r="O960" s="5">
        <v>45527</v>
      </c>
      <c r="P960">
        <f t="shared" si="85"/>
        <v>0.99973931910775327</v>
      </c>
      <c r="Q960" s="6">
        <f t="shared" si="88"/>
        <v>0.99930048965724005</v>
      </c>
      <c r="R960">
        <f t="shared" si="89"/>
        <v>4.3904023885664255E-4</v>
      </c>
      <c r="T960" s="5">
        <v>45527</v>
      </c>
      <c r="U960" s="1">
        <v>4.3904023885664255E-4</v>
      </c>
    </row>
    <row r="961" spans="3:21" x14ac:dyDescent="0.2">
      <c r="C961" s="5">
        <v>45528</v>
      </c>
      <c r="D961" s="6">
        <v>1.0004200000000001</v>
      </c>
      <c r="E961" s="6">
        <v>64130.3</v>
      </c>
      <c r="F961" s="6">
        <v>64096.98</v>
      </c>
      <c r="G961" s="6">
        <v>64180</v>
      </c>
      <c r="H961" s="6">
        <v>64153.5</v>
      </c>
      <c r="I961" s="5">
        <v>45528</v>
      </c>
      <c r="J961" s="7">
        <f t="shared" si="86"/>
        <v>-3.6163264669888766E-4</v>
      </c>
      <c r="K961" s="5">
        <v>45528</v>
      </c>
      <c r="L961" s="8">
        <f t="shared" si="87"/>
        <v>-1.2935493923340105E-3</v>
      </c>
      <c r="M961" s="5">
        <v>45528</v>
      </c>
      <c r="N961" s="9">
        <f t="shared" si="84"/>
        <v>-1.6551820390328983E-3</v>
      </c>
      <c r="O961" s="5">
        <v>45528</v>
      </c>
      <c r="P961">
        <f t="shared" si="85"/>
        <v>0.99958709878466812</v>
      </c>
      <c r="Q961" s="6">
        <f t="shared" si="88"/>
        <v>0.99958017632594298</v>
      </c>
      <c r="R961">
        <f t="shared" si="89"/>
        <v>6.9253421776352633E-6</v>
      </c>
      <c r="T961" s="5">
        <v>45528</v>
      </c>
      <c r="U961" s="1">
        <v>6.9253421776352633E-6</v>
      </c>
    </row>
    <row r="962" spans="3:21" x14ac:dyDescent="0.2">
      <c r="C962" s="5">
        <v>45529</v>
      </c>
      <c r="D962" s="6">
        <v>1.00047</v>
      </c>
      <c r="E962" s="6">
        <v>64180.9</v>
      </c>
      <c r="F962" s="6">
        <v>64085.77</v>
      </c>
      <c r="G962" s="6">
        <v>64228</v>
      </c>
      <c r="H962" s="6">
        <v>64218.1</v>
      </c>
      <c r="I962" s="5">
        <v>45529</v>
      </c>
      <c r="J962" s="7">
        <f t="shared" si="86"/>
        <v>-5.7927593622354278E-4</v>
      </c>
      <c r="K962" s="5">
        <v>45529</v>
      </c>
      <c r="L962" s="8">
        <f t="shared" si="87"/>
        <v>-2.2144547549355922E-3</v>
      </c>
      <c r="M962" s="5">
        <v>45529</v>
      </c>
      <c r="N962" s="9">
        <f t="shared" si="84"/>
        <v>-2.793730691159135E-3</v>
      </c>
      <c r="O962" s="5">
        <v>45529</v>
      </c>
      <c r="P962">
        <f t="shared" si="85"/>
        <v>0.99984586161798594</v>
      </c>
      <c r="Q962" s="6">
        <f t="shared" si="88"/>
        <v>0.99953022079622578</v>
      </c>
      <c r="R962">
        <f t="shared" si="89"/>
        <v>3.1573932204015663E-4</v>
      </c>
      <c r="T962" s="5">
        <v>45529</v>
      </c>
      <c r="U962" s="1">
        <v>3.1573932204015663E-4</v>
      </c>
    </row>
    <row r="963" spans="3:21" x14ac:dyDescent="0.2">
      <c r="C963" s="5">
        <v>45530</v>
      </c>
      <c r="D963" s="6">
        <v>1.00013</v>
      </c>
      <c r="E963" s="6">
        <v>62812</v>
      </c>
      <c r="F963" s="6">
        <v>62898.2</v>
      </c>
      <c r="G963" s="6">
        <v>62820</v>
      </c>
      <c r="H963" s="6">
        <v>62834.75</v>
      </c>
      <c r="I963" s="5">
        <v>45530</v>
      </c>
      <c r="J963" s="7">
        <f t="shared" si="86"/>
        <v>-3.6206080234265275E-4</v>
      </c>
      <c r="K963" s="5">
        <v>45530</v>
      </c>
      <c r="L963" s="8">
        <f t="shared" si="87"/>
        <v>1.2448264883794507E-3</v>
      </c>
      <c r="M963" s="5">
        <v>45530</v>
      </c>
      <c r="N963" s="9">
        <f t="shared" si="84"/>
        <v>8.8276568603679788E-4</v>
      </c>
      <c r="O963" s="5">
        <v>45530</v>
      </c>
      <c r="P963">
        <f t="shared" si="85"/>
        <v>1.0002347978350843</v>
      </c>
      <c r="Q963" s="6">
        <f t="shared" si="88"/>
        <v>0.9998700168978033</v>
      </c>
      <c r="R963">
        <f t="shared" si="89"/>
        <v>3.6476182511898004E-4</v>
      </c>
      <c r="T963" s="5">
        <v>45530</v>
      </c>
      <c r="U963" s="1">
        <v>3.6476182511898004E-4</v>
      </c>
    </row>
    <row r="964" spans="3:21" x14ac:dyDescent="0.2">
      <c r="C964" s="5">
        <v>45531</v>
      </c>
      <c r="D964" s="6">
        <v>1.0002899999999999</v>
      </c>
      <c r="E964" s="6">
        <v>59366.7</v>
      </c>
      <c r="F964" s="6">
        <v>59509.52</v>
      </c>
      <c r="G964" s="6">
        <v>59380</v>
      </c>
      <c r="H964" s="6">
        <v>59411.08</v>
      </c>
      <c r="I964" s="5">
        <v>45531</v>
      </c>
      <c r="J964" s="7">
        <f t="shared" si="86"/>
        <v>-7.4699870798518818E-4</v>
      </c>
      <c r="K964" s="5">
        <v>45531</v>
      </c>
      <c r="L964" s="8">
        <f t="shared" si="87"/>
        <v>2.1812057931963084E-3</v>
      </c>
      <c r="M964" s="5">
        <v>45531</v>
      </c>
      <c r="N964" s="9">
        <f t="shared" si="84"/>
        <v>1.4342070852111201E-3</v>
      </c>
      <c r="O964" s="5">
        <v>45531</v>
      </c>
      <c r="P964">
        <f t="shared" si="85"/>
        <v>1.0005234085550689</v>
      </c>
      <c r="Q964" s="6">
        <f t="shared" si="88"/>
        <v>0.99971008407561812</v>
      </c>
      <c r="R964">
        <f t="shared" si="89"/>
        <v>8.1322958271743252E-4</v>
      </c>
      <c r="T964" s="5">
        <v>45531</v>
      </c>
      <c r="U964" s="1">
        <v>8.1322958271743252E-4</v>
      </c>
    </row>
    <row r="965" spans="3:21" x14ac:dyDescent="0.2">
      <c r="C965" s="5">
        <v>45532</v>
      </c>
      <c r="D965" s="6">
        <v>1.0000899999999999</v>
      </c>
      <c r="E965" s="6">
        <v>59013.1</v>
      </c>
      <c r="F965" s="6">
        <v>59085.51</v>
      </c>
      <c r="G965" s="6">
        <v>59006.5</v>
      </c>
      <c r="H965" s="6">
        <v>59044.69</v>
      </c>
      <c r="I965" s="5">
        <v>45532</v>
      </c>
      <c r="J965" s="7">
        <f t="shared" si="86"/>
        <v>-5.3501847498909358E-4</v>
      </c>
      <c r="K965" s="5">
        <v>45532</v>
      </c>
      <c r="L965" s="8">
        <f t="shared" si="87"/>
        <v>1.3390050248701759E-3</v>
      </c>
      <c r="M965" s="5">
        <v>45532</v>
      </c>
      <c r="N965" s="9">
        <f t="shared" si="84"/>
        <v>8.0398654988108231E-4</v>
      </c>
      <c r="O965" s="5">
        <v>45532</v>
      </c>
      <c r="P965">
        <f t="shared" si="85"/>
        <v>1.0006472168320442</v>
      </c>
      <c r="Q965" s="6">
        <f t="shared" si="88"/>
        <v>0.99991000809927111</v>
      </c>
      <c r="R965">
        <f t="shared" si="89"/>
        <v>7.3700342780029494E-4</v>
      </c>
      <c r="T965" s="5">
        <v>45532</v>
      </c>
      <c r="U965" s="1">
        <v>7.3700342780029494E-4</v>
      </c>
    </row>
    <row r="966" spans="3:21" x14ac:dyDescent="0.2">
      <c r="C966" s="5">
        <v>45533</v>
      </c>
      <c r="D966" s="6">
        <v>1.0001100000000001</v>
      </c>
      <c r="E966" s="6">
        <v>59315.8</v>
      </c>
      <c r="F966" s="6">
        <v>59436.06</v>
      </c>
      <c r="G966" s="6">
        <v>59329.5</v>
      </c>
      <c r="H966" s="6">
        <v>59348.57</v>
      </c>
      <c r="I966" s="5">
        <v>45533</v>
      </c>
      <c r="J966" s="7">
        <f t="shared" si="86"/>
        <v>-5.5216157693431869E-4</v>
      </c>
      <c r="K966" s="5">
        <v>45533</v>
      </c>
      <c r="L966" s="8">
        <f t="shared" si="87"/>
        <v>1.7960710944807839E-3</v>
      </c>
      <c r="M966" s="5">
        <v>45533</v>
      </c>
      <c r="N966" s="9">
        <f t="shared" si="84"/>
        <v>1.2439095175464652E-3</v>
      </c>
      <c r="O966" s="5">
        <v>45533</v>
      </c>
      <c r="P966">
        <f t="shared" si="85"/>
        <v>1.0003214252606207</v>
      </c>
      <c r="Q966" s="6">
        <f t="shared" si="88"/>
        <v>0.99989001209866912</v>
      </c>
      <c r="R966">
        <f t="shared" si="89"/>
        <v>4.3136756503187984E-4</v>
      </c>
      <c r="T966" s="5">
        <v>45533</v>
      </c>
      <c r="U966" s="1">
        <v>4.3136756503187984E-4</v>
      </c>
    </row>
    <row r="967" spans="3:21" x14ac:dyDescent="0.2">
      <c r="C967" s="5">
        <v>45534</v>
      </c>
      <c r="D967" s="6">
        <v>0.99980000000000002</v>
      </c>
      <c r="E967" s="6">
        <v>59100.9</v>
      </c>
      <c r="F967" s="6">
        <v>59163.26</v>
      </c>
      <c r="G967" s="6">
        <v>59095.5</v>
      </c>
      <c r="H967" s="6">
        <v>59130.23</v>
      </c>
      <c r="I967" s="5">
        <v>45534</v>
      </c>
      <c r="J967" s="7">
        <f t="shared" si="86"/>
        <v>-4.9602377667060896E-4</v>
      </c>
      <c r="K967" s="5">
        <v>45534</v>
      </c>
      <c r="L967" s="8">
        <f t="shared" si="87"/>
        <v>1.1466186088619614E-3</v>
      </c>
      <c r="M967" s="5">
        <v>45534</v>
      </c>
      <c r="N967" s="9">
        <f t="shared" si="84"/>
        <v>6.5059483219135239E-4</v>
      </c>
      <c r="O967" s="5">
        <v>45534</v>
      </c>
      <c r="P967">
        <f t="shared" si="85"/>
        <v>1.0005876928023285</v>
      </c>
      <c r="Q967" s="6">
        <f t="shared" si="88"/>
        <v>1.0002000400080016</v>
      </c>
      <c r="R967">
        <f t="shared" si="89"/>
        <v>3.8750017587639584E-4</v>
      </c>
      <c r="T967" s="5">
        <v>45534</v>
      </c>
      <c r="U967" s="1">
        <v>3.8750017587639584E-4</v>
      </c>
    </row>
    <row r="968" spans="3:21" x14ac:dyDescent="0.2">
      <c r="C968" s="5">
        <v>45535</v>
      </c>
      <c r="D968" s="6">
        <v>0.99982000000000004</v>
      </c>
      <c r="E968" s="6">
        <v>58944.4</v>
      </c>
      <c r="F968" s="6">
        <v>58946.17</v>
      </c>
      <c r="G968" s="6">
        <v>58954</v>
      </c>
      <c r="H968" s="6">
        <v>58972.480000000003</v>
      </c>
      <c r="I968" s="5">
        <v>45535</v>
      </c>
      <c r="J968" s="7">
        <f t="shared" si="86"/>
        <v>-4.7615430112489326E-4</v>
      </c>
      <c r="K968" s="5">
        <v>45535</v>
      </c>
      <c r="L968" s="8">
        <f t="shared" si="87"/>
        <v>-1.328154154086533E-4</v>
      </c>
      <c r="M968" s="5">
        <v>45535</v>
      </c>
      <c r="N968" s="9">
        <f t="shared" ref="N968:N1031" si="90">J968+L968</f>
        <v>-6.0896971653354658E-4</v>
      </c>
      <c r="O968" s="5">
        <v>45535</v>
      </c>
      <c r="P968">
        <f t="shared" ref="P968:P1031" si="91">(1/G968)*H968</f>
        <v>1.0003134647352174</v>
      </c>
      <c r="Q968" s="6">
        <f t="shared" si="88"/>
        <v>1.000180032405833</v>
      </c>
      <c r="R968">
        <f t="shared" si="89"/>
        <v>1.3339941346774472E-4</v>
      </c>
      <c r="T968" s="5">
        <v>45535</v>
      </c>
      <c r="U968" s="1">
        <v>1.3339941346774472E-4</v>
      </c>
    </row>
    <row r="969" spans="3:21" x14ac:dyDescent="0.2">
      <c r="C969" s="5">
        <v>45536</v>
      </c>
      <c r="D969" s="6">
        <v>0.99994000000000005</v>
      </c>
      <c r="E969" s="6">
        <v>57266.1</v>
      </c>
      <c r="F969" s="6">
        <v>57398.31</v>
      </c>
      <c r="G969" s="6">
        <v>57277</v>
      </c>
      <c r="H969" s="6">
        <v>57293.29</v>
      </c>
      <c r="I969" s="5">
        <v>45536</v>
      </c>
      <c r="J969" s="7">
        <f t="shared" ref="J969:J1032" si="92">(E969-H969)/H969</f>
        <v>-4.7457564402397432E-4</v>
      </c>
      <c r="K969" s="5">
        <v>45536</v>
      </c>
      <c r="L969" s="8">
        <f t="shared" ref="L969:L1032" si="93">(F969-G969)/G969</f>
        <v>2.1179531050857705E-3</v>
      </c>
      <c r="M969" s="5">
        <v>45536</v>
      </c>
      <c r="N969" s="9">
        <f t="shared" si="90"/>
        <v>1.6433774610617961E-3</v>
      </c>
      <c r="O969" s="5">
        <v>45536</v>
      </c>
      <c r="P969">
        <f t="shared" si="91"/>
        <v>1.0002844073537371</v>
      </c>
      <c r="Q969" s="6">
        <f t="shared" ref="Q969:Q1032" si="94">1/D969</f>
        <v>1.0000600036002159</v>
      </c>
      <c r="R969">
        <f t="shared" ref="R969:R1032" si="95">LN(P969/Q969)</f>
        <v>2.243651175604879E-4</v>
      </c>
      <c r="T969" s="5">
        <v>45536</v>
      </c>
      <c r="U969" s="1">
        <v>2.243651175604879E-4</v>
      </c>
    </row>
    <row r="970" spans="3:21" x14ac:dyDescent="0.2">
      <c r="C970" s="5">
        <v>45537</v>
      </c>
      <c r="D970" s="6">
        <v>0.99994000000000005</v>
      </c>
      <c r="E970" s="6">
        <v>59116.7</v>
      </c>
      <c r="F970" s="6">
        <v>59173.82</v>
      </c>
      <c r="G970" s="6">
        <v>59122</v>
      </c>
      <c r="H970" s="6">
        <v>59142.75</v>
      </c>
      <c r="I970" s="5">
        <v>45537</v>
      </c>
      <c r="J970" s="7">
        <f t="shared" si="92"/>
        <v>-4.404597351324196E-4</v>
      </c>
      <c r="K970" s="5">
        <v>45537</v>
      </c>
      <c r="L970" s="8">
        <f t="shared" si="93"/>
        <v>8.7649267616115331E-4</v>
      </c>
      <c r="M970" s="5">
        <v>45537</v>
      </c>
      <c r="N970" s="9">
        <f t="shared" si="90"/>
        <v>4.3603294102873371E-4</v>
      </c>
      <c r="O970" s="5">
        <v>45537</v>
      </c>
      <c r="P970">
        <f t="shared" si="91"/>
        <v>1.0003509691823687</v>
      </c>
      <c r="Q970" s="6">
        <f t="shared" si="94"/>
        <v>1.0000600036002159</v>
      </c>
      <c r="R970">
        <f t="shared" si="95"/>
        <v>2.9090580702030772E-4</v>
      </c>
      <c r="T970" s="5">
        <v>45537</v>
      </c>
      <c r="U970" s="1">
        <v>2.9090580702030772E-4</v>
      </c>
    </row>
    <row r="971" spans="3:21" x14ac:dyDescent="0.2">
      <c r="C971" s="5">
        <v>45538</v>
      </c>
      <c r="D971" s="6">
        <v>0.99975000000000003</v>
      </c>
      <c r="E971" s="6">
        <v>57450.2</v>
      </c>
      <c r="F971" s="6">
        <v>57528.71</v>
      </c>
      <c r="G971" s="6">
        <v>57446</v>
      </c>
      <c r="H971" s="6">
        <v>57481.78</v>
      </c>
      <c r="I971" s="5">
        <v>45538</v>
      </c>
      <c r="J971" s="7">
        <f t="shared" si="92"/>
        <v>-5.493914767427478E-4</v>
      </c>
      <c r="K971" s="5">
        <v>45538</v>
      </c>
      <c r="L971" s="8">
        <f t="shared" si="93"/>
        <v>1.4397869303345598E-3</v>
      </c>
      <c r="M971" s="5">
        <v>45538</v>
      </c>
      <c r="N971" s="9">
        <f t="shared" si="90"/>
        <v>8.9039545359181199E-4</v>
      </c>
      <c r="O971" s="5">
        <v>45538</v>
      </c>
      <c r="P971">
        <f t="shared" si="91"/>
        <v>1.0006228458030151</v>
      </c>
      <c r="Q971" s="6">
        <f t="shared" si="94"/>
        <v>1.000250062515629</v>
      </c>
      <c r="R971">
        <f t="shared" si="95"/>
        <v>3.7262065986244815E-4</v>
      </c>
      <c r="T971" s="5">
        <v>45538</v>
      </c>
      <c r="U971" s="1">
        <v>3.7262065986244815E-4</v>
      </c>
    </row>
    <row r="972" spans="3:21" x14ac:dyDescent="0.2">
      <c r="C972" s="5">
        <v>45539</v>
      </c>
      <c r="D972" s="6">
        <v>0.99987999999999999</v>
      </c>
      <c r="E972" s="6">
        <v>57937.8</v>
      </c>
      <c r="F972" s="6">
        <v>58018.65</v>
      </c>
      <c r="G972" s="6">
        <v>57938.5</v>
      </c>
      <c r="H972" s="6">
        <v>57972.69</v>
      </c>
      <c r="I972" s="5">
        <v>45539</v>
      </c>
      <c r="J972" s="7">
        <f t="shared" si="92"/>
        <v>-6.0183510546085435E-4</v>
      </c>
      <c r="K972" s="5">
        <v>45539</v>
      </c>
      <c r="L972" s="8">
        <f t="shared" si="93"/>
        <v>1.3833633939436033E-3</v>
      </c>
      <c r="M972" s="5">
        <v>45539</v>
      </c>
      <c r="N972" s="9">
        <f t="shared" si="90"/>
        <v>7.8152828848274895E-4</v>
      </c>
      <c r="O972" s="5">
        <v>45539</v>
      </c>
      <c r="P972">
        <f t="shared" si="91"/>
        <v>1.0005901084770923</v>
      </c>
      <c r="Q972" s="6">
        <f t="shared" si="94"/>
        <v>1.0001200144017282</v>
      </c>
      <c r="R972">
        <f t="shared" si="95"/>
        <v>4.6992723097612665E-4</v>
      </c>
      <c r="T972" s="5">
        <v>45539</v>
      </c>
      <c r="U972" s="1">
        <v>4.6992723097612665E-4</v>
      </c>
    </row>
    <row r="973" spans="3:21" x14ac:dyDescent="0.2">
      <c r="C973" s="5">
        <v>45540</v>
      </c>
      <c r="D973" s="6">
        <v>0.99961</v>
      </c>
      <c r="E973" s="6">
        <v>56150.5</v>
      </c>
      <c r="F973" s="6">
        <v>56194.62</v>
      </c>
      <c r="G973" s="6">
        <v>56153.5</v>
      </c>
      <c r="H973" s="6">
        <v>56177.67</v>
      </c>
      <c r="I973" s="5">
        <v>45540</v>
      </c>
      <c r="J973" s="7">
        <f t="shared" si="92"/>
        <v>-4.8364412407987472E-4</v>
      </c>
      <c r="K973" s="5">
        <v>45540</v>
      </c>
      <c r="L973" s="8">
        <f t="shared" si="93"/>
        <v>7.3227848664825202E-4</v>
      </c>
      <c r="M973" s="5">
        <v>45540</v>
      </c>
      <c r="N973" s="9">
        <f t="shared" si="90"/>
        <v>2.486343625683773E-4</v>
      </c>
      <c r="O973" s="5">
        <v>45540</v>
      </c>
      <c r="P973">
        <f t="shared" si="91"/>
        <v>1.0004304273108533</v>
      </c>
      <c r="Q973" s="6">
        <f t="shared" si="94"/>
        <v>1.0003901521593421</v>
      </c>
      <c r="R973">
        <f t="shared" si="95"/>
        <v>4.0258633812488739E-5</v>
      </c>
      <c r="T973" s="5">
        <v>45540</v>
      </c>
      <c r="U973" s="1">
        <v>4.0258633812488739E-5</v>
      </c>
    </row>
    <row r="974" spans="3:21" x14ac:dyDescent="0.2">
      <c r="C974" s="5">
        <v>45541</v>
      </c>
      <c r="D974" s="6">
        <v>0.99970000000000003</v>
      </c>
      <c r="E974" s="6">
        <v>53934</v>
      </c>
      <c r="F974" s="6">
        <v>54205.279999999999</v>
      </c>
      <c r="G974" s="6">
        <v>53932</v>
      </c>
      <c r="H974" s="6">
        <v>53961.62</v>
      </c>
      <c r="I974" s="5">
        <v>45541</v>
      </c>
      <c r="J974" s="7">
        <f t="shared" si="92"/>
        <v>-5.1184527076842052E-4</v>
      </c>
      <c r="K974" s="5">
        <v>45541</v>
      </c>
      <c r="L974" s="8">
        <f t="shared" si="93"/>
        <v>5.0671215604835501E-3</v>
      </c>
      <c r="M974" s="5">
        <v>45541</v>
      </c>
      <c r="N974" s="9">
        <f t="shared" si="90"/>
        <v>4.55527628971513E-3</v>
      </c>
      <c r="O974" s="5">
        <v>45541</v>
      </c>
      <c r="P974">
        <f t="shared" si="91"/>
        <v>1.000549210116443</v>
      </c>
      <c r="Q974" s="6">
        <f t="shared" si="94"/>
        <v>1.000300090027008</v>
      </c>
      <c r="R974">
        <f t="shared" si="95"/>
        <v>2.4901434676199074E-4</v>
      </c>
      <c r="T974" s="5">
        <v>45541</v>
      </c>
      <c r="U974" s="1">
        <v>2.4901434676199074E-4</v>
      </c>
    </row>
    <row r="975" spans="3:21" x14ac:dyDescent="0.2">
      <c r="C975" s="5">
        <v>45542</v>
      </c>
      <c r="D975" s="6">
        <v>0.99982000000000004</v>
      </c>
      <c r="E975" s="6">
        <v>54139.5</v>
      </c>
      <c r="F975" s="6">
        <v>54300.35</v>
      </c>
      <c r="G975" s="6">
        <v>54125.5</v>
      </c>
      <c r="H975" s="6">
        <v>54164.51</v>
      </c>
      <c r="I975" s="5">
        <v>45542</v>
      </c>
      <c r="J975" s="7">
        <f t="shared" si="92"/>
        <v>-4.6174146133699052E-4</v>
      </c>
      <c r="K975" s="5">
        <v>45542</v>
      </c>
      <c r="L975" s="8">
        <f t="shared" si="93"/>
        <v>3.2304551459108656E-3</v>
      </c>
      <c r="M975" s="5">
        <v>45542</v>
      </c>
      <c r="N975" s="9">
        <f t="shared" si="90"/>
        <v>2.7687136845738749E-3</v>
      </c>
      <c r="O975" s="5">
        <v>45542</v>
      </c>
      <c r="P975">
        <f t="shared" si="91"/>
        <v>1.0007207323719873</v>
      </c>
      <c r="Q975" s="6">
        <f t="shared" si="94"/>
        <v>1.000180032405833</v>
      </c>
      <c r="R975">
        <f t="shared" si="95"/>
        <v>5.404565671957342E-4</v>
      </c>
      <c r="T975" s="5">
        <v>45542</v>
      </c>
      <c r="U975" s="1">
        <v>5.404565671957342E-4</v>
      </c>
    </row>
    <row r="976" spans="3:21" x14ac:dyDescent="0.2">
      <c r="C976" s="5">
        <v>45543</v>
      </c>
      <c r="D976" s="6">
        <v>0.99999000000000005</v>
      </c>
      <c r="E976" s="6">
        <v>54850</v>
      </c>
      <c r="F976" s="6">
        <v>54978.6</v>
      </c>
      <c r="G976" s="6">
        <v>54859.5</v>
      </c>
      <c r="H976" s="6">
        <v>54877.919999999998</v>
      </c>
      <c r="I976" s="5">
        <v>45543</v>
      </c>
      <c r="J976" s="7">
        <f t="shared" si="92"/>
        <v>-5.0876563834777731E-4</v>
      </c>
      <c r="K976" s="5">
        <v>45543</v>
      </c>
      <c r="L976" s="8">
        <f t="shared" si="93"/>
        <v>2.1710004648237504E-3</v>
      </c>
      <c r="M976" s="5">
        <v>45543</v>
      </c>
      <c r="N976" s="9">
        <f t="shared" si="90"/>
        <v>1.662234826475973E-3</v>
      </c>
      <c r="O976" s="5">
        <v>45543</v>
      </c>
      <c r="P976">
        <f t="shared" si="91"/>
        <v>1.0003357668225192</v>
      </c>
      <c r="Q976" s="6">
        <f t="shared" si="94"/>
        <v>1.000010000100001</v>
      </c>
      <c r="R976">
        <f t="shared" si="95"/>
        <v>3.2571041545423378E-4</v>
      </c>
      <c r="T976" s="5">
        <v>45543</v>
      </c>
      <c r="U976" s="1">
        <v>3.2571041545423378E-4</v>
      </c>
    </row>
    <row r="977" spans="3:21" x14ac:dyDescent="0.2">
      <c r="C977" s="5">
        <v>45544</v>
      </c>
      <c r="D977" s="6">
        <v>1.0001500000000001</v>
      </c>
      <c r="E977" s="6">
        <v>57014.5</v>
      </c>
      <c r="F977" s="6">
        <v>57079.24</v>
      </c>
      <c r="G977" s="6">
        <v>57016.5</v>
      </c>
      <c r="H977" s="6">
        <v>57039.58</v>
      </c>
      <c r="I977" s="5">
        <v>45544</v>
      </c>
      <c r="J977" s="7">
        <f t="shared" si="92"/>
        <v>-4.3969468218387555E-4</v>
      </c>
      <c r="K977" s="5">
        <v>45544</v>
      </c>
      <c r="L977" s="8">
        <f t="shared" si="93"/>
        <v>1.1003832224004975E-3</v>
      </c>
      <c r="M977" s="5">
        <v>45544</v>
      </c>
      <c r="N977" s="9">
        <f t="shared" si="90"/>
        <v>6.6068854021662186E-4</v>
      </c>
      <c r="O977" s="5">
        <v>45544</v>
      </c>
      <c r="P977">
        <f t="shared" si="91"/>
        <v>1.0004047951031718</v>
      </c>
      <c r="Q977" s="6">
        <f t="shared" si="94"/>
        <v>0.99985002249662536</v>
      </c>
      <c r="R977">
        <f t="shared" si="95"/>
        <v>5.5470194686222285E-4</v>
      </c>
      <c r="T977" s="5">
        <v>45544</v>
      </c>
      <c r="U977" s="1">
        <v>5.5470194686222285E-4</v>
      </c>
    </row>
    <row r="978" spans="3:21" x14ac:dyDescent="0.2">
      <c r="C978" s="5">
        <v>45545</v>
      </c>
      <c r="D978" s="6">
        <v>0.99997999999999998</v>
      </c>
      <c r="E978" s="6">
        <v>57620.3</v>
      </c>
      <c r="F978" s="6">
        <v>57661.599999999999</v>
      </c>
      <c r="G978" s="6">
        <v>57631.5</v>
      </c>
      <c r="H978" s="6">
        <v>57643.48</v>
      </c>
      <c r="I978" s="5">
        <v>45545</v>
      </c>
      <c r="J978" s="7">
        <f t="shared" si="92"/>
        <v>-4.0212700551736798E-4</v>
      </c>
      <c r="K978" s="5">
        <v>45545</v>
      </c>
      <c r="L978" s="8">
        <f t="shared" si="93"/>
        <v>5.2228382048009414E-4</v>
      </c>
      <c r="M978" s="5">
        <v>45545</v>
      </c>
      <c r="N978" s="9">
        <f t="shared" si="90"/>
        <v>1.2015681496272616E-4</v>
      </c>
      <c r="O978" s="5">
        <v>45545</v>
      </c>
      <c r="P978">
        <f t="shared" si="91"/>
        <v>1.0002078724308754</v>
      </c>
      <c r="Q978" s="6">
        <f t="shared" si="94"/>
        <v>1.0000200004000079</v>
      </c>
      <c r="R978">
        <f t="shared" si="95"/>
        <v>1.8785062839271879E-4</v>
      </c>
      <c r="T978" s="5">
        <v>45545</v>
      </c>
      <c r="U978" s="1">
        <v>1.8785062839271879E-4</v>
      </c>
    </row>
    <row r="979" spans="3:21" x14ac:dyDescent="0.2">
      <c r="C979" s="5">
        <v>45546</v>
      </c>
      <c r="D979" s="6">
        <v>1.00013</v>
      </c>
      <c r="E979" s="6">
        <v>57310.400000000001</v>
      </c>
      <c r="F979" s="6">
        <v>57356.7</v>
      </c>
      <c r="G979" s="6">
        <v>57323.5</v>
      </c>
      <c r="H979" s="6">
        <v>57334.15</v>
      </c>
      <c r="I979" s="5">
        <v>45546</v>
      </c>
      <c r="J979" s="7">
        <f t="shared" si="92"/>
        <v>-4.1423828555930454E-4</v>
      </c>
      <c r="K979" s="5">
        <v>45546</v>
      </c>
      <c r="L979" s="8">
        <f t="shared" si="93"/>
        <v>5.7916910167727178E-4</v>
      </c>
      <c r="M979" s="5">
        <v>45546</v>
      </c>
      <c r="N979" s="9">
        <f t="shared" si="90"/>
        <v>1.6493081611796724E-4</v>
      </c>
      <c r="O979" s="5">
        <v>45546</v>
      </c>
      <c r="P979">
        <f t="shared" si="91"/>
        <v>1.0001857876787006</v>
      </c>
      <c r="Q979" s="6">
        <f t="shared" si="94"/>
        <v>0.9998700168978033</v>
      </c>
      <c r="R979">
        <f t="shared" si="95"/>
        <v>3.1576197303942504E-4</v>
      </c>
      <c r="T979" s="5">
        <v>45546</v>
      </c>
      <c r="U979" s="1">
        <v>3.1576197303942504E-4</v>
      </c>
    </row>
    <row r="980" spans="3:21" x14ac:dyDescent="0.2">
      <c r="C980" s="5">
        <v>45547</v>
      </c>
      <c r="D980" s="6">
        <v>1</v>
      </c>
      <c r="E980" s="6">
        <v>58104.800000000003</v>
      </c>
      <c r="F980" s="6">
        <v>58176.6</v>
      </c>
      <c r="G980" s="6">
        <v>58115.5</v>
      </c>
      <c r="H980" s="6">
        <v>58134.02</v>
      </c>
      <c r="I980" s="5">
        <v>45547</v>
      </c>
      <c r="J980" s="7">
        <f t="shared" si="92"/>
        <v>-5.0263167763030822E-4</v>
      </c>
      <c r="K980" s="5">
        <v>45547</v>
      </c>
      <c r="L980" s="8">
        <f t="shared" si="93"/>
        <v>1.0513546300040186E-3</v>
      </c>
      <c r="M980" s="5">
        <v>45547</v>
      </c>
      <c r="N980" s="9">
        <f t="shared" si="90"/>
        <v>5.4872295237371035E-4</v>
      </c>
      <c r="O980" s="5">
        <v>45547</v>
      </c>
      <c r="P980">
        <f t="shared" si="91"/>
        <v>1.0003186757405509</v>
      </c>
      <c r="Q980" s="6">
        <f t="shared" si="94"/>
        <v>1</v>
      </c>
      <c r="R980">
        <f t="shared" si="95"/>
        <v>3.186249742221263E-4</v>
      </c>
      <c r="T980" s="5">
        <v>45547</v>
      </c>
      <c r="U980" s="1">
        <v>3.186249742221263E-4</v>
      </c>
    </row>
    <row r="981" spans="3:21" x14ac:dyDescent="0.2">
      <c r="C981" s="5">
        <v>45548</v>
      </c>
      <c r="D981" s="6">
        <v>1.00068</v>
      </c>
      <c r="E981" s="6">
        <v>60466.3</v>
      </c>
      <c r="F981" s="6">
        <v>60479.92</v>
      </c>
      <c r="G981" s="6">
        <v>60524.5</v>
      </c>
      <c r="H981" s="6">
        <v>60486.46</v>
      </c>
      <c r="I981" s="5">
        <v>45548</v>
      </c>
      <c r="J981" s="7">
        <f t="shared" si="92"/>
        <v>-3.3329773307937377E-4</v>
      </c>
      <c r="K981" s="5">
        <v>45548</v>
      </c>
      <c r="L981" s="8">
        <f t="shared" si="93"/>
        <v>-7.3656122727162963E-4</v>
      </c>
      <c r="M981" s="5">
        <v>45548</v>
      </c>
      <c r="N981" s="9">
        <f t="shared" si="90"/>
        <v>-1.0698589603510035E-3</v>
      </c>
      <c r="O981" s="5">
        <v>45548</v>
      </c>
      <c r="P981">
        <f t="shared" si="91"/>
        <v>0.99937149418830384</v>
      </c>
      <c r="Q981" s="6">
        <f t="shared" si="94"/>
        <v>0.99932046208578162</v>
      </c>
      <c r="R981">
        <f t="shared" si="95"/>
        <v>5.106550048698733E-5</v>
      </c>
      <c r="T981" s="5">
        <v>45548</v>
      </c>
      <c r="U981" s="1">
        <v>5.106550048698733E-5</v>
      </c>
    </row>
    <row r="982" spans="3:21" x14ac:dyDescent="0.2">
      <c r="C982" s="5">
        <v>45549</v>
      </c>
      <c r="D982" s="6">
        <v>1.00027</v>
      </c>
      <c r="E982" s="6">
        <v>59968</v>
      </c>
      <c r="F982" s="6">
        <v>59949.86</v>
      </c>
      <c r="G982" s="6">
        <v>59992</v>
      </c>
      <c r="H982" s="6">
        <v>59993.99</v>
      </c>
      <c r="I982" s="5">
        <v>45549</v>
      </c>
      <c r="J982" s="7">
        <f t="shared" si="92"/>
        <v>-4.3321005987429683E-4</v>
      </c>
      <c r="K982" s="5">
        <v>45549</v>
      </c>
      <c r="L982" s="8">
        <f t="shared" si="93"/>
        <v>-7.02426990265359E-4</v>
      </c>
      <c r="M982" s="5">
        <v>45549</v>
      </c>
      <c r="N982" s="9">
        <f t="shared" si="90"/>
        <v>-1.1356370501396558E-3</v>
      </c>
      <c r="O982" s="5">
        <v>45549</v>
      </c>
      <c r="P982">
        <f t="shared" si="91"/>
        <v>1.0000331710894788</v>
      </c>
      <c r="Q982" s="6">
        <f t="shared" si="94"/>
        <v>0.99973007288032234</v>
      </c>
      <c r="R982">
        <f t="shared" si="95"/>
        <v>3.031340958900692E-4</v>
      </c>
      <c r="T982" s="5">
        <v>45549</v>
      </c>
      <c r="U982" s="1">
        <v>3.031340958900692E-4</v>
      </c>
    </row>
    <row r="983" spans="3:21" x14ac:dyDescent="0.2">
      <c r="C983" s="5">
        <v>45550</v>
      </c>
      <c r="D983" s="6">
        <v>0.99994000000000005</v>
      </c>
      <c r="E983" s="6">
        <v>59101.2</v>
      </c>
      <c r="F983" s="6">
        <v>59165.02</v>
      </c>
      <c r="G983" s="6">
        <v>59108.5</v>
      </c>
      <c r="H983" s="6">
        <v>59125.26</v>
      </c>
      <c r="I983" s="5">
        <v>45550</v>
      </c>
      <c r="J983" s="7">
        <f t="shared" si="92"/>
        <v>-4.0693267141666601E-4</v>
      </c>
      <c r="K983" s="5">
        <v>45550</v>
      </c>
      <c r="L983" s="8">
        <f t="shared" si="93"/>
        <v>9.5620765202968777E-4</v>
      </c>
      <c r="M983" s="5">
        <v>45550</v>
      </c>
      <c r="N983" s="9">
        <f t="shared" si="90"/>
        <v>5.4927498061302176E-4</v>
      </c>
      <c r="O983" s="5">
        <v>45550</v>
      </c>
      <c r="P983">
        <f t="shared" si="91"/>
        <v>1.0002835463596607</v>
      </c>
      <c r="Q983" s="6">
        <f t="shared" si="94"/>
        <v>1.0000600036002159</v>
      </c>
      <c r="R983">
        <f t="shared" si="95"/>
        <v>2.2350436791712975E-4</v>
      </c>
      <c r="T983" s="5">
        <v>45550</v>
      </c>
      <c r="U983" s="1">
        <v>2.2350436791712975E-4</v>
      </c>
    </row>
    <row r="984" spans="3:21" x14ac:dyDescent="0.2">
      <c r="C984" s="5">
        <v>45551</v>
      </c>
      <c r="D984" s="6">
        <v>0.99990999999999997</v>
      </c>
      <c r="E984" s="6">
        <v>58185</v>
      </c>
      <c r="F984" s="6">
        <v>58163.23</v>
      </c>
      <c r="G984" s="6">
        <v>58185.5</v>
      </c>
      <c r="H984" s="6">
        <v>58211.040000000001</v>
      </c>
      <c r="I984" s="5">
        <v>45551</v>
      </c>
      <c r="J984" s="7">
        <f t="shared" si="92"/>
        <v>-4.4733782457762088E-4</v>
      </c>
      <c r="K984" s="5">
        <v>45551</v>
      </c>
      <c r="L984" s="8">
        <f t="shared" si="93"/>
        <v>-3.8274140464543226E-4</v>
      </c>
      <c r="M984" s="5">
        <v>45551</v>
      </c>
      <c r="N984" s="9">
        <f t="shared" si="90"/>
        <v>-8.3007922922305314E-4</v>
      </c>
      <c r="O984" s="5">
        <v>45551</v>
      </c>
      <c r="P984">
        <f t="shared" si="91"/>
        <v>1.0004389409732666</v>
      </c>
      <c r="Q984" s="6">
        <f t="shared" si="94"/>
        <v>1.0000900081007291</v>
      </c>
      <c r="R984">
        <f t="shared" si="95"/>
        <v>3.4884061661533708E-4</v>
      </c>
      <c r="T984" s="5">
        <v>45551</v>
      </c>
      <c r="U984" s="1">
        <v>3.4884061661533708E-4</v>
      </c>
    </row>
    <row r="985" spans="3:21" x14ac:dyDescent="0.2">
      <c r="C985" s="5">
        <v>45552</v>
      </c>
      <c r="D985" s="6">
        <v>1.0000899999999999</v>
      </c>
      <c r="E985" s="6">
        <v>60275.1</v>
      </c>
      <c r="F985" s="6">
        <v>60318.68</v>
      </c>
      <c r="G985" s="6">
        <v>60301.5</v>
      </c>
      <c r="H985" s="6">
        <v>60311.99</v>
      </c>
      <c r="I985" s="5">
        <v>45552</v>
      </c>
      <c r="J985" s="7">
        <f t="shared" si="92"/>
        <v>-6.1165284050483854E-4</v>
      </c>
      <c r="K985" s="5">
        <v>45552</v>
      </c>
      <c r="L985" s="8">
        <f t="shared" si="93"/>
        <v>2.8490170227938428E-4</v>
      </c>
      <c r="M985" s="5">
        <v>45552</v>
      </c>
      <c r="N985" s="9">
        <f t="shared" si="90"/>
        <v>-3.2675113822545427E-4</v>
      </c>
      <c r="O985" s="5">
        <v>45552</v>
      </c>
      <c r="P985">
        <f t="shared" si="91"/>
        <v>1.0001739591884116</v>
      </c>
      <c r="Q985" s="6">
        <f t="shared" si="94"/>
        <v>0.99991000809927111</v>
      </c>
      <c r="R985">
        <f t="shared" si="95"/>
        <v>2.6394000950934448E-4</v>
      </c>
      <c r="T985" s="5">
        <v>45552</v>
      </c>
      <c r="U985" s="1">
        <v>2.6394000950934448E-4</v>
      </c>
    </row>
    <row r="986" spans="3:21" x14ac:dyDescent="0.2">
      <c r="C986" s="5">
        <v>45553</v>
      </c>
      <c r="D986" s="6">
        <v>1.0000199999999999</v>
      </c>
      <c r="E986" s="6">
        <v>61743.7</v>
      </c>
      <c r="F986" s="6">
        <v>61772.59</v>
      </c>
      <c r="G986" s="6">
        <v>61749.5</v>
      </c>
      <c r="H986" s="6">
        <v>61771.74</v>
      </c>
      <c r="I986" s="5">
        <v>45553</v>
      </c>
      <c r="J986" s="7">
        <f t="shared" si="92"/>
        <v>-4.5392925632337496E-4</v>
      </c>
      <c r="K986" s="5">
        <v>45553</v>
      </c>
      <c r="L986" s="8">
        <f t="shared" si="93"/>
        <v>3.7393015328053683E-4</v>
      </c>
      <c r="M986" s="5">
        <v>45553</v>
      </c>
      <c r="N986" s="9">
        <f t="shared" si="90"/>
        <v>-7.9999103042838128E-5</v>
      </c>
      <c r="O986" s="5">
        <v>45553</v>
      </c>
      <c r="P986">
        <f t="shared" si="91"/>
        <v>1.0003601648596345</v>
      </c>
      <c r="Q986" s="6">
        <f t="shared" si="94"/>
        <v>0.99998000039999213</v>
      </c>
      <c r="R986">
        <f t="shared" si="95"/>
        <v>3.800998158430916E-4</v>
      </c>
      <c r="T986" s="5">
        <v>45553</v>
      </c>
      <c r="U986" s="1">
        <v>3.800998158430916E-4</v>
      </c>
    </row>
    <row r="987" spans="3:21" x14ac:dyDescent="0.2">
      <c r="C987" s="5">
        <v>45554</v>
      </c>
      <c r="D987" s="6">
        <v>1.0001800000000001</v>
      </c>
      <c r="E987" s="6">
        <v>62922.8</v>
      </c>
      <c r="F987" s="6">
        <v>62911.74</v>
      </c>
      <c r="G987" s="6">
        <v>62954.5</v>
      </c>
      <c r="H987" s="6">
        <v>62950.21</v>
      </c>
      <c r="I987" s="5">
        <v>45554</v>
      </c>
      <c r="J987" s="7">
        <f t="shared" si="92"/>
        <v>-4.3542348786439661E-4</v>
      </c>
      <c r="K987" s="5">
        <v>45554</v>
      </c>
      <c r="L987" s="8">
        <f t="shared" si="93"/>
        <v>-6.7922070701859343E-4</v>
      </c>
      <c r="M987" s="5">
        <v>45554</v>
      </c>
      <c r="N987" s="9">
        <f t="shared" si="90"/>
        <v>-1.1146441948829901E-3</v>
      </c>
      <c r="O987" s="5">
        <v>45554</v>
      </c>
      <c r="P987">
        <f t="shared" si="91"/>
        <v>0.99993185554646613</v>
      </c>
      <c r="Q987" s="6">
        <f t="shared" si="94"/>
        <v>0.99982003239416894</v>
      </c>
      <c r="R987">
        <f t="shared" si="95"/>
        <v>1.1183702647115538E-4</v>
      </c>
      <c r="T987" s="5">
        <v>45554</v>
      </c>
      <c r="U987" s="1">
        <v>1.1183702647115538E-4</v>
      </c>
    </row>
    <row r="988" spans="3:21" x14ac:dyDescent="0.2">
      <c r="C988" s="5">
        <v>45555</v>
      </c>
      <c r="D988" s="6">
        <v>1.0001</v>
      </c>
      <c r="E988" s="6">
        <v>63173.8</v>
      </c>
      <c r="F988" s="6">
        <v>63229.3</v>
      </c>
      <c r="G988" s="6">
        <v>63214</v>
      </c>
      <c r="H988" s="6">
        <v>63201.84</v>
      </c>
      <c r="I988" s="5">
        <v>45555</v>
      </c>
      <c r="J988" s="7">
        <f t="shared" si="92"/>
        <v>-4.4365796945142102E-4</v>
      </c>
      <c r="K988" s="5">
        <v>45555</v>
      </c>
      <c r="L988" s="8">
        <f t="shared" si="93"/>
        <v>2.4203499224859857E-4</v>
      </c>
      <c r="M988" s="5">
        <v>45555</v>
      </c>
      <c r="N988" s="9">
        <f t="shared" si="90"/>
        <v>-2.0162297720282245E-4</v>
      </c>
      <c r="O988" s="5">
        <v>45555</v>
      </c>
      <c r="P988">
        <f t="shared" si="91"/>
        <v>0.99980763754864421</v>
      </c>
      <c r="Q988" s="6">
        <f t="shared" si="94"/>
        <v>0.99990000999900008</v>
      </c>
      <c r="R988">
        <f t="shared" si="95"/>
        <v>-9.2385955051877796E-5</v>
      </c>
      <c r="T988" s="5">
        <v>45555</v>
      </c>
      <c r="U988" s="1">
        <v>-9.2385955051877796E-5</v>
      </c>
    </row>
    <row r="989" spans="3:21" x14ac:dyDescent="0.2">
      <c r="C989" s="5">
        <v>45556</v>
      </c>
      <c r="D989" s="6">
        <v>1.0001199999999999</v>
      </c>
      <c r="E989" s="6">
        <v>63311.5</v>
      </c>
      <c r="F989" s="6">
        <v>63384.24</v>
      </c>
      <c r="G989" s="6">
        <v>63336.5</v>
      </c>
      <c r="H989" s="6">
        <v>63347.97</v>
      </c>
      <c r="I989" s="5">
        <v>45556</v>
      </c>
      <c r="J989" s="7">
        <f t="shared" si="92"/>
        <v>-5.7570905587031693E-4</v>
      </c>
      <c r="K989" s="5">
        <v>45556</v>
      </c>
      <c r="L989" s="8">
        <f t="shared" si="93"/>
        <v>7.5375178609487364E-4</v>
      </c>
      <c r="M989" s="5">
        <v>45556</v>
      </c>
      <c r="N989" s="9">
        <f t="shared" si="90"/>
        <v>1.7804273022455671E-4</v>
      </c>
      <c r="O989" s="5">
        <v>45556</v>
      </c>
      <c r="P989">
        <f t="shared" si="91"/>
        <v>1.0001810962083475</v>
      </c>
      <c r="Q989" s="6">
        <f t="shared" si="94"/>
        <v>0.99988001439827234</v>
      </c>
      <c r="R989">
        <f t="shared" si="95"/>
        <v>3.0107261298447616E-4</v>
      </c>
      <c r="T989" s="5">
        <v>45556</v>
      </c>
      <c r="U989" s="1">
        <v>3.0107261298447616E-4</v>
      </c>
    </row>
    <row r="990" spans="3:21" x14ac:dyDescent="0.2">
      <c r="C990" s="5">
        <v>45557</v>
      </c>
      <c r="D990" s="6">
        <v>1.0000100000000001</v>
      </c>
      <c r="E990" s="6">
        <v>63549.9</v>
      </c>
      <c r="F990" s="6">
        <v>63586.38</v>
      </c>
      <c r="G990" s="6">
        <v>63554</v>
      </c>
      <c r="H990" s="6">
        <v>63581.2</v>
      </c>
      <c r="I990" s="5">
        <v>45557</v>
      </c>
      <c r="J990" s="7">
        <f t="shared" si="92"/>
        <v>-4.9228388265706901E-4</v>
      </c>
      <c r="K990" s="5">
        <v>45557</v>
      </c>
      <c r="L990" s="8">
        <f t="shared" si="93"/>
        <v>5.0948799446136166E-4</v>
      </c>
      <c r="M990" s="5">
        <v>45557</v>
      </c>
      <c r="N990" s="9">
        <f t="shared" si="90"/>
        <v>1.7204111804292651E-5</v>
      </c>
      <c r="O990" s="5">
        <v>45557</v>
      </c>
      <c r="P990">
        <f t="shared" si="91"/>
        <v>1.0004279825030682</v>
      </c>
      <c r="Q990" s="6">
        <f t="shared" si="94"/>
        <v>0.99999000009999894</v>
      </c>
      <c r="R990">
        <f t="shared" si="95"/>
        <v>4.378908946796932E-4</v>
      </c>
      <c r="T990" s="5">
        <v>45557</v>
      </c>
      <c r="U990" s="1">
        <v>4.378908946796932E-4</v>
      </c>
    </row>
    <row r="991" spans="3:21" x14ac:dyDescent="0.2">
      <c r="C991" s="5">
        <v>45558</v>
      </c>
      <c r="D991" s="6">
        <v>0.99983999999999995</v>
      </c>
      <c r="E991" s="6">
        <v>63305.9</v>
      </c>
      <c r="F991" s="6">
        <v>63348.31</v>
      </c>
      <c r="G991" s="6">
        <v>63305.5</v>
      </c>
      <c r="H991" s="6">
        <v>63336.66</v>
      </c>
      <c r="I991" s="5">
        <v>45558</v>
      </c>
      <c r="J991" s="7">
        <f t="shared" si="92"/>
        <v>-4.8565870066407096E-4</v>
      </c>
      <c r="K991" s="5">
        <v>45558</v>
      </c>
      <c r="L991" s="8">
        <f t="shared" si="93"/>
        <v>6.7624456010927439E-4</v>
      </c>
      <c r="M991" s="5">
        <v>45558</v>
      </c>
      <c r="N991" s="9">
        <f t="shared" si="90"/>
        <v>1.9058585944520343E-4</v>
      </c>
      <c r="O991" s="5">
        <v>45558</v>
      </c>
      <c r="P991">
        <f t="shared" si="91"/>
        <v>1.0004922163161178</v>
      </c>
      <c r="Q991" s="6">
        <f t="shared" si="94"/>
        <v>1.0001600256040968</v>
      </c>
      <c r="R991">
        <f t="shared" si="95"/>
        <v>3.3208241603744124E-4</v>
      </c>
      <c r="T991" s="5">
        <v>45558</v>
      </c>
      <c r="U991" s="1">
        <v>3.3208241603744124E-4</v>
      </c>
    </row>
    <row r="992" spans="3:21" x14ac:dyDescent="0.2">
      <c r="C992" s="5">
        <v>45559</v>
      </c>
      <c r="D992" s="6">
        <v>1.00004</v>
      </c>
      <c r="E992" s="6">
        <v>64248.6</v>
      </c>
      <c r="F992" s="6">
        <v>64275.18</v>
      </c>
      <c r="G992" s="6">
        <v>64253.5</v>
      </c>
      <c r="H992" s="6">
        <v>64274.89</v>
      </c>
      <c r="I992" s="5">
        <v>45559</v>
      </c>
      <c r="J992" s="7">
        <f t="shared" si="92"/>
        <v>-4.0902442617950609E-4</v>
      </c>
      <c r="K992" s="5">
        <v>45559</v>
      </c>
      <c r="L992" s="8">
        <f t="shared" si="93"/>
        <v>3.3741352611142261E-4</v>
      </c>
      <c r="M992" s="5">
        <v>45559</v>
      </c>
      <c r="N992" s="9">
        <f t="shared" si="90"/>
        <v>-7.1610900068083488E-5</v>
      </c>
      <c r="O992" s="5">
        <v>45559</v>
      </c>
      <c r="P992">
        <f t="shared" si="91"/>
        <v>1.0003329001532992</v>
      </c>
      <c r="Q992" s="6">
        <f t="shared" si="94"/>
        <v>0.99996000159993592</v>
      </c>
      <c r="R992">
        <f t="shared" si="95"/>
        <v>3.7284395435905531E-4</v>
      </c>
      <c r="T992" s="5">
        <v>45559</v>
      </c>
      <c r="U992" s="1">
        <v>3.7284395435905531E-4</v>
      </c>
    </row>
    <row r="993" spans="3:21" x14ac:dyDescent="0.2">
      <c r="C993" s="5">
        <v>45560</v>
      </c>
      <c r="D993" s="6">
        <v>0.99973999999999996</v>
      </c>
      <c r="E993" s="6">
        <v>63130.1</v>
      </c>
      <c r="F993" s="6">
        <v>63167.49</v>
      </c>
      <c r="G993" s="6">
        <v>63114</v>
      </c>
      <c r="H993" s="6">
        <v>63150.7</v>
      </c>
      <c r="I993" s="5">
        <v>45560</v>
      </c>
      <c r="J993" s="7">
        <f t="shared" si="92"/>
        <v>-3.262038267192374E-4</v>
      </c>
      <c r="K993" s="5">
        <v>45560</v>
      </c>
      <c r="L993" s="8">
        <f t="shared" si="93"/>
        <v>8.4751402224542832E-4</v>
      </c>
      <c r="M993" s="5">
        <v>45560</v>
      </c>
      <c r="N993" s="9">
        <f t="shared" si="90"/>
        <v>5.2131019552619092E-4</v>
      </c>
      <c r="O993" s="5">
        <v>45560</v>
      </c>
      <c r="P993">
        <f t="shared" si="91"/>
        <v>1.0005814874671231</v>
      </c>
      <c r="Q993" s="6">
        <f t="shared" si="94"/>
        <v>1.0002600676175806</v>
      </c>
      <c r="R993">
        <f t="shared" si="95"/>
        <v>3.2128466293642111E-4</v>
      </c>
      <c r="T993" s="5">
        <v>45560</v>
      </c>
      <c r="U993" s="1">
        <v>3.2128466293642111E-4</v>
      </c>
    </row>
    <row r="994" spans="3:21" x14ac:dyDescent="0.2">
      <c r="C994" s="5">
        <v>45561</v>
      </c>
      <c r="D994" s="6">
        <v>1.0001800000000001</v>
      </c>
      <c r="E994" s="6">
        <v>65145.8</v>
      </c>
      <c r="F994" s="6">
        <v>65186.86</v>
      </c>
      <c r="G994" s="6">
        <v>65166</v>
      </c>
      <c r="H994" s="6">
        <v>65172.72</v>
      </c>
      <c r="I994" s="5">
        <v>45561</v>
      </c>
      <c r="J994" s="7">
        <f t="shared" si="92"/>
        <v>-4.130562603493955E-4</v>
      </c>
      <c r="K994" s="5">
        <v>45561</v>
      </c>
      <c r="L994" s="8">
        <f t="shared" si="93"/>
        <v>3.2010557652764604E-4</v>
      </c>
      <c r="M994" s="5">
        <v>45561</v>
      </c>
      <c r="N994" s="9">
        <f t="shared" si="90"/>
        <v>-9.2950683821749452E-5</v>
      </c>
      <c r="O994" s="5">
        <v>45561</v>
      </c>
      <c r="P994">
        <f t="shared" si="91"/>
        <v>1.0001031212595526</v>
      </c>
      <c r="Q994" s="6">
        <f t="shared" si="94"/>
        <v>0.99982003239416894</v>
      </c>
      <c r="R994">
        <f t="shared" si="95"/>
        <v>2.8309974486483104E-4</v>
      </c>
      <c r="T994" s="5">
        <v>45561</v>
      </c>
      <c r="U994" s="1">
        <v>2.8309974486483104E-4</v>
      </c>
    </row>
    <row r="995" spans="3:21" x14ac:dyDescent="0.2">
      <c r="C995" s="5">
        <v>45562</v>
      </c>
      <c r="D995" s="6">
        <v>1.00017</v>
      </c>
      <c r="E995" s="6">
        <v>65746.5</v>
      </c>
      <c r="F995" s="6">
        <v>65805.3</v>
      </c>
      <c r="G995" s="6">
        <v>65760</v>
      </c>
      <c r="H995" s="6">
        <v>65779.839999999997</v>
      </c>
      <c r="I995" s="5">
        <v>45562</v>
      </c>
      <c r="J995" s="7">
        <f t="shared" si="92"/>
        <v>-5.0684221791960139E-4</v>
      </c>
      <c r="K995" s="5">
        <v>45562</v>
      </c>
      <c r="L995" s="8">
        <f t="shared" si="93"/>
        <v>6.8886861313873036E-4</v>
      </c>
      <c r="M995" s="5">
        <v>45562</v>
      </c>
      <c r="N995" s="9">
        <f t="shared" si="90"/>
        <v>1.8202639521912897E-4</v>
      </c>
      <c r="O995" s="5">
        <v>45562</v>
      </c>
      <c r="P995">
        <f t="shared" si="91"/>
        <v>1.000301703163017</v>
      </c>
      <c r="Q995" s="6">
        <f t="shared" si="94"/>
        <v>0.99983002889508787</v>
      </c>
      <c r="R995">
        <f t="shared" si="95"/>
        <v>4.7164321140730578E-4</v>
      </c>
      <c r="T995" s="5">
        <v>45562</v>
      </c>
      <c r="U995" s="1">
        <v>4.7164321140730578E-4</v>
      </c>
    </row>
    <row r="996" spans="3:21" x14ac:dyDescent="0.2">
      <c r="C996" s="5">
        <v>45563</v>
      </c>
      <c r="D996" s="6">
        <v>1.0001599999999999</v>
      </c>
      <c r="E996" s="6">
        <v>65823</v>
      </c>
      <c r="F996" s="6">
        <v>65886.27</v>
      </c>
      <c r="G996" s="6">
        <v>65846</v>
      </c>
      <c r="H996" s="6">
        <v>65850.14</v>
      </c>
      <c r="I996" s="5">
        <v>45563</v>
      </c>
      <c r="J996" s="7">
        <f t="shared" si="92"/>
        <v>-4.1214794683806924E-4</v>
      </c>
      <c r="K996" s="5">
        <v>45563</v>
      </c>
      <c r="L996" s="8">
        <f t="shared" si="93"/>
        <v>6.1157853172560332E-4</v>
      </c>
      <c r="M996" s="5">
        <v>45563</v>
      </c>
      <c r="N996" s="9">
        <f t="shared" si="90"/>
        <v>1.9943058488753408E-4</v>
      </c>
      <c r="O996" s="5">
        <v>45563</v>
      </c>
      <c r="P996">
        <f t="shared" si="91"/>
        <v>1.0000628739786774</v>
      </c>
      <c r="Q996" s="6">
        <f t="shared" si="94"/>
        <v>0.99984002559590468</v>
      </c>
      <c r="R996">
        <f t="shared" si="95"/>
        <v>2.2285920355672275E-4</v>
      </c>
      <c r="T996" s="5">
        <v>45563</v>
      </c>
      <c r="U996" s="1">
        <v>2.2285920355672275E-4</v>
      </c>
    </row>
    <row r="997" spans="3:21" x14ac:dyDescent="0.2">
      <c r="C997" s="5">
        <v>45564</v>
      </c>
      <c r="D997" s="6">
        <v>1.00017</v>
      </c>
      <c r="E997" s="6">
        <v>65571.7</v>
      </c>
      <c r="F997" s="6">
        <v>65634.64</v>
      </c>
      <c r="G997" s="6">
        <v>65592</v>
      </c>
      <c r="H997" s="6">
        <v>65601.78</v>
      </c>
      <c r="I997" s="5">
        <v>45564</v>
      </c>
      <c r="J997" s="7">
        <f t="shared" si="92"/>
        <v>-4.5852414370466392E-4</v>
      </c>
      <c r="K997" s="5">
        <v>45564</v>
      </c>
      <c r="L997" s="8">
        <f t="shared" si="93"/>
        <v>6.5007927796071805E-4</v>
      </c>
      <c r="M997" s="5">
        <v>45564</v>
      </c>
      <c r="N997" s="9">
        <f t="shared" si="90"/>
        <v>1.9155513425605413E-4</v>
      </c>
      <c r="O997" s="5">
        <v>45564</v>
      </c>
      <c r="P997">
        <f t="shared" si="91"/>
        <v>1.0001491035492134</v>
      </c>
      <c r="Q997" s="6">
        <f t="shared" si="94"/>
        <v>0.99983002889508787</v>
      </c>
      <c r="R997">
        <f t="shared" si="95"/>
        <v>3.1907798602145808E-4</v>
      </c>
      <c r="T997" s="5">
        <v>45564</v>
      </c>
      <c r="U997" s="1">
        <v>3.1907798602145808E-4</v>
      </c>
    </row>
    <row r="998" spans="3:21" x14ac:dyDescent="0.2">
      <c r="C998" s="5">
        <v>45565</v>
      </c>
      <c r="D998" s="6">
        <v>0.99973000000000001</v>
      </c>
      <c r="E998" s="6">
        <v>63276.800000000003</v>
      </c>
      <c r="F998" s="6">
        <v>63367.75</v>
      </c>
      <c r="G998" s="6">
        <v>63281.5</v>
      </c>
      <c r="H998" s="6">
        <v>63309.05</v>
      </c>
      <c r="I998" s="5">
        <v>45565</v>
      </c>
      <c r="J998" s="7">
        <f t="shared" si="92"/>
        <v>-5.0940584324042138E-4</v>
      </c>
      <c r="K998" s="5">
        <v>45565</v>
      </c>
      <c r="L998" s="8">
        <f t="shared" si="93"/>
        <v>1.3629575784391962E-3</v>
      </c>
      <c r="M998" s="5">
        <v>45565</v>
      </c>
      <c r="N998" s="9">
        <f t="shared" si="90"/>
        <v>8.5355173519877483E-4</v>
      </c>
      <c r="O998" s="5">
        <v>45565</v>
      </c>
      <c r="P998">
        <f t="shared" si="91"/>
        <v>1.0004353563047652</v>
      </c>
      <c r="Q998" s="6">
        <f t="shared" si="94"/>
        <v>1.0002700729196883</v>
      </c>
      <c r="R998">
        <f t="shared" si="95"/>
        <v>1.6522510814292372E-4</v>
      </c>
      <c r="T998" s="5">
        <v>45565</v>
      </c>
      <c r="U998" s="1">
        <v>1.6522510814292372E-4</v>
      </c>
    </row>
    <row r="999" spans="3:21" x14ac:dyDescent="0.2">
      <c r="C999" s="5">
        <v>45566</v>
      </c>
      <c r="D999" s="6">
        <v>0.99978</v>
      </c>
      <c r="E999" s="6">
        <v>60790</v>
      </c>
      <c r="F999" s="6">
        <v>60873.52</v>
      </c>
      <c r="G999" s="6">
        <v>60769</v>
      </c>
      <c r="H999" s="6">
        <v>60812.41</v>
      </c>
      <c r="I999" s="5">
        <v>45566</v>
      </c>
      <c r="J999" s="7">
        <f t="shared" si="92"/>
        <v>-3.6851030899784257E-4</v>
      </c>
      <c r="K999" s="5">
        <v>45566</v>
      </c>
      <c r="L999" s="8">
        <f t="shared" si="93"/>
        <v>1.7199558985666508E-3</v>
      </c>
      <c r="M999" s="5">
        <v>45566</v>
      </c>
      <c r="N999" s="9">
        <f t="shared" si="90"/>
        <v>1.3514455895688082E-3</v>
      </c>
      <c r="O999" s="5">
        <v>45566</v>
      </c>
      <c r="P999">
        <f t="shared" si="91"/>
        <v>1.0007143444848525</v>
      </c>
      <c r="Q999" s="6">
        <f t="shared" si="94"/>
        <v>1.0002200484106503</v>
      </c>
      <c r="R999">
        <f t="shared" si="95"/>
        <v>4.9406525872334876E-4</v>
      </c>
      <c r="T999" s="5">
        <v>45566</v>
      </c>
      <c r="U999" s="1">
        <v>4.9406525872334876E-4</v>
      </c>
    </row>
    <row r="1000" spans="3:21" x14ac:dyDescent="0.2">
      <c r="C1000" s="5">
        <v>45567</v>
      </c>
      <c r="D1000" s="6">
        <v>0.99980999999999998</v>
      </c>
      <c r="E1000" s="6">
        <v>60617.5</v>
      </c>
      <c r="F1000" s="6">
        <v>60671.58</v>
      </c>
      <c r="G1000" s="6">
        <v>60609.5</v>
      </c>
      <c r="H1000" s="6">
        <v>60643.07</v>
      </c>
      <c r="I1000" s="5">
        <v>45567</v>
      </c>
      <c r="J1000" s="7">
        <f t="shared" si="92"/>
        <v>-4.2164751883438137E-4</v>
      </c>
      <c r="K1000" s="5">
        <v>45567</v>
      </c>
      <c r="L1000" s="8">
        <f t="shared" si="93"/>
        <v>1.0242618731387283E-3</v>
      </c>
      <c r="M1000" s="5">
        <v>45567</v>
      </c>
      <c r="N1000" s="9">
        <f t="shared" si="90"/>
        <v>6.0261435430434694E-4</v>
      </c>
      <c r="O1000" s="5">
        <v>45567</v>
      </c>
      <c r="P1000">
        <f t="shared" si="91"/>
        <v>1.0005538735676751</v>
      </c>
      <c r="Q1000" s="6">
        <f t="shared" si="94"/>
        <v>1.0001900361068603</v>
      </c>
      <c r="R1000">
        <f t="shared" si="95"/>
        <v>3.6370218403882377E-4</v>
      </c>
      <c r="T1000" s="5">
        <v>45567</v>
      </c>
      <c r="U1000" s="1">
        <v>3.6370218403882377E-4</v>
      </c>
    </row>
    <row r="1001" spans="3:21" x14ac:dyDescent="0.2">
      <c r="C1001" s="5">
        <v>45568</v>
      </c>
      <c r="D1001" s="6">
        <v>0.99977000000000005</v>
      </c>
      <c r="E1001" s="6">
        <v>60725.9</v>
      </c>
      <c r="F1001" s="6">
        <v>60802.82</v>
      </c>
      <c r="G1001" s="6">
        <v>60722</v>
      </c>
      <c r="H1001" s="6">
        <v>60756.13</v>
      </c>
      <c r="I1001" s="5">
        <v>45568</v>
      </c>
      <c r="J1001" s="7">
        <f t="shared" si="92"/>
        <v>-4.9756296195949156E-4</v>
      </c>
      <c r="K1001" s="5">
        <v>45568</v>
      </c>
      <c r="L1001" s="8">
        <f t="shared" si="93"/>
        <v>1.3309838279371513E-3</v>
      </c>
      <c r="M1001" s="5">
        <v>45568</v>
      </c>
      <c r="N1001" s="9">
        <f t="shared" si="90"/>
        <v>8.3342086597765978E-4</v>
      </c>
      <c r="O1001" s="5">
        <v>45568</v>
      </c>
      <c r="P1001">
        <f t="shared" si="91"/>
        <v>1.000562069760548</v>
      </c>
      <c r="Q1001" s="6">
        <f t="shared" si="94"/>
        <v>1.0002300529121697</v>
      </c>
      <c r="R1001">
        <f t="shared" si="95"/>
        <v>3.3188540444892723E-4</v>
      </c>
      <c r="T1001" s="5">
        <v>45568</v>
      </c>
      <c r="U1001" s="1">
        <v>3.3188540444892723E-4</v>
      </c>
    </row>
    <row r="1002" spans="3:21" x14ac:dyDescent="0.2">
      <c r="C1002" s="5">
        <v>45569</v>
      </c>
      <c r="D1002" s="6">
        <v>1.0000199999999999</v>
      </c>
      <c r="E1002" s="6">
        <v>62063.9</v>
      </c>
      <c r="F1002" s="6">
        <v>62104.71</v>
      </c>
      <c r="G1002" s="6">
        <v>62064</v>
      </c>
      <c r="H1002" s="6">
        <v>62090.14</v>
      </c>
      <c r="I1002" s="5">
        <v>45569</v>
      </c>
      <c r="J1002" s="7">
        <f t="shared" si="92"/>
        <v>-4.2261138402970201E-4</v>
      </c>
      <c r="K1002" s="5">
        <v>45569</v>
      </c>
      <c r="L1002" s="8">
        <f t="shared" si="93"/>
        <v>6.5593580819797508E-4</v>
      </c>
      <c r="M1002" s="5">
        <v>45569</v>
      </c>
      <c r="N1002" s="9">
        <f t="shared" si="90"/>
        <v>2.3332442416827307E-4</v>
      </c>
      <c r="O1002" s="5">
        <v>45569</v>
      </c>
      <c r="P1002">
        <f t="shared" si="91"/>
        <v>1.0004211781386956</v>
      </c>
      <c r="Q1002" s="6">
        <f t="shared" si="94"/>
        <v>0.99998000039999213</v>
      </c>
      <c r="R1002">
        <f t="shared" si="95"/>
        <v>4.4108926808240044E-4</v>
      </c>
      <c r="T1002" s="5">
        <v>45569</v>
      </c>
      <c r="U1002" s="1">
        <v>4.4108926808240044E-4</v>
      </c>
    </row>
    <row r="1003" spans="3:21" x14ac:dyDescent="0.2">
      <c r="C1003" s="5">
        <v>45570</v>
      </c>
      <c r="D1003" s="6">
        <v>0.99997000000000003</v>
      </c>
      <c r="E1003" s="6">
        <v>62035</v>
      </c>
      <c r="F1003" s="6">
        <v>62072.1</v>
      </c>
      <c r="G1003" s="6">
        <v>62025.5</v>
      </c>
      <c r="H1003" s="6">
        <v>62059.37</v>
      </c>
      <c r="I1003" s="5">
        <v>45570</v>
      </c>
      <c r="J1003" s="7">
        <f t="shared" si="92"/>
        <v>-3.9268848523603476E-4</v>
      </c>
      <c r="K1003" s="5">
        <v>45570</v>
      </c>
      <c r="L1003" s="8">
        <f t="shared" si="93"/>
        <v>7.5130389920272382E-4</v>
      </c>
      <c r="M1003" s="5">
        <v>45570</v>
      </c>
      <c r="N1003" s="9">
        <f t="shared" si="90"/>
        <v>3.5861541396668906E-4</v>
      </c>
      <c r="O1003" s="5">
        <v>45570</v>
      </c>
      <c r="P1003">
        <f t="shared" si="91"/>
        <v>1.0005460657310299</v>
      </c>
      <c r="Q1003" s="6">
        <f t="shared" si="94"/>
        <v>1.0000300009000269</v>
      </c>
      <c r="R1003">
        <f t="shared" si="95"/>
        <v>5.159162413842527E-4</v>
      </c>
      <c r="T1003" s="5">
        <v>45570</v>
      </c>
      <c r="U1003" s="1">
        <v>5.159162413842527E-4</v>
      </c>
    </row>
    <row r="1004" spans="3:21" x14ac:dyDescent="0.2">
      <c r="C1004" s="5">
        <v>45571</v>
      </c>
      <c r="D1004" s="6">
        <v>0.99985999999999997</v>
      </c>
      <c r="E1004" s="6">
        <v>62792.9</v>
      </c>
      <c r="F1004" s="6">
        <v>62813.2</v>
      </c>
      <c r="G1004" s="6">
        <v>62799</v>
      </c>
      <c r="H1004" s="6">
        <v>62824.800000000003</v>
      </c>
      <c r="I1004" s="5">
        <v>45571</v>
      </c>
      <c r="J1004" s="7">
        <f t="shared" si="92"/>
        <v>-5.0776126625156715E-4</v>
      </c>
      <c r="K1004" s="5">
        <v>45571</v>
      </c>
      <c r="L1004" s="8">
        <f t="shared" si="93"/>
        <v>2.2611825029056337E-4</v>
      </c>
      <c r="M1004" s="5">
        <v>45571</v>
      </c>
      <c r="N1004" s="9">
        <f t="shared" si="90"/>
        <v>-2.8164301596100377E-4</v>
      </c>
      <c r="O1004" s="5">
        <v>45571</v>
      </c>
      <c r="P1004">
        <f t="shared" si="91"/>
        <v>1.0004108345674294</v>
      </c>
      <c r="Q1004" s="6">
        <f t="shared" si="94"/>
        <v>1.0001400196027443</v>
      </c>
      <c r="R1004">
        <f t="shared" si="95"/>
        <v>2.7074039710099087E-4</v>
      </c>
      <c r="T1004" s="5">
        <v>45571</v>
      </c>
      <c r="U1004" s="1">
        <v>2.7074039710099087E-4</v>
      </c>
    </row>
    <row r="1005" spans="3:21" x14ac:dyDescent="0.2">
      <c r="C1005" s="5">
        <v>45572</v>
      </c>
      <c r="D1005" s="6">
        <v>0.99975000000000003</v>
      </c>
      <c r="E1005" s="6">
        <v>62191.199999999997</v>
      </c>
      <c r="F1005" s="6">
        <v>62253.51</v>
      </c>
      <c r="G1005" s="6">
        <v>62171.5</v>
      </c>
      <c r="H1005" s="6">
        <v>62218.75</v>
      </c>
      <c r="I1005" s="5">
        <v>45572</v>
      </c>
      <c r="J1005" s="7">
        <f t="shared" si="92"/>
        <v>-4.4279256654951939E-4</v>
      </c>
      <c r="K1005" s="5">
        <v>45572</v>
      </c>
      <c r="L1005" s="8">
        <f t="shared" si="93"/>
        <v>1.3190931536154354E-3</v>
      </c>
      <c r="M1005" s="5">
        <v>45572</v>
      </c>
      <c r="N1005" s="9">
        <f t="shared" si="90"/>
        <v>8.7630058706591606E-4</v>
      </c>
      <c r="O1005" s="5">
        <v>45572</v>
      </c>
      <c r="P1005">
        <f t="shared" si="91"/>
        <v>1.0007599945312562</v>
      </c>
      <c r="Q1005" s="6">
        <f t="shared" si="94"/>
        <v>1.000250062515629</v>
      </c>
      <c r="R1005">
        <f t="shared" si="95"/>
        <v>5.0967462644183796E-4</v>
      </c>
      <c r="T1005" s="5">
        <v>45572</v>
      </c>
      <c r="U1005" s="1">
        <v>5.0967462644183796E-4</v>
      </c>
    </row>
    <row r="1006" spans="3:21" x14ac:dyDescent="0.2">
      <c r="C1006" s="5">
        <v>45573</v>
      </c>
      <c r="D1006" s="6">
        <v>0.99944999999999995</v>
      </c>
      <c r="E1006" s="6">
        <v>62120.7</v>
      </c>
      <c r="F1006" s="6">
        <v>62177.13</v>
      </c>
      <c r="G1006" s="6">
        <v>62095.5</v>
      </c>
      <c r="H1006" s="6">
        <v>62156.22</v>
      </c>
      <c r="I1006" s="5">
        <v>45573</v>
      </c>
      <c r="J1006" s="7">
        <f t="shared" si="92"/>
        <v>-5.7146332257663145E-4</v>
      </c>
      <c r="K1006" s="5">
        <v>45573</v>
      </c>
      <c r="L1006" s="8">
        <f t="shared" si="93"/>
        <v>1.3145880136241335E-3</v>
      </c>
      <c r="M1006" s="5">
        <v>45573</v>
      </c>
      <c r="N1006" s="9">
        <f t="shared" si="90"/>
        <v>7.4312469104750205E-4</v>
      </c>
      <c r="O1006" s="5">
        <v>45573</v>
      </c>
      <c r="P1006">
        <f t="shared" si="91"/>
        <v>1.0009778486363747</v>
      </c>
      <c r="Q1006" s="6">
        <f t="shared" si="94"/>
        <v>1.0005503026664666</v>
      </c>
      <c r="R1006">
        <f t="shared" si="95"/>
        <v>4.2721954835625055E-4</v>
      </c>
      <c r="T1006" s="5">
        <v>45573</v>
      </c>
      <c r="U1006" s="1">
        <v>4.2721954835625055E-4</v>
      </c>
    </row>
    <row r="1007" spans="3:21" x14ac:dyDescent="0.2">
      <c r="C1007" s="5">
        <v>45574</v>
      </c>
      <c r="D1007" s="6">
        <v>0.99917</v>
      </c>
      <c r="E1007" s="6">
        <v>60607.7</v>
      </c>
      <c r="F1007" s="6">
        <v>60628.68</v>
      </c>
      <c r="G1007" s="6">
        <v>60560</v>
      </c>
      <c r="H1007" s="6">
        <v>60633.65</v>
      </c>
      <c r="I1007" s="5">
        <v>45574</v>
      </c>
      <c r="J1007" s="7">
        <f t="shared" si="92"/>
        <v>-4.2798017272594287E-4</v>
      </c>
      <c r="K1007" s="5">
        <v>45574</v>
      </c>
      <c r="L1007" s="8">
        <f t="shared" si="93"/>
        <v>1.1340819022457116E-3</v>
      </c>
      <c r="M1007" s="5">
        <v>45574</v>
      </c>
      <c r="N1007" s="9">
        <f t="shared" si="90"/>
        <v>7.0610172951976881E-4</v>
      </c>
      <c r="O1007" s="5">
        <v>45574</v>
      </c>
      <c r="P1007">
        <f t="shared" si="91"/>
        <v>1.0012161492734477</v>
      </c>
      <c r="Q1007" s="6">
        <f t="shared" si="94"/>
        <v>1.0008306894722621</v>
      </c>
      <c r="R1007">
        <f t="shared" si="95"/>
        <v>3.8506572222857835E-4</v>
      </c>
      <c r="T1007" s="5">
        <v>45574</v>
      </c>
      <c r="U1007" s="1">
        <v>3.8506572222857835E-4</v>
      </c>
    </row>
    <row r="1008" spans="3:21" x14ac:dyDescent="0.2">
      <c r="C1008" s="5">
        <v>45575</v>
      </c>
      <c r="D1008" s="6">
        <v>0.99916000000000005</v>
      </c>
      <c r="E1008" s="6">
        <v>60295.6</v>
      </c>
      <c r="F1008" s="6">
        <v>60312.78</v>
      </c>
      <c r="G1008" s="6">
        <v>60253</v>
      </c>
      <c r="H1008" s="6">
        <v>60326.49</v>
      </c>
      <c r="I1008" s="5">
        <v>45575</v>
      </c>
      <c r="J1008" s="7">
        <f t="shared" si="92"/>
        <v>-5.1204702942271997E-4</v>
      </c>
      <c r="K1008" s="5">
        <v>45575</v>
      </c>
      <c r="L1008" s="8">
        <f t="shared" si="93"/>
        <v>9.9214976847623914E-4</v>
      </c>
      <c r="M1008" s="5">
        <v>45575</v>
      </c>
      <c r="N1008" s="9">
        <f t="shared" si="90"/>
        <v>4.8010273905351917E-4</v>
      </c>
      <c r="O1008" s="5">
        <v>45575</v>
      </c>
      <c r="P1008">
        <f t="shared" si="91"/>
        <v>1.001219690305877</v>
      </c>
      <c r="Q1008" s="6">
        <f t="shared" si="94"/>
        <v>1.0008407061932023</v>
      </c>
      <c r="R1008">
        <f t="shared" si="95"/>
        <v>3.7859409023244364E-4</v>
      </c>
      <c r="T1008" s="5">
        <v>45575</v>
      </c>
      <c r="U1008" s="1">
        <v>3.7859409023244364E-4</v>
      </c>
    </row>
    <row r="1009" spans="3:21" x14ac:dyDescent="0.2">
      <c r="C1009" s="5">
        <v>45576</v>
      </c>
      <c r="D1009" s="6">
        <v>0.99970000000000003</v>
      </c>
      <c r="E1009" s="6">
        <v>62499.6</v>
      </c>
      <c r="F1009" s="6">
        <v>62446.81</v>
      </c>
      <c r="G1009" s="6">
        <v>62493</v>
      </c>
      <c r="H1009" s="6">
        <v>62534.12</v>
      </c>
      <c r="I1009" s="5">
        <v>45576</v>
      </c>
      <c r="J1009" s="7">
        <f t="shared" si="92"/>
        <v>-5.5201864198303383E-4</v>
      </c>
      <c r="K1009" s="5">
        <v>45576</v>
      </c>
      <c r="L1009" s="8">
        <f t="shared" si="93"/>
        <v>-7.3912278175159341E-4</v>
      </c>
      <c r="M1009" s="5">
        <v>45576</v>
      </c>
      <c r="N1009" s="9">
        <f t="shared" si="90"/>
        <v>-1.2911414237346272E-3</v>
      </c>
      <c r="O1009" s="5">
        <v>45576</v>
      </c>
      <c r="P1009">
        <f t="shared" si="91"/>
        <v>1.000657993695294</v>
      </c>
      <c r="Q1009" s="6">
        <f t="shared" si="94"/>
        <v>1.000300090027008</v>
      </c>
      <c r="R1009">
        <f t="shared" si="95"/>
        <v>3.5773230335437323E-4</v>
      </c>
      <c r="T1009" s="5">
        <v>45576</v>
      </c>
      <c r="U1009" s="1">
        <v>3.5773230335437323E-4</v>
      </c>
    </row>
    <row r="1010" spans="3:21" x14ac:dyDescent="0.2">
      <c r="C1010" s="5">
        <v>45577</v>
      </c>
      <c r="D1010" s="6">
        <v>0.99978999999999996</v>
      </c>
      <c r="E1010" s="6">
        <v>63177.5</v>
      </c>
      <c r="F1010" s="6">
        <v>63055.73</v>
      </c>
      <c r="G1010" s="6">
        <v>63158.5</v>
      </c>
      <c r="H1010" s="6">
        <v>63199.08</v>
      </c>
      <c r="I1010" s="5">
        <v>45577</v>
      </c>
      <c r="J1010" s="7">
        <f t="shared" si="92"/>
        <v>-3.4146066683251946E-4</v>
      </c>
      <c r="K1010" s="5">
        <v>45577</v>
      </c>
      <c r="L1010" s="8">
        <f t="shared" si="93"/>
        <v>-1.6271760728959173E-3</v>
      </c>
      <c r="M1010" s="5">
        <v>45577</v>
      </c>
      <c r="N1010" s="9">
        <f t="shared" si="90"/>
        <v>-1.9686367397284367E-3</v>
      </c>
      <c r="O1010" s="5">
        <v>45577</v>
      </c>
      <c r="P1010">
        <f t="shared" si="91"/>
        <v>1.0006425105092742</v>
      </c>
      <c r="Q1010" s="6">
        <f t="shared" si="94"/>
        <v>1.000210044109263</v>
      </c>
      <c r="R1010">
        <f t="shared" si="95"/>
        <v>4.3228213468050376E-4</v>
      </c>
      <c r="T1010" s="5">
        <v>45577</v>
      </c>
      <c r="U1010" s="1">
        <v>4.3228213468050376E-4</v>
      </c>
    </row>
    <row r="1011" spans="3:21" x14ac:dyDescent="0.2">
      <c r="C1011" s="5">
        <v>45578</v>
      </c>
      <c r="D1011" s="6">
        <v>0.99963000000000002</v>
      </c>
      <c r="E1011" s="6">
        <v>62838.7</v>
      </c>
      <c r="F1011" s="6">
        <v>62635.29</v>
      </c>
      <c r="G1011" s="6">
        <v>62827.5</v>
      </c>
      <c r="H1011" s="6">
        <v>62867.12</v>
      </c>
      <c r="I1011" s="5">
        <v>45578</v>
      </c>
      <c r="J1011" s="7">
        <f t="shared" si="92"/>
        <v>-4.5206460865402341E-4</v>
      </c>
      <c r="K1011" s="5">
        <v>45578</v>
      </c>
      <c r="L1011" s="8">
        <f t="shared" si="93"/>
        <v>-3.0593291154351059E-3</v>
      </c>
      <c r="M1011" s="5">
        <v>45578</v>
      </c>
      <c r="N1011" s="9">
        <f t="shared" si="90"/>
        <v>-3.5113937240891292E-3</v>
      </c>
      <c r="O1011" s="5">
        <v>45578</v>
      </c>
      <c r="P1011">
        <f t="shared" si="91"/>
        <v>1.0006306155743903</v>
      </c>
      <c r="Q1011" s="6">
        <f t="shared" si="94"/>
        <v>1.0003701369506717</v>
      </c>
      <c r="R1011">
        <f t="shared" si="95"/>
        <v>2.6034835305404887E-4</v>
      </c>
      <c r="T1011" s="5">
        <v>45578</v>
      </c>
      <c r="U1011" s="1">
        <v>2.6034835305404887E-4</v>
      </c>
    </row>
    <row r="1012" spans="3:21" x14ac:dyDescent="0.2">
      <c r="C1012" s="5">
        <v>45579</v>
      </c>
      <c r="D1012" s="6">
        <v>0.99973000000000001</v>
      </c>
      <c r="E1012" s="6">
        <v>66080.100000000006</v>
      </c>
      <c r="F1012" s="6">
        <v>65992.84</v>
      </c>
      <c r="G1012" s="6">
        <v>66074</v>
      </c>
      <c r="H1012" s="6">
        <v>66089.83</v>
      </c>
      <c r="I1012" s="5">
        <v>45579</v>
      </c>
      <c r="J1012" s="7">
        <f t="shared" si="92"/>
        <v>-1.4722386182557779E-4</v>
      </c>
      <c r="K1012" s="5">
        <v>45579</v>
      </c>
      <c r="L1012" s="8">
        <f t="shared" si="93"/>
        <v>-1.2283197626903697E-3</v>
      </c>
      <c r="M1012" s="5">
        <v>45579</v>
      </c>
      <c r="N1012" s="9">
        <f t="shared" si="90"/>
        <v>-1.3755436245159475E-3</v>
      </c>
      <c r="O1012" s="5">
        <v>45579</v>
      </c>
      <c r="P1012">
        <f t="shared" si="91"/>
        <v>1.0002395798649999</v>
      </c>
      <c r="Q1012" s="6">
        <f t="shared" si="94"/>
        <v>1.0002700729196883</v>
      </c>
      <c r="R1012">
        <f t="shared" si="95"/>
        <v>-3.0485286235264264E-5</v>
      </c>
      <c r="T1012" s="5">
        <v>45579</v>
      </c>
      <c r="U1012" s="1">
        <v>-3.0485286235264264E-5</v>
      </c>
    </row>
    <row r="1013" spans="3:21" x14ac:dyDescent="0.2">
      <c r="C1013" s="5">
        <v>45580</v>
      </c>
      <c r="D1013" s="6">
        <v>0.99985000000000002</v>
      </c>
      <c r="E1013" s="6">
        <v>67057.399999999994</v>
      </c>
      <c r="F1013" s="6">
        <v>67000.19</v>
      </c>
      <c r="G1013" s="6">
        <v>67074</v>
      </c>
      <c r="H1013" s="6">
        <v>67071.48</v>
      </c>
      <c r="I1013" s="5">
        <v>45580</v>
      </c>
      <c r="J1013" s="7">
        <f t="shared" si="92"/>
        <v>-2.0992529164410488E-4</v>
      </c>
      <c r="K1013" s="5">
        <v>45580</v>
      </c>
      <c r="L1013" s="8">
        <f t="shared" si="93"/>
        <v>-1.100426394728176E-3</v>
      </c>
      <c r="M1013" s="5">
        <v>45580</v>
      </c>
      <c r="N1013" s="9">
        <f t="shared" si="90"/>
        <v>-1.3103516863722808E-3</v>
      </c>
      <c r="O1013" s="5">
        <v>45580</v>
      </c>
      <c r="P1013">
        <f t="shared" si="91"/>
        <v>0.99996242955541637</v>
      </c>
      <c r="Q1013" s="6">
        <f t="shared" si="94"/>
        <v>1.0001500225033755</v>
      </c>
      <c r="R1013">
        <f t="shared" si="95"/>
        <v>-1.8758240149558306E-4</v>
      </c>
      <c r="T1013" s="5">
        <v>45580</v>
      </c>
      <c r="U1013" s="1">
        <v>-1.8758240149558306E-4</v>
      </c>
    </row>
    <row r="1014" spans="3:21" x14ac:dyDescent="0.2">
      <c r="C1014" s="5">
        <v>45581</v>
      </c>
      <c r="D1014" s="6">
        <v>0.99980999999999998</v>
      </c>
      <c r="E1014" s="6">
        <v>67595.100000000006</v>
      </c>
      <c r="F1014" s="6">
        <v>67519.41</v>
      </c>
      <c r="G1014" s="6">
        <v>67578.5</v>
      </c>
      <c r="H1014" s="6">
        <v>67614.17</v>
      </c>
      <c r="I1014" s="5">
        <v>45581</v>
      </c>
      <c r="J1014" s="7">
        <f t="shared" si="92"/>
        <v>-2.8204147148434171E-4</v>
      </c>
      <c r="K1014" s="5">
        <v>45581</v>
      </c>
      <c r="L1014" s="8">
        <f t="shared" si="93"/>
        <v>-8.7439052361322771E-4</v>
      </c>
      <c r="M1014" s="5">
        <v>45581</v>
      </c>
      <c r="N1014" s="9">
        <f t="shared" si="90"/>
        <v>-1.1564319950975693E-3</v>
      </c>
      <c r="O1014" s="5">
        <v>45581</v>
      </c>
      <c r="P1014">
        <f t="shared" si="91"/>
        <v>1.0005278305970093</v>
      </c>
      <c r="Q1014" s="6">
        <f t="shared" si="94"/>
        <v>1.0001900361068603</v>
      </c>
      <c r="R1014">
        <f t="shared" si="95"/>
        <v>3.3767329115239443E-4</v>
      </c>
      <c r="T1014" s="5">
        <v>45581</v>
      </c>
      <c r="U1014" s="1">
        <v>3.3767329115239443E-4</v>
      </c>
    </row>
    <row r="1015" spans="3:21" x14ac:dyDescent="0.2">
      <c r="C1015" s="5">
        <v>45582</v>
      </c>
      <c r="D1015" s="6">
        <v>0.99956999999999996</v>
      </c>
      <c r="E1015" s="6">
        <v>67390.399999999994</v>
      </c>
      <c r="F1015" s="6">
        <v>67302.45</v>
      </c>
      <c r="G1015" s="6">
        <v>67387.5</v>
      </c>
      <c r="H1015" s="6">
        <v>67420.37</v>
      </c>
      <c r="I1015" s="5">
        <v>45582</v>
      </c>
      <c r="J1015" s="7">
        <f t="shared" si="92"/>
        <v>-4.445244070894474E-4</v>
      </c>
      <c r="K1015" s="5">
        <v>45582</v>
      </c>
      <c r="L1015" s="8">
        <f t="shared" si="93"/>
        <v>-1.2621035058431149E-3</v>
      </c>
      <c r="M1015" s="5">
        <v>45582</v>
      </c>
      <c r="N1015" s="9">
        <f t="shared" si="90"/>
        <v>-1.7066279129325623E-3</v>
      </c>
      <c r="O1015" s="5">
        <v>45582</v>
      </c>
      <c r="P1015">
        <f t="shared" si="91"/>
        <v>1.0004877759228343</v>
      </c>
      <c r="Q1015" s="6">
        <f t="shared" si="94"/>
        <v>1.0004301849795412</v>
      </c>
      <c r="R1015">
        <f t="shared" si="95"/>
        <v>5.756452231860004E-5</v>
      </c>
      <c r="T1015" s="5">
        <v>45582</v>
      </c>
      <c r="U1015" s="1">
        <v>5.756452231860004E-5</v>
      </c>
    </row>
    <row r="1016" spans="3:21" x14ac:dyDescent="0.2">
      <c r="C1016" s="5">
        <v>45583</v>
      </c>
      <c r="D1016" s="6">
        <v>0.99992000000000003</v>
      </c>
      <c r="E1016" s="6">
        <v>68402.399999999994</v>
      </c>
      <c r="F1016" s="6">
        <v>68398.05</v>
      </c>
      <c r="G1016" s="6">
        <v>68411</v>
      </c>
      <c r="H1016" s="6">
        <v>68430.41</v>
      </c>
      <c r="I1016" s="5">
        <v>45583</v>
      </c>
      <c r="J1016" s="7">
        <f t="shared" si="92"/>
        <v>-4.0932094371507214E-4</v>
      </c>
      <c r="K1016" s="5">
        <v>45583</v>
      </c>
      <c r="L1016" s="8">
        <f t="shared" si="93"/>
        <v>-1.8929704287317959E-4</v>
      </c>
      <c r="M1016" s="5">
        <v>45583</v>
      </c>
      <c r="N1016" s="9">
        <f t="shared" si="90"/>
        <v>-5.9861798658825171E-4</v>
      </c>
      <c r="O1016" s="5">
        <v>45583</v>
      </c>
      <c r="P1016">
        <f t="shared" si="91"/>
        <v>1.0002837263013258</v>
      </c>
      <c r="Q1016" s="6">
        <f t="shared" si="94"/>
        <v>1.000080006400512</v>
      </c>
      <c r="R1016">
        <f t="shared" si="95"/>
        <v>2.0368285845979677E-4</v>
      </c>
      <c r="T1016" s="5">
        <v>45583</v>
      </c>
      <c r="U1016" s="1">
        <v>2.0368285845979677E-4</v>
      </c>
    </row>
    <row r="1017" spans="3:21" x14ac:dyDescent="0.2">
      <c r="C1017" s="5">
        <v>45584</v>
      </c>
      <c r="D1017" s="6">
        <v>0.99982000000000004</v>
      </c>
      <c r="E1017" s="6">
        <v>68369.5</v>
      </c>
      <c r="F1017" s="6">
        <v>68278.679999999993</v>
      </c>
      <c r="G1017" s="6">
        <v>68372</v>
      </c>
      <c r="H1017" s="6">
        <v>68380.02</v>
      </c>
      <c r="I1017" s="5">
        <v>45584</v>
      </c>
      <c r="J1017" s="7">
        <f t="shared" si="92"/>
        <v>-1.5384610884881393E-4</v>
      </c>
      <c r="K1017" s="5">
        <v>45584</v>
      </c>
      <c r="L1017" s="8">
        <f t="shared" si="93"/>
        <v>-1.3648862107296406E-3</v>
      </c>
      <c r="M1017" s="5">
        <v>45584</v>
      </c>
      <c r="N1017" s="9">
        <f t="shared" si="90"/>
        <v>-1.5187323195784545E-3</v>
      </c>
      <c r="O1017" s="5">
        <v>45584</v>
      </c>
      <c r="P1017">
        <f t="shared" si="91"/>
        <v>1.000117299479319</v>
      </c>
      <c r="Q1017" s="6">
        <f t="shared" si="94"/>
        <v>1.000180032405833</v>
      </c>
      <c r="R1017">
        <f t="shared" si="95"/>
        <v>-6.2723601671179475E-5</v>
      </c>
      <c r="T1017" s="5">
        <v>45584</v>
      </c>
      <c r="U1017" s="1">
        <v>-6.2723601671179475E-5</v>
      </c>
    </row>
    <row r="1018" spans="3:21" x14ac:dyDescent="0.2">
      <c r="C1018" s="5">
        <v>45585</v>
      </c>
      <c r="D1018" s="6">
        <v>0.99970999999999999</v>
      </c>
      <c r="E1018" s="6">
        <v>69034</v>
      </c>
      <c r="F1018" s="6">
        <v>68773.8</v>
      </c>
      <c r="G1018" s="6">
        <v>69032</v>
      </c>
      <c r="H1018" s="6">
        <v>69035.899999999994</v>
      </c>
      <c r="I1018" s="5">
        <v>45585</v>
      </c>
      <c r="J1018" s="7">
        <f t="shared" si="92"/>
        <v>-2.7521912512101376E-5</v>
      </c>
      <c r="K1018" s="5">
        <v>45585</v>
      </c>
      <c r="L1018" s="8">
        <f t="shared" si="93"/>
        <v>-3.7402943562405418E-3</v>
      </c>
      <c r="M1018" s="5">
        <v>45585</v>
      </c>
      <c r="N1018" s="9">
        <f t="shared" si="90"/>
        <v>-3.7678162687526432E-3</v>
      </c>
      <c r="O1018" s="5">
        <v>45585</v>
      </c>
      <c r="P1018">
        <f t="shared" si="91"/>
        <v>1.0000564955383009</v>
      </c>
      <c r="Q1018" s="6">
        <f t="shared" si="94"/>
        <v>1.000290084124396</v>
      </c>
      <c r="R1018">
        <f t="shared" si="95"/>
        <v>-2.3354811564332541E-4</v>
      </c>
      <c r="T1018" s="5">
        <v>45585</v>
      </c>
      <c r="U1018" s="1">
        <v>-2.3354811564332541E-4</v>
      </c>
    </row>
    <row r="1019" spans="3:21" x14ac:dyDescent="0.2">
      <c r="C1019" s="5">
        <v>45586</v>
      </c>
      <c r="D1019" s="6">
        <v>0.99939999999999996</v>
      </c>
      <c r="E1019" s="6">
        <v>67368.100000000006</v>
      </c>
      <c r="F1019" s="6">
        <v>67306.539999999994</v>
      </c>
      <c r="G1019" s="6">
        <v>67349.5</v>
      </c>
      <c r="H1019" s="6">
        <v>67381.289999999994</v>
      </c>
      <c r="I1019" s="5">
        <v>45586</v>
      </c>
      <c r="J1019" s="7">
        <f t="shared" si="92"/>
        <v>-1.9575166934304429E-4</v>
      </c>
      <c r="K1019" s="5">
        <v>45586</v>
      </c>
      <c r="L1019" s="8">
        <f t="shared" si="93"/>
        <v>-6.3786665082898018E-4</v>
      </c>
      <c r="M1019" s="5">
        <v>45586</v>
      </c>
      <c r="N1019" s="9">
        <f t="shared" si="90"/>
        <v>-8.3361832017202447E-4</v>
      </c>
      <c r="O1019" s="5">
        <v>45586</v>
      </c>
      <c r="P1019">
        <f t="shared" si="91"/>
        <v>1.0004720153824451</v>
      </c>
      <c r="Q1019" s="6">
        <f t="shared" si="94"/>
        <v>1.0006003602161297</v>
      </c>
      <c r="R1019">
        <f t="shared" si="95"/>
        <v>-1.2827605380564354E-4</v>
      </c>
      <c r="T1019" s="5">
        <v>45586</v>
      </c>
      <c r="U1019" s="1">
        <v>-1.2827605380564354E-4</v>
      </c>
    </row>
    <row r="1020" spans="3:21" x14ac:dyDescent="0.2">
      <c r="C1020" s="5">
        <v>45587</v>
      </c>
      <c r="D1020" s="6">
        <v>0.99931000000000003</v>
      </c>
      <c r="E1020" s="6">
        <v>67409.5</v>
      </c>
      <c r="F1020" s="6">
        <v>67385.38</v>
      </c>
      <c r="G1020" s="6">
        <v>67396.5</v>
      </c>
      <c r="H1020" s="6">
        <v>67427.02</v>
      </c>
      <c r="I1020" s="5">
        <v>45587</v>
      </c>
      <c r="J1020" s="7">
        <f t="shared" si="92"/>
        <v>-2.5983648691583989E-4</v>
      </c>
      <c r="K1020" s="5">
        <v>45587</v>
      </c>
      <c r="L1020" s="8">
        <f t="shared" si="93"/>
        <v>-1.6499373112840196E-4</v>
      </c>
      <c r="M1020" s="5">
        <v>45587</v>
      </c>
      <c r="N1020" s="9">
        <f t="shared" si="90"/>
        <v>-4.2483021804424185E-4</v>
      </c>
      <c r="O1020" s="5">
        <v>45587</v>
      </c>
      <c r="P1020">
        <f t="shared" si="91"/>
        <v>1.0004528425066583</v>
      </c>
      <c r="Q1020" s="6">
        <f t="shared" si="94"/>
        <v>1.0006904764287359</v>
      </c>
      <c r="R1020">
        <f t="shared" si="95"/>
        <v>-2.3749815512561336E-4</v>
      </c>
      <c r="T1020" s="5">
        <v>45587</v>
      </c>
      <c r="U1020" s="1">
        <v>-2.3749815512561336E-4</v>
      </c>
    </row>
    <row r="1021" spans="3:21" x14ac:dyDescent="0.2">
      <c r="C1021" s="5">
        <v>45588</v>
      </c>
      <c r="D1021" s="6">
        <v>0.99892999999999998</v>
      </c>
      <c r="E1021" s="6">
        <v>66659.100000000006</v>
      </c>
      <c r="F1021" s="6">
        <v>66649.34</v>
      </c>
      <c r="G1021" s="6">
        <v>66621</v>
      </c>
      <c r="H1021" s="6">
        <v>66674.36</v>
      </c>
      <c r="I1021" s="5">
        <v>45588</v>
      </c>
      <c r="J1021" s="7">
        <f t="shared" si="92"/>
        <v>-2.2887358798786761E-4</v>
      </c>
      <c r="K1021" s="5">
        <v>45588</v>
      </c>
      <c r="L1021" s="8">
        <f t="shared" si="93"/>
        <v>4.2539139310422398E-4</v>
      </c>
      <c r="M1021" s="5">
        <v>45588</v>
      </c>
      <c r="N1021" s="9">
        <f t="shared" si="90"/>
        <v>1.9651780511635637E-4</v>
      </c>
      <c r="O1021" s="5">
        <v>45588</v>
      </c>
      <c r="P1021">
        <f t="shared" si="91"/>
        <v>1.0008009486498251</v>
      </c>
      <c r="Q1021" s="6">
        <f t="shared" si="94"/>
        <v>1.0010711461263553</v>
      </c>
      <c r="R1021">
        <f t="shared" si="95"/>
        <v>-2.6994479704879116E-4</v>
      </c>
      <c r="T1021" s="5">
        <v>45588</v>
      </c>
      <c r="U1021" s="1">
        <v>-2.6994479704879116E-4</v>
      </c>
    </row>
    <row r="1022" spans="3:21" x14ac:dyDescent="0.2">
      <c r="C1022" s="5">
        <v>45589</v>
      </c>
      <c r="D1022" s="6">
        <v>0.99927999999999995</v>
      </c>
      <c r="E1022" s="6">
        <v>68171.199999999997</v>
      </c>
      <c r="F1022" s="6">
        <v>68167.03</v>
      </c>
      <c r="G1022" s="6">
        <v>68176</v>
      </c>
      <c r="H1022" s="6">
        <v>68192.72</v>
      </c>
      <c r="I1022" s="5">
        <v>45589</v>
      </c>
      <c r="J1022" s="7">
        <f t="shared" si="92"/>
        <v>-3.1557620813488707E-4</v>
      </c>
      <c r="K1022" s="5">
        <v>45589</v>
      </c>
      <c r="L1022" s="8">
        <f t="shared" si="93"/>
        <v>-1.3157122741142284E-4</v>
      </c>
      <c r="M1022" s="5">
        <v>45589</v>
      </c>
      <c r="N1022" s="9">
        <f t="shared" si="90"/>
        <v>-4.4714743554630991E-4</v>
      </c>
      <c r="O1022" s="5">
        <v>45589</v>
      </c>
      <c r="P1022">
        <f t="shared" si="91"/>
        <v>1.0002452475944614</v>
      </c>
      <c r="Q1022" s="6">
        <f t="shared" si="94"/>
        <v>1.0007205187735171</v>
      </c>
      <c r="R1022">
        <f t="shared" si="95"/>
        <v>-4.7504179829723533E-4</v>
      </c>
      <c r="T1022" s="5">
        <v>45589</v>
      </c>
      <c r="U1022" s="1">
        <v>-4.7504179829723533E-4</v>
      </c>
    </row>
    <row r="1023" spans="3:21" x14ac:dyDescent="0.2">
      <c r="C1023" s="5">
        <v>45590</v>
      </c>
      <c r="D1023" s="6">
        <v>0.99800999999999995</v>
      </c>
      <c r="E1023" s="6">
        <v>66666.8</v>
      </c>
      <c r="F1023" s="6">
        <v>66816.23</v>
      </c>
      <c r="G1023" s="6">
        <v>66584.5</v>
      </c>
      <c r="H1023" s="6">
        <v>66695.08</v>
      </c>
      <c r="I1023" s="5">
        <v>45590</v>
      </c>
      <c r="J1023" s="7">
        <f t="shared" si="92"/>
        <v>-4.2401928298157576E-4</v>
      </c>
      <c r="K1023" s="5">
        <v>45590</v>
      </c>
      <c r="L1023" s="8">
        <f t="shared" si="93"/>
        <v>3.4802393950543434E-3</v>
      </c>
      <c r="M1023" s="5">
        <v>45590</v>
      </c>
      <c r="N1023" s="9">
        <f t="shared" si="90"/>
        <v>3.0562201120727678E-3</v>
      </c>
      <c r="O1023" s="5">
        <v>45590</v>
      </c>
      <c r="P1023">
        <f t="shared" si="91"/>
        <v>1.0016607468705179</v>
      </c>
      <c r="Q1023" s="6">
        <f t="shared" si="94"/>
        <v>1.0019939679963128</v>
      </c>
      <c r="R1023">
        <f t="shared" si="95"/>
        <v>-3.326133254343154E-4</v>
      </c>
      <c r="T1023" s="5">
        <v>45590</v>
      </c>
      <c r="U1023" s="1">
        <v>-3.326133254343154E-4</v>
      </c>
    </row>
    <row r="1024" spans="3:21" x14ac:dyDescent="0.2">
      <c r="C1024" s="5">
        <v>45591</v>
      </c>
      <c r="D1024" s="6">
        <v>0.99866999999999995</v>
      </c>
      <c r="E1024" s="6">
        <v>67069.100000000006</v>
      </c>
      <c r="F1024" s="6">
        <v>67154.28</v>
      </c>
      <c r="G1024" s="6">
        <v>67018</v>
      </c>
      <c r="H1024" s="6">
        <v>67099.69</v>
      </c>
      <c r="I1024" s="5">
        <v>45591</v>
      </c>
      <c r="J1024" s="7">
        <f t="shared" si="92"/>
        <v>-4.5588884240741661E-4</v>
      </c>
      <c r="K1024" s="5">
        <v>45591</v>
      </c>
      <c r="L1024" s="8">
        <f t="shared" si="93"/>
        <v>2.0334835417350388E-3</v>
      </c>
      <c r="M1024" s="5">
        <v>45591</v>
      </c>
      <c r="N1024" s="9">
        <f t="shared" si="90"/>
        <v>1.5775946993276222E-3</v>
      </c>
      <c r="O1024" s="5">
        <v>45591</v>
      </c>
      <c r="P1024">
        <f t="shared" si="91"/>
        <v>1.0012189262586171</v>
      </c>
      <c r="Q1024" s="6">
        <f t="shared" si="94"/>
        <v>1.0013317712557703</v>
      </c>
      <c r="R1024">
        <f t="shared" si="95"/>
        <v>-1.1270126385587335E-4</v>
      </c>
      <c r="T1024" s="5">
        <v>45591</v>
      </c>
      <c r="U1024" s="1">
        <v>-1.1270126385587335E-4</v>
      </c>
    </row>
    <row r="1025" spans="3:21" x14ac:dyDescent="0.2">
      <c r="C1025" s="5">
        <v>45592</v>
      </c>
      <c r="D1025" s="6">
        <v>0.99887000000000004</v>
      </c>
      <c r="E1025" s="6">
        <v>68001.100000000006</v>
      </c>
      <c r="F1025" s="6">
        <v>67974.58</v>
      </c>
      <c r="G1025" s="6">
        <v>67955.5</v>
      </c>
      <c r="H1025" s="6">
        <v>68024.08</v>
      </c>
      <c r="I1025" s="5">
        <v>45592</v>
      </c>
      <c r="J1025" s="7">
        <f t="shared" si="92"/>
        <v>-3.3782154789886059E-4</v>
      </c>
      <c r="K1025" s="5">
        <v>45592</v>
      </c>
      <c r="L1025" s="8">
        <f t="shared" si="93"/>
        <v>2.8077197577829234E-4</v>
      </c>
      <c r="M1025" s="5">
        <v>45592</v>
      </c>
      <c r="N1025" s="9">
        <f t="shared" si="90"/>
        <v>-5.7049572120568249E-5</v>
      </c>
      <c r="O1025" s="5">
        <v>45592</v>
      </c>
      <c r="P1025">
        <f t="shared" si="91"/>
        <v>1.0010091898374671</v>
      </c>
      <c r="Q1025" s="6">
        <f t="shared" si="94"/>
        <v>1.0011312783445292</v>
      </c>
      <c r="R1025">
        <f t="shared" si="95"/>
        <v>-1.2195798362167501E-4</v>
      </c>
      <c r="T1025" s="5">
        <v>45592</v>
      </c>
      <c r="U1025" s="1">
        <v>-1.2195798362167501E-4</v>
      </c>
    </row>
    <row r="1026" spans="3:21" x14ac:dyDescent="0.2">
      <c r="C1026" s="5">
        <v>45593</v>
      </c>
      <c r="D1026" s="6">
        <v>0.99917999999999996</v>
      </c>
      <c r="E1026" s="6">
        <v>69947.600000000006</v>
      </c>
      <c r="F1026" s="6">
        <v>69761.850000000006</v>
      </c>
      <c r="G1026" s="6">
        <v>69935.5</v>
      </c>
      <c r="H1026" s="6">
        <v>69962.64</v>
      </c>
      <c r="I1026" s="5">
        <v>45593</v>
      </c>
      <c r="J1026" s="7">
        <f t="shared" si="92"/>
        <v>-2.1497187641852277E-4</v>
      </c>
      <c r="K1026" s="5">
        <v>45593</v>
      </c>
      <c r="L1026" s="8">
        <f t="shared" si="93"/>
        <v>-2.4830021948794843E-3</v>
      </c>
      <c r="M1026" s="5">
        <v>45593</v>
      </c>
      <c r="N1026" s="9">
        <f t="shared" si="90"/>
        <v>-2.6979740712980071E-3</v>
      </c>
      <c r="O1026" s="5">
        <v>45593</v>
      </c>
      <c r="P1026">
        <f t="shared" si="91"/>
        <v>1.0003880718662195</v>
      </c>
      <c r="Q1026" s="6">
        <f t="shared" si="94"/>
        <v>1.0008206729518205</v>
      </c>
      <c r="R1026">
        <f t="shared" si="95"/>
        <v>-4.3233979809418905E-4</v>
      </c>
      <c r="T1026" s="5">
        <v>45593</v>
      </c>
      <c r="U1026" s="1">
        <v>-4.3233979809418905E-4</v>
      </c>
    </row>
    <row r="1027" spans="3:21" x14ac:dyDescent="0.2">
      <c r="C1027" s="5">
        <v>45594</v>
      </c>
      <c r="D1027" s="6">
        <v>0.99961999999999995</v>
      </c>
      <c r="E1027" s="6">
        <v>72757.5</v>
      </c>
      <c r="F1027" s="6">
        <v>72628.240000000005</v>
      </c>
      <c r="G1027" s="6">
        <v>72745.5</v>
      </c>
      <c r="H1027" s="6">
        <v>72742.75</v>
      </c>
      <c r="I1027" s="5">
        <v>45594</v>
      </c>
      <c r="J1027" s="7">
        <f t="shared" si="92"/>
        <v>2.0276934814809723E-4</v>
      </c>
      <c r="K1027" s="5">
        <v>45594</v>
      </c>
      <c r="L1027" s="8">
        <f t="shared" si="93"/>
        <v>-1.6119210122962212E-3</v>
      </c>
      <c r="M1027" s="5">
        <v>45594</v>
      </c>
      <c r="N1027" s="9">
        <f t="shared" si="90"/>
        <v>-1.4091516641481241E-3</v>
      </c>
      <c r="O1027" s="5">
        <v>45594</v>
      </c>
      <c r="P1027">
        <f t="shared" si="91"/>
        <v>0.99996219697438327</v>
      </c>
      <c r="Q1027" s="6">
        <f t="shared" si="94"/>
        <v>1.000380144454893</v>
      </c>
      <c r="R1027">
        <f t="shared" si="95"/>
        <v>-4.1787595846515209E-4</v>
      </c>
      <c r="T1027" s="5">
        <v>45594</v>
      </c>
      <c r="U1027" s="1">
        <v>-4.1787595846515209E-4</v>
      </c>
    </row>
    <row r="1028" spans="3:21" x14ac:dyDescent="0.2">
      <c r="C1028" s="5">
        <v>45595</v>
      </c>
      <c r="D1028" s="6">
        <v>0.99961999999999995</v>
      </c>
      <c r="E1028" s="6">
        <v>72386.3</v>
      </c>
      <c r="F1028" s="6">
        <v>72361.59</v>
      </c>
      <c r="G1028" s="6">
        <v>72357.5</v>
      </c>
      <c r="H1028" s="6">
        <v>72353.98</v>
      </c>
      <c r="I1028" s="5">
        <v>45595</v>
      </c>
      <c r="J1028" s="7">
        <f t="shared" si="92"/>
        <v>4.4669277350060059E-4</v>
      </c>
      <c r="K1028" s="5">
        <v>45595</v>
      </c>
      <c r="L1028" s="8">
        <f t="shared" si="93"/>
        <v>5.6524893756645925E-5</v>
      </c>
      <c r="M1028" s="5">
        <v>45595</v>
      </c>
      <c r="N1028" s="9">
        <f t="shared" si="90"/>
        <v>5.0321766725724656E-4</v>
      </c>
      <c r="O1028" s="5">
        <v>45595</v>
      </c>
      <c r="P1028">
        <f t="shared" si="91"/>
        <v>0.99995135265867396</v>
      </c>
      <c r="Q1028" s="6">
        <f t="shared" si="94"/>
        <v>1.000380144454893</v>
      </c>
      <c r="R1028">
        <f t="shared" si="95"/>
        <v>-4.2872074294232593E-4</v>
      </c>
      <c r="T1028" s="5">
        <v>45595</v>
      </c>
      <c r="U1028" s="1">
        <v>-4.2872074294232593E-4</v>
      </c>
    </row>
    <row r="1029" spans="3:21" x14ac:dyDescent="0.2">
      <c r="C1029" s="5">
        <v>45596</v>
      </c>
      <c r="D1029" s="6">
        <v>0.99860000000000004</v>
      </c>
      <c r="E1029" s="6">
        <v>70332.3</v>
      </c>
      <c r="F1029" s="6">
        <v>70307.19</v>
      </c>
      <c r="G1029" s="6">
        <v>70231.5</v>
      </c>
      <c r="H1029" s="6">
        <v>70304.94</v>
      </c>
      <c r="I1029" s="5">
        <v>45596</v>
      </c>
      <c r="J1029" s="7">
        <f t="shared" si="92"/>
        <v>3.8916184268133336E-4</v>
      </c>
      <c r="K1029" s="5">
        <v>45596</v>
      </c>
      <c r="L1029" s="8">
        <f t="shared" si="93"/>
        <v>1.0777215352085934E-3</v>
      </c>
      <c r="M1029" s="5">
        <v>45596</v>
      </c>
      <c r="N1029" s="9">
        <f t="shared" si="90"/>
        <v>1.4668833778899268E-3</v>
      </c>
      <c r="O1029" s="5">
        <v>45596</v>
      </c>
      <c r="P1029">
        <f t="shared" si="91"/>
        <v>1.0010456846286924</v>
      </c>
      <c r="Q1029" s="6">
        <f t="shared" si="94"/>
        <v>1.001401962747847</v>
      </c>
      <c r="R1029">
        <f t="shared" si="95"/>
        <v>-3.5584263426895668E-4</v>
      </c>
      <c r="T1029" s="5">
        <v>45596</v>
      </c>
      <c r="U1029" s="1">
        <v>-3.5584263426895668E-4</v>
      </c>
    </row>
    <row r="1030" spans="3:21" x14ac:dyDescent="0.2">
      <c r="C1030" s="5">
        <v>45597</v>
      </c>
      <c r="D1030" s="6">
        <v>0.99944999999999995</v>
      </c>
      <c r="E1030" s="6">
        <v>69495.5</v>
      </c>
      <c r="F1030" s="6">
        <v>69562.86</v>
      </c>
      <c r="G1030" s="6">
        <v>69476.5</v>
      </c>
      <c r="H1030" s="6">
        <v>69492.41</v>
      </c>
      <c r="I1030" s="5">
        <v>45597</v>
      </c>
      <c r="J1030" s="7">
        <f t="shared" si="92"/>
        <v>4.4465287647910145E-5</v>
      </c>
      <c r="K1030" s="5">
        <v>45597</v>
      </c>
      <c r="L1030" s="8">
        <f t="shared" si="93"/>
        <v>1.2430102264794655E-3</v>
      </c>
      <c r="M1030" s="5">
        <v>45597</v>
      </c>
      <c r="N1030" s="9">
        <f t="shared" si="90"/>
        <v>1.2874755141273756E-3</v>
      </c>
      <c r="O1030" s="5">
        <v>45597</v>
      </c>
      <c r="P1030">
        <f t="shared" si="91"/>
        <v>1.0002289982943873</v>
      </c>
      <c r="Q1030" s="6">
        <f t="shared" si="94"/>
        <v>1.0005503026664666</v>
      </c>
      <c r="R1030">
        <f t="shared" si="95"/>
        <v>-3.211792272012391E-4</v>
      </c>
      <c r="T1030" s="5">
        <v>45597</v>
      </c>
      <c r="U1030" s="1">
        <v>-3.211792272012391E-4</v>
      </c>
    </row>
    <row r="1031" spans="3:21" x14ac:dyDescent="0.2">
      <c r="C1031" s="5">
        <v>45598</v>
      </c>
      <c r="D1031" s="6">
        <v>0.99961</v>
      </c>
      <c r="E1031" s="6">
        <v>69363.600000000006</v>
      </c>
      <c r="F1031" s="6">
        <v>69581.91</v>
      </c>
      <c r="G1031" s="6">
        <v>69345</v>
      </c>
      <c r="H1031" s="6">
        <v>69373.02</v>
      </c>
      <c r="I1031" s="5">
        <v>45598</v>
      </c>
      <c r="J1031" s="7">
        <f t="shared" si="92"/>
        <v>-1.3578765923695195E-4</v>
      </c>
      <c r="K1031" s="5">
        <v>45598</v>
      </c>
      <c r="L1031" s="8">
        <f t="shared" si="93"/>
        <v>3.4163962794722547E-3</v>
      </c>
      <c r="M1031" s="5">
        <v>45598</v>
      </c>
      <c r="N1031" s="9">
        <f t="shared" si="90"/>
        <v>3.2806086202353027E-3</v>
      </c>
      <c r="O1031" s="5">
        <v>45598</v>
      </c>
      <c r="P1031">
        <f t="shared" si="91"/>
        <v>1.0004040666234046</v>
      </c>
      <c r="Q1031" s="6">
        <f t="shared" si="94"/>
        <v>1.0003901521593421</v>
      </c>
      <c r="R1031">
        <f t="shared" si="95"/>
        <v>1.3908940691835936E-5</v>
      </c>
      <c r="T1031" s="5">
        <v>45598</v>
      </c>
      <c r="U1031" s="1">
        <v>1.3908940691835936E-5</v>
      </c>
    </row>
    <row r="1032" spans="3:21" x14ac:dyDescent="0.2">
      <c r="C1032" s="5">
        <v>45599</v>
      </c>
      <c r="D1032" s="6">
        <v>0.99944999999999995</v>
      </c>
      <c r="E1032" s="6">
        <v>68743.600000000006</v>
      </c>
      <c r="F1032" s="6">
        <v>68909.37</v>
      </c>
      <c r="G1032" s="6">
        <v>68741.5</v>
      </c>
      <c r="H1032" s="6">
        <v>68770.399999999994</v>
      </c>
      <c r="I1032" s="5">
        <v>45599</v>
      </c>
      <c r="J1032" s="7">
        <f t="shared" si="92"/>
        <v>-3.8970254644423124E-4</v>
      </c>
      <c r="K1032" s="5">
        <v>45599</v>
      </c>
      <c r="L1032" s="8">
        <f t="shared" si="93"/>
        <v>2.4420473804033275E-3</v>
      </c>
      <c r="M1032" s="5">
        <v>45599</v>
      </c>
      <c r="N1032" s="9">
        <f t="shared" ref="N1032:N1095" si="96">J1032+L1032</f>
        <v>2.0523448339590964E-3</v>
      </c>
      <c r="O1032" s="5">
        <v>45599</v>
      </c>
      <c r="P1032">
        <f t="shared" ref="P1032:P1095" si="97">(1/G1032)*H1032</f>
        <v>1.0004204156150214</v>
      </c>
      <c r="Q1032" s="6">
        <f t="shared" si="94"/>
        <v>1.0005503026664666</v>
      </c>
      <c r="R1032">
        <f t="shared" si="95"/>
        <v>-1.298240403430081E-4</v>
      </c>
      <c r="T1032" s="5">
        <v>45599</v>
      </c>
      <c r="U1032" s="1">
        <v>-1.298240403430081E-4</v>
      </c>
    </row>
    <row r="1033" spans="3:21" x14ac:dyDescent="0.2">
      <c r="C1033" s="5">
        <v>45600</v>
      </c>
      <c r="D1033" s="6">
        <v>0.99938000000000005</v>
      </c>
      <c r="E1033" s="6">
        <v>67838.7</v>
      </c>
      <c r="F1033" s="6">
        <v>67882.850000000006</v>
      </c>
      <c r="G1033" s="6">
        <v>67788.5</v>
      </c>
      <c r="H1033" s="6">
        <v>67850.17</v>
      </c>
      <c r="I1033" s="5">
        <v>45600</v>
      </c>
      <c r="J1033" s="7">
        <f t="shared" ref="J1033:J1096" si="98">(E1033-H1033)/H1033</f>
        <v>-1.690489500616014E-4</v>
      </c>
      <c r="K1033" s="5">
        <v>45600</v>
      </c>
      <c r="L1033" s="8">
        <f t="shared" ref="L1033:L1096" si="99">(F1033-G1033)/G1033</f>
        <v>1.3918289975439169E-3</v>
      </c>
      <c r="M1033" s="5">
        <v>45600</v>
      </c>
      <c r="N1033" s="9">
        <f t="shared" si="96"/>
        <v>1.2227800474823155E-3</v>
      </c>
      <c r="O1033" s="5">
        <v>45600</v>
      </c>
      <c r="P1033">
        <f t="shared" si="97"/>
        <v>1.0009097413278063</v>
      </c>
      <c r="Q1033" s="6">
        <f t="shared" ref="Q1033:Q1096" si="100">1/D1033</f>
        <v>1.0006203846384758</v>
      </c>
      <c r="R1033">
        <f t="shared" ref="R1033:R1096" si="101">LN(P1033/Q1033)</f>
        <v>2.8913548448993124E-4</v>
      </c>
      <c r="T1033" s="5">
        <v>45600</v>
      </c>
      <c r="U1033" s="1">
        <v>2.8913548448993124E-4</v>
      </c>
    </row>
    <row r="1034" spans="3:21" x14ac:dyDescent="0.2">
      <c r="C1034" s="5">
        <v>45601</v>
      </c>
      <c r="D1034" s="6">
        <v>0.99990000000000001</v>
      </c>
      <c r="E1034" s="6">
        <v>69345.7</v>
      </c>
      <c r="F1034" s="6">
        <v>69458.14</v>
      </c>
      <c r="G1034" s="6">
        <v>69336</v>
      </c>
      <c r="H1034" s="6">
        <v>69376.62</v>
      </c>
      <c r="I1034" s="5">
        <v>45601</v>
      </c>
      <c r="J1034" s="7">
        <f t="shared" si="98"/>
        <v>-4.4568328638665673E-4</v>
      </c>
      <c r="K1034" s="5">
        <v>45601</v>
      </c>
      <c r="L1034" s="8">
        <f t="shared" si="99"/>
        <v>1.7615668628129604E-3</v>
      </c>
      <c r="M1034" s="5">
        <v>45601</v>
      </c>
      <c r="N1034" s="9">
        <f t="shared" si="96"/>
        <v>1.3158835764263037E-3</v>
      </c>
      <c r="O1034" s="5">
        <v>45601</v>
      </c>
      <c r="P1034">
        <f t="shared" si="97"/>
        <v>1.0005858428521979</v>
      </c>
      <c r="Q1034" s="6">
        <f t="shared" si="100"/>
        <v>1.000100010001</v>
      </c>
      <c r="R1034">
        <f t="shared" si="101"/>
        <v>4.8566631293410798E-4</v>
      </c>
      <c r="T1034" s="5">
        <v>45601</v>
      </c>
      <c r="U1034" s="1">
        <v>4.8566631293410798E-4</v>
      </c>
    </row>
    <row r="1035" spans="3:21" x14ac:dyDescent="0.2">
      <c r="C1035" s="5">
        <v>45602</v>
      </c>
      <c r="D1035" s="6">
        <v>1.0008999999999999</v>
      </c>
      <c r="E1035" s="6">
        <v>75599.899999999994</v>
      </c>
      <c r="F1035" s="6">
        <v>75179.210000000006</v>
      </c>
      <c r="G1035" s="6">
        <v>75641.5</v>
      </c>
      <c r="H1035" s="6">
        <v>75578.399999999994</v>
      </c>
      <c r="I1035" s="5">
        <v>45602</v>
      </c>
      <c r="J1035" s="7">
        <f t="shared" si="98"/>
        <v>2.8447281233791668E-4</v>
      </c>
      <c r="K1035" s="5">
        <v>45602</v>
      </c>
      <c r="L1035" s="8">
        <f t="shared" si="99"/>
        <v>-6.1115921815404718E-3</v>
      </c>
      <c r="M1035" s="5">
        <v>45602</v>
      </c>
      <c r="N1035" s="9">
        <f t="shared" si="96"/>
        <v>-5.8271193692025552E-3</v>
      </c>
      <c r="O1035" s="5">
        <v>45602</v>
      </c>
      <c r="P1035">
        <f t="shared" si="97"/>
        <v>0.99916580184158155</v>
      </c>
      <c r="Q1035" s="6">
        <f t="shared" si="100"/>
        <v>0.99910080927165557</v>
      </c>
      <c r="R1035">
        <f t="shared" si="101"/>
        <v>6.5048947510291111E-5</v>
      </c>
      <c r="T1035" s="5">
        <v>45602</v>
      </c>
      <c r="U1035" s="1">
        <v>6.5048947510291111E-5</v>
      </c>
    </row>
    <row r="1036" spans="3:21" x14ac:dyDescent="0.2">
      <c r="C1036" s="5">
        <v>45603</v>
      </c>
      <c r="D1036" s="6">
        <v>1.0007600000000001</v>
      </c>
      <c r="E1036" s="6">
        <v>75874.8</v>
      </c>
      <c r="F1036" s="6">
        <v>75779.460000000006</v>
      </c>
      <c r="G1036" s="6">
        <v>75905</v>
      </c>
      <c r="H1036" s="6">
        <v>75856.84</v>
      </c>
      <c r="I1036" s="5">
        <v>45603</v>
      </c>
      <c r="J1036" s="7">
        <f t="shared" si="98"/>
        <v>2.3676177388889919E-4</v>
      </c>
      <c r="K1036" s="5">
        <v>45603</v>
      </c>
      <c r="L1036" s="8">
        <f t="shared" si="99"/>
        <v>-1.6539094921282338E-3</v>
      </c>
      <c r="M1036" s="5">
        <v>45603</v>
      </c>
      <c r="N1036" s="9">
        <f t="shared" si="96"/>
        <v>-1.4171477182393347E-3</v>
      </c>
      <c r="O1036" s="5">
        <v>45603</v>
      </c>
      <c r="P1036">
        <f t="shared" si="97"/>
        <v>0.99936552269283974</v>
      </c>
      <c r="Q1036" s="6">
        <f t="shared" si="100"/>
        <v>0.99924057716135728</v>
      </c>
      <c r="R1036">
        <f t="shared" si="101"/>
        <v>1.2503267317585847E-4</v>
      </c>
      <c r="T1036" s="5">
        <v>45603</v>
      </c>
      <c r="U1036" s="1">
        <v>1.2503267317585847E-4</v>
      </c>
    </row>
    <row r="1037" spans="3:21" x14ac:dyDescent="0.2">
      <c r="C1037" s="5">
        <v>45604</v>
      </c>
      <c r="D1037" s="6">
        <v>1.00068</v>
      </c>
      <c r="E1037" s="6">
        <v>76514.2</v>
      </c>
      <c r="F1037" s="6">
        <v>76470.2</v>
      </c>
      <c r="G1037" s="6">
        <v>76522.5</v>
      </c>
      <c r="H1037" s="6">
        <v>76498.67</v>
      </c>
      <c r="I1037" s="5">
        <v>45604</v>
      </c>
      <c r="J1037" s="7">
        <f t="shared" si="98"/>
        <v>2.0301006540373624E-4</v>
      </c>
      <c r="K1037" s="5">
        <v>45604</v>
      </c>
      <c r="L1037" s="8">
        <f t="shared" si="99"/>
        <v>-6.8345911333271797E-4</v>
      </c>
      <c r="M1037" s="5">
        <v>45604</v>
      </c>
      <c r="N1037" s="9">
        <f t="shared" si="96"/>
        <v>-4.8044904792898173E-4</v>
      </c>
      <c r="O1037" s="5">
        <v>45604</v>
      </c>
      <c r="P1037">
        <f t="shared" si="97"/>
        <v>0.99968858832369567</v>
      </c>
      <c r="Q1037" s="6">
        <f t="shared" si="100"/>
        <v>0.99932046208578162</v>
      </c>
      <c r="R1037">
        <f t="shared" si="101"/>
        <v>3.6830872976797291E-4</v>
      </c>
      <c r="T1037" s="5">
        <v>45604</v>
      </c>
      <c r="U1037" s="1">
        <v>3.6830872976797291E-4</v>
      </c>
    </row>
    <row r="1038" spans="3:21" x14ac:dyDescent="0.2">
      <c r="C1038" s="5">
        <v>45605</v>
      </c>
      <c r="D1038" s="6">
        <v>1.0005299999999999</v>
      </c>
      <c r="E1038" s="6">
        <v>76701.7</v>
      </c>
      <c r="F1038" s="6">
        <v>76619.12</v>
      </c>
      <c r="G1038" s="6">
        <v>76687</v>
      </c>
      <c r="H1038" s="6">
        <v>76670.84</v>
      </c>
      <c r="I1038" s="5">
        <v>45605</v>
      </c>
      <c r="J1038" s="7">
        <f t="shared" si="98"/>
        <v>4.0249982913974315E-4</v>
      </c>
      <c r="K1038" s="5">
        <v>45605</v>
      </c>
      <c r="L1038" s="8">
        <f t="shared" si="99"/>
        <v>-8.8515654543800976E-4</v>
      </c>
      <c r="M1038" s="5">
        <v>45605</v>
      </c>
      <c r="N1038" s="9">
        <f t="shared" si="96"/>
        <v>-4.8265671629826661E-4</v>
      </c>
      <c r="O1038" s="5">
        <v>45605</v>
      </c>
      <c r="P1038">
        <f t="shared" si="97"/>
        <v>0.99978927327969536</v>
      </c>
      <c r="Q1038" s="6">
        <f t="shared" si="100"/>
        <v>0.99947028075120192</v>
      </c>
      <c r="R1038">
        <f t="shared" si="101"/>
        <v>3.1911067330622295E-4</v>
      </c>
      <c r="T1038" s="5">
        <v>45605</v>
      </c>
      <c r="U1038" s="1">
        <v>3.1911067330622295E-4</v>
      </c>
    </row>
    <row r="1039" spans="3:21" x14ac:dyDescent="0.2">
      <c r="C1039" s="5">
        <v>45606</v>
      </c>
      <c r="D1039" s="6">
        <v>1.0007299999999999</v>
      </c>
      <c r="E1039" s="6">
        <v>80428.5</v>
      </c>
      <c r="F1039" s="6">
        <v>80152.11</v>
      </c>
      <c r="G1039" s="6">
        <v>80471</v>
      </c>
      <c r="H1039" s="6">
        <v>80355.850000000006</v>
      </c>
      <c r="I1039" s="5">
        <v>45606</v>
      </c>
      <c r="J1039" s="7">
        <f t="shared" si="98"/>
        <v>9.0410343490852473E-4</v>
      </c>
      <c r="K1039" s="5">
        <v>45606</v>
      </c>
      <c r="L1039" s="8">
        <f t="shared" si="99"/>
        <v>-3.9627940500304385E-3</v>
      </c>
      <c r="M1039" s="5">
        <v>45606</v>
      </c>
      <c r="N1039" s="9">
        <f t="shared" si="96"/>
        <v>-3.0586906151219137E-3</v>
      </c>
      <c r="O1039" s="5">
        <v>45606</v>
      </c>
      <c r="P1039">
        <f t="shared" si="97"/>
        <v>0.99856904971977489</v>
      </c>
      <c r="Q1039" s="6">
        <f t="shared" si="100"/>
        <v>0.99927053251126685</v>
      </c>
      <c r="R1039">
        <f t="shared" si="101"/>
        <v>-7.0224138770561342E-4</v>
      </c>
      <c r="T1039" s="5">
        <v>45606</v>
      </c>
      <c r="U1039" s="1">
        <v>-7.0224138770561342E-4</v>
      </c>
    </row>
    <row r="1040" spans="3:21" x14ac:dyDescent="0.2">
      <c r="C1040" s="5">
        <v>45607</v>
      </c>
      <c r="D1040" s="6">
        <v>1.00149</v>
      </c>
      <c r="E1040" s="6">
        <v>88765.4</v>
      </c>
      <c r="F1040" s="6">
        <v>87706.55</v>
      </c>
      <c r="G1040" s="6">
        <v>88852.5</v>
      </c>
      <c r="H1040" s="6">
        <v>88653.57</v>
      </c>
      <c r="I1040" s="5">
        <v>45607</v>
      </c>
      <c r="J1040" s="7">
        <f t="shared" si="98"/>
        <v>1.2614269227960834E-3</v>
      </c>
      <c r="K1040" s="5">
        <v>45607</v>
      </c>
      <c r="L1040" s="8">
        <f t="shared" si="99"/>
        <v>-1.2897217298331471E-2</v>
      </c>
      <c r="M1040" s="5">
        <v>45607</v>
      </c>
      <c r="N1040" s="9">
        <f t="shared" si="96"/>
        <v>-1.1635790375535388E-2</v>
      </c>
      <c r="O1040" s="5">
        <v>45607</v>
      </c>
      <c r="P1040">
        <f t="shared" si="97"/>
        <v>0.99776112095889269</v>
      </c>
      <c r="Q1040" s="6">
        <f t="shared" si="100"/>
        <v>0.99851221679697255</v>
      </c>
      <c r="R1040">
        <f t="shared" si="101"/>
        <v>-7.5249802651452819E-4</v>
      </c>
      <c r="T1040" s="5">
        <v>45607</v>
      </c>
      <c r="U1040" s="1">
        <v>-7.5249802651452819E-4</v>
      </c>
    </row>
    <row r="1041" spans="3:21" x14ac:dyDescent="0.2">
      <c r="C1041" s="5">
        <v>45608</v>
      </c>
      <c r="D1041" s="6">
        <v>1.00116</v>
      </c>
      <c r="E1041" s="6">
        <v>87968</v>
      </c>
      <c r="F1041" s="6">
        <v>87210.14</v>
      </c>
      <c r="G1041" s="6">
        <v>88053.5</v>
      </c>
      <c r="H1041" s="6">
        <v>87919.73</v>
      </c>
      <c r="I1041" s="5">
        <v>45608</v>
      </c>
      <c r="J1041" s="7">
        <f t="shared" si="98"/>
        <v>5.4902352407137825E-4</v>
      </c>
      <c r="K1041" s="5">
        <v>45608</v>
      </c>
      <c r="L1041" s="8">
        <f t="shared" si="99"/>
        <v>-9.5778134883905876E-3</v>
      </c>
      <c r="M1041" s="5">
        <v>45608</v>
      </c>
      <c r="N1041" s="9">
        <f t="shared" si="96"/>
        <v>-9.0287899643192102E-3</v>
      </c>
      <c r="O1041" s="5">
        <v>45608</v>
      </c>
      <c r="P1041">
        <f t="shared" si="97"/>
        <v>0.99848080996212529</v>
      </c>
      <c r="Q1041" s="6">
        <f t="shared" si="100"/>
        <v>0.99884134404091252</v>
      </c>
      <c r="R1041">
        <f t="shared" si="101"/>
        <v>-3.6101745727938226E-4</v>
      </c>
      <c r="T1041" s="5">
        <v>45608</v>
      </c>
      <c r="U1041" s="1">
        <v>-3.6101745727938226E-4</v>
      </c>
    </row>
    <row r="1042" spans="3:21" x14ac:dyDescent="0.2">
      <c r="C1042" s="5">
        <v>45609</v>
      </c>
      <c r="D1042" s="6">
        <v>1.0012700000000001</v>
      </c>
      <c r="E1042" s="6">
        <v>90411.199999999997</v>
      </c>
      <c r="F1042" s="6">
        <v>90150.68</v>
      </c>
      <c r="G1042" s="6">
        <v>90523</v>
      </c>
      <c r="H1042" s="6">
        <v>90372.9</v>
      </c>
      <c r="I1042" s="5">
        <v>45609</v>
      </c>
      <c r="J1042" s="7">
        <f t="shared" si="98"/>
        <v>4.2379961249448578E-4</v>
      </c>
      <c r="K1042" s="5">
        <v>45609</v>
      </c>
      <c r="L1042" s="8">
        <f t="shared" si="99"/>
        <v>-4.1129878594391147E-3</v>
      </c>
      <c r="M1042" s="5">
        <v>45609</v>
      </c>
      <c r="N1042" s="9">
        <f t="shared" si="96"/>
        <v>-3.6891882469446292E-3</v>
      </c>
      <c r="O1042" s="5">
        <v>45609</v>
      </c>
      <c r="P1042">
        <f t="shared" si="97"/>
        <v>0.99834185787037533</v>
      </c>
      <c r="Q1042" s="6">
        <f t="shared" si="100"/>
        <v>0.99873161085421502</v>
      </c>
      <c r="R1042">
        <f t="shared" si="101"/>
        <v>-3.9032413668484481E-4</v>
      </c>
      <c r="T1042" s="5">
        <v>45609</v>
      </c>
      <c r="U1042" s="1">
        <v>-3.9032413668484481E-4</v>
      </c>
    </row>
    <row r="1043" spans="3:21" x14ac:dyDescent="0.2">
      <c r="C1043" s="5">
        <v>45610</v>
      </c>
      <c r="D1043" s="6">
        <v>1.00003</v>
      </c>
      <c r="E1043" s="6">
        <v>87367.3</v>
      </c>
      <c r="F1043" s="6">
        <v>87324.52</v>
      </c>
      <c r="G1043" s="6">
        <v>87347.5</v>
      </c>
      <c r="H1043" s="6">
        <v>87331.26</v>
      </c>
      <c r="I1043" s="5">
        <v>45610</v>
      </c>
      <c r="J1043" s="7">
        <f t="shared" si="98"/>
        <v>4.1268155297436625E-4</v>
      </c>
      <c r="K1043" s="5">
        <v>45610</v>
      </c>
      <c r="L1043" s="8">
        <f t="shared" si="99"/>
        <v>-2.6308709465063023E-4</v>
      </c>
      <c r="M1043" s="5">
        <v>45610</v>
      </c>
      <c r="N1043" s="9">
        <f t="shared" si="96"/>
        <v>1.4959445832373602E-4</v>
      </c>
      <c r="O1043" s="5">
        <v>45610</v>
      </c>
      <c r="P1043">
        <f t="shared" si="97"/>
        <v>0.99981407596096039</v>
      </c>
      <c r="Q1043" s="6">
        <f t="shared" si="100"/>
        <v>0.99997000089997301</v>
      </c>
      <c r="R1043">
        <f t="shared" si="101"/>
        <v>-1.5594177504740751E-4</v>
      </c>
      <c r="T1043" s="5">
        <v>45610</v>
      </c>
      <c r="U1043" s="1">
        <v>-1.5594177504740751E-4</v>
      </c>
    </row>
    <row r="1044" spans="3:21" x14ac:dyDescent="0.2">
      <c r="C1044" s="5">
        <v>45611</v>
      </c>
      <c r="D1044" s="6">
        <v>1.00027</v>
      </c>
      <c r="E1044" s="6">
        <v>91125.2</v>
      </c>
      <c r="F1044" s="6">
        <v>90726.99</v>
      </c>
      <c r="G1044" s="6">
        <v>91102.5</v>
      </c>
      <c r="H1044" s="6">
        <v>91018.69</v>
      </c>
      <c r="I1044" s="5">
        <v>45611</v>
      </c>
      <c r="J1044" s="7">
        <f t="shared" si="98"/>
        <v>1.1701992195228778E-3</v>
      </c>
      <c r="K1044" s="5">
        <v>45611</v>
      </c>
      <c r="L1044" s="8">
        <f t="shared" si="99"/>
        <v>-4.121840783732551E-3</v>
      </c>
      <c r="M1044" s="5">
        <v>45611</v>
      </c>
      <c r="N1044" s="9">
        <f t="shared" si="96"/>
        <v>-2.9516415642096734E-3</v>
      </c>
      <c r="O1044" s="5">
        <v>45611</v>
      </c>
      <c r="P1044">
        <f t="shared" si="97"/>
        <v>0.99908004719958288</v>
      </c>
      <c r="Q1044" s="6">
        <f t="shared" si="100"/>
        <v>0.99973007288032234</v>
      </c>
      <c r="R1044">
        <f t="shared" si="101"/>
        <v>-6.504126601368529E-4</v>
      </c>
      <c r="T1044" s="5">
        <v>45611</v>
      </c>
      <c r="U1044" s="1">
        <v>-6.504126601368529E-4</v>
      </c>
    </row>
    <row r="1045" spans="3:21" x14ac:dyDescent="0.2">
      <c r="C1045" s="5">
        <v>45612</v>
      </c>
      <c r="D1045" s="6">
        <v>1.0003</v>
      </c>
      <c r="E1045" s="6">
        <v>90625.4</v>
      </c>
      <c r="F1045" s="6">
        <v>90119.25</v>
      </c>
      <c r="G1045" s="6">
        <v>90668</v>
      </c>
      <c r="H1045" s="6">
        <v>90577.4</v>
      </c>
      <c r="I1045" s="5">
        <v>45612</v>
      </c>
      <c r="J1045" s="7">
        <f t="shared" si="98"/>
        <v>5.2993351542437745E-4</v>
      </c>
      <c r="K1045" s="5">
        <v>45612</v>
      </c>
      <c r="L1045" s="8">
        <f t="shared" si="99"/>
        <v>-6.0523007014602727E-3</v>
      </c>
      <c r="M1045" s="5">
        <v>45612</v>
      </c>
      <c r="N1045" s="9">
        <f t="shared" si="96"/>
        <v>-5.5223671860358953E-3</v>
      </c>
      <c r="O1045" s="5">
        <v>45612</v>
      </c>
      <c r="P1045">
        <f t="shared" si="97"/>
        <v>0.9990007499889707</v>
      </c>
      <c r="Q1045" s="6">
        <f t="shared" si="100"/>
        <v>0.99970008997300808</v>
      </c>
      <c r="R1045">
        <f t="shared" si="101"/>
        <v>-6.9979458515693756E-4</v>
      </c>
      <c r="T1045" s="5">
        <v>45612</v>
      </c>
      <c r="U1045" s="1">
        <v>-6.9979458515693756E-4</v>
      </c>
    </row>
    <row r="1046" spans="3:21" x14ac:dyDescent="0.2">
      <c r="C1046" s="5">
        <v>45613</v>
      </c>
      <c r="D1046" s="6">
        <v>1.00024</v>
      </c>
      <c r="E1046" s="6">
        <v>89900</v>
      </c>
      <c r="F1046" s="6">
        <v>89467.45</v>
      </c>
      <c r="G1046" s="6">
        <v>89909.5</v>
      </c>
      <c r="H1046" s="6">
        <v>89852.56</v>
      </c>
      <c r="I1046" s="5">
        <v>45613</v>
      </c>
      <c r="J1046" s="7">
        <f t="shared" si="98"/>
        <v>5.2797605321431391E-4</v>
      </c>
      <c r="K1046" s="5">
        <v>45613</v>
      </c>
      <c r="L1046" s="8">
        <f t="shared" si="99"/>
        <v>-4.9166105917617482E-3</v>
      </c>
      <c r="M1046" s="5">
        <v>45613</v>
      </c>
      <c r="N1046" s="9">
        <f t="shared" si="96"/>
        <v>-4.3886345385474347E-3</v>
      </c>
      <c r="O1046" s="5">
        <v>45613</v>
      </c>
      <c r="P1046">
        <f t="shared" si="97"/>
        <v>0.99936669651149213</v>
      </c>
      <c r="Q1046" s="6">
        <f t="shared" si="100"/>
        <v>0.99976005758617925</v>
      </c>
      <c r="R1046">
        <f t="shared" si="101"/>
        <v>-3.9353290526220454E-4</v>
      </c>
      <c r="T1046" s="5">
        <v>45613</v>
      </c>
      <c r="U1046" s="1">
        <v>-3.9353290526220454E-4</v>
      </c>
    </row>
    <row r="1047" spans="3:21" x14ac:dyDescent="0.2">
      <c r="C1047" s="5">
        <v>45614</v>
      </c>
      <c r="D1047" s="6">
        <v>1.00057</v>
      </c>
      <c r="E1047" s="6">
        <v>90535</v>
      </c>
      <c r="F1047" s="6">
        <v>90509.91</v>
      </c>
      <c r="G1047" s="6">
        <v>90594</v>
      </c>
      <c r="H1047" s="6">
        <v>90462.78</v>
      </c>
      <c r="I1047" s="5">
        <v>45614</v>
      </c>
      <c r="J1047" s="7">
        <f t="shared" si="98"/>
        <v>7.9833938333534699E-4</v>
      </c>
      <c r="K1047" s="5">
        <v>45614</v>
      </c>
      <c r="L1047" s="8">
        <f t="shared" si="99"/>
        <v>-9.2820716603744737E-4</v>
      </c>
      <c r="M1047" s="5">
        <v>45614</v>
      </c>
      <c r="N1047" s="9">
        <f t="shared" si="96"/>
        <v>-1.2986778270210038E-4</v>
      </c>
      <c r="O1047" s="5">
        <v>45614</v>
      </c>
      <c r="P1047">
        <f t="shared" si="97"/>
        <v>0.99855155970594078</v>
      </c>
      <c r="Q1047" s="6">
        <f t="shared" si="100"/>
        <v>0.99943032471491255</v>
      </c>
      <c r="R1047">
        <f t="shared" si="101"/>
        <v>-8.7965268603157419E-4</v>
      </c>
      <c r="T1047" s="5">
        <v>45614</v>
      </c>
      <c r="U1047" s="1">
        <v>-8.7965268603157419E-4</v>
      </c>
    </row>
    <row r="1048" spans="3:21" x14ac:dyDescent="0.2">
      <c r="C1048" s="5">
        <v>45615</v>
      </c>
      <c r="D1048" s="6">
        <v>1.0014099999999999</v>
      </c>
      <c r="E1048" s="6">
        <v>92341.4</v>
      </c>
      <c r="F1048" s="6">
        <v>92457.82</v>
      </c>
      <c r="G1048" s="6">
        <v>92481.5</v>
      </c>
      <c r="H1048" s="6">
        <v>92302.34</v>
      </c>
      <c r="I1048" s="5">
        <v>45615</v>
      </c>
      <c r="J1048" s="7">
        <f t="shared" si="98"/>
        <v>4.2317453707021589E-4</v>
      </c>
      <c r="K1048" s="5">
        <v>45615</v>
      </c>
      <c r="L1048" s="8">
        <f t="shared" si="99"/>
        <v>-2.560512102419729E-4</v>
      </c>
      <c r="M1048" s="5">
        <v>45615</v>
      </c>
      <c r="N1048" s="9">
        <f t="shared" si="96"/>
        <v>1.67123326828243E-4</v>
      </c>
      <c r="O1048" s="5">
        <v>45615</v>
      </c>
      <c r="P1048">
        <f t="shared" si="97"/>
        <v>0.99806274768467207</v>
      </c>
      <c r="Q1048" s="6">
        <f t="shared" si="100"/>
        <v>0.99859198530072601</v>
      </c>
      <c r="R1048">
        <f t="shared" si="101"/>
        <v>-5.3012433216936567E-4</v>
      </c>
      <c r="T1048" s="5">
        <v>45615</v>
      </c>
      <c r="U1048" s="1">
        <v>-5.3012433216936567E-4</v>
      </c>
    </row>
    <row r="1049" spans="3:21" x14ac:dyDescent="0.2">
      <c r="C1049" s="5">
        <v>45616</v>
      </c>
      <c r="D1049" s="6">
        <v>1.00088</v>
      </c>
      <c r="E1049" s="6">
        <v>94315.3</v>
      </c>
      <c r="F1049" s="6">
        <v>94204.91</v>
      </c>
      <c r="G1049" s="6">
        <v>94396</v>
      </c>
      <c r="H1049" s="6">
        <v>94299.65</v>
      </c>
      <c r="I1049" s="5">
        <v>45616</v>
      </c>
      <c r="J1049" s="7">
        <f t="shared" si="98"/>
        <v>1.659603190468759E-4</v>
      </c>
      <c r="K1049" s="5">
        <v>45616</v>
      </c>
      <c r="L1049" s="8">
        <f t="shared" si="99"/>
        <v>-2.0243442518750425E-3</v>
      </c>
      <c r="M1049" s="5">
        <v>45616</v>
      </c>
      <c r="N1049" s="9">
        <f t="shared" si="96"/>
        <v>-1.8583839328281666E-3</v>
      </c>
      <c r="O1049" s="5">
        <v>45616</v>
      </c>
      <c r="P1049">
        <f t="shared" si="97"/>
        <v>0.99897929997033763</v>
      </c>
      <c r="Q1049" s="6">
        <f t="shared" si="100"/>
        <v>0.99912077371912722</v>
      </c>
      <c r="R1049">
        <f t="shared" si="101"/>
        <v>-1.416082716665329E-4</v>
      </c>
      <c r="T1049" s="5">
        <v>45616</v>
      </c>
      <c r="U1049" s="1">
        <v>-1.416082716665329E-4</v>
      </c>
    </row>
    <row r="1050" spans="3:21" x14ac:dyDescent="0.2">
      <c r="C1050" s="5">
        <v>45617</v>
      </c>
      <c r="D1050" s="6">
        <v>1.00109</v>
      </c>
      <c r="E1050" s="6">
        <v>98382.9</v>
      </c>
      <c r="F1050" s="6">
        <v>97784.65</v>
      </c>
      <c r="G1050" s="6">
        <v>98518.5</v>
      </c>
      <c r="H1050" s="6">
        <v>98320.38</v>
      </c>
      <c r="I1050" s="5">
        <v>45617</v>
      </c>
      <c r="J1050" s="7">
        <f t="shared" si="98"/>
        <v>6.3588037393660923E-4</v>
      </c>
      <c r="K1050" s="5">
        <v>45617</v>
      </c>
      <c r="L1050" s="8">
        <f t="shared" si="99"/>
        <v>-7.448854783619379E-3</v>
      </c>
      <c r="M1050" s="5">
        <v>45617</v>
      </c>
      <c r="N1050" s="9">
        <f t="shared" si="96"/>
        <v>-6.8129744096827698E-3</v>
      </c>
      <c r="O1050" s="5">
        <v>45617</v>
      </c>
      <c r="P1050">
        <f t="shared" si="97"/>
        <v>0.99798900714079086</v>
      </c>
      <c r="Q1050" s="6">
        <f t="shared" si="100"/>
        <v>0.99891118680638102</v>
      </c>
      <c r="R1050">
        <f t="shared" si="101"/>
        <v>-9.2361123900072054E-4</v>
      </c>
      <c r="T1050" s="5">
        <v>45617</v>
      </c>
      <c r="U1050" s="1">
        <v>-9.2361123900072054E-4</v>
      </c>
    </row>
    <row r="1051" spans="3:21" x14ac:dyDescent="0.2">
      <c r="C1051" s="5">
        <v>45618</v>
      </c>
      <c r="D1051" s="6">
        <v>1.0011099999999999</v>
      </c>
      <c r="E1051" s="6">
        <v>98947</v>
      </c>
      <c r="F1051" s="6">
        <v>98355.06</v>
      </c>
      <c r="G1051" s="6">
        <v>99023.5</v>
      </c>
      <c r="H1051" s="6">
        <v>98886.58</v>
      </c>
      <c r="I1051" s="5">
        <v>45618</v>
      </c>
      <c r="J1051" s="7">
        <f t="shared" si="98"/>
        <v>6.1100302993589474E-4</v>
      </c>
      <c r="K1051" s="5">
        <v>45618</v>
      </c>
      <c r="L1051" s="8">
        <f t="shared" si="99"/>
        <v>-6.7503168439815029E-3</v>
      </c>
      <c r="M1051" s="5">
        <v>45618</v>
      </c>
      <c r="N1051" s="9">
        <f t="shared" si="96"/>
        <v>-6.1393138140456082E-3</v>
      </c>
      <c r="O1051" s="5">
        <v>45618</v>
      </c>
      <c r="P1051">
        <f t="shared" si="97"/>
        <v>0.99861729791413156</v>
      </c>
      <c r="Q1051" s="6">
        <f t="shared" si="100"/>
        <v>0.99889123073388542</v>
      </c>
      <c r="R1051">
        <f t="shared" si="101"/>
        <v>-2.7427449499455145E-4</v>
      </c>
      <c r="T1051" s="5">
        <v>45618</v>
      </c>
      <c r="U1051" s="1">
        <v>-2.7427449499455145E-4</v>
      </c>
    </row>
    <row r="1052" spans="3:21" x14ac:dyDescent="0.2">
      <c r="C1052" s="5">
        <v>45619</v>
      </c>
      <c r="D1052" s="6">
        <v>1.00095</v>
      </c>
      <c r="E1052" s="6">
        <v>97740.2</v>
      </c>
      <c r="F1052" s="6">
        <v>97113.29</v>
      </c>
      <c r="G1052" s="6">
        <v>97820.5</v>
      </c>
      <c r="H1052" s="6">
        <v>97672.5</v>
      </c>
      <c r="I1052" s="5">
        <v>45619</v>
      </c>
      <c r="J1052" s="7">
        <f t="shared" si="98"/>
        <v>6.9313266272489282E-4</v>
      </c>
      <c r="K1052" s="5">
        <v>45619</v>
      </c>
      <c r="L1052" s="8">
        <f t="shared" si="99"/>
        <v>-7.2296706723029057E-3</v>
      </c>
      <c r="M1052" s="5">
        <v>45619</v>
      </c>
      <c r="N1052" s="9">
        <f t="shared" si="96"/>
        <v>-6.5365380095780126E-3</v>
      </c>
      <c r="O1052" s="5">
        <v>45619</v>
      </c>
      <c r="P1052">
        <f t="shared" si="97"/>
        <v>0.99848702470341089</v>
      </c>
      <c r="Q1052" s="6">
        <f t="shared" si="100"/>
        <v>0.99905090164343868</v>
      </c>
      <c r="R1052">
        <f t="shared" si="101"/>
        <v>-5.6457196388413997E-4</v>
      </c>
      <c r="T1052" s="5">
        <v>45619</v>
      </c>
      <c r="U1052" s="1">
        <v>-5.6457196388413997E-4</v>
      </c>
    </row>
    <row r="1053" spans="3:21" x14ac:dyDescent="0.2">
      <c r="C1053" s="5">
        <v>45620</v>
      </c>
      <c r="D1053" s="6">
        <v>1.0010600000000001</v>
      </c>
      <c r="E1053" s="6">
        <v>98027.7</v>
      </c>
      <c r="F1053" s="6">
        <v>97891.72</v>
      </c>
      <c r="G1053" s="6">
        <v>98073</v>
      </c>
      <c r="H1053" s="6">
        <v>97927.53</v>
      </c>
      <c r="I1053" s="5">
        <v>45620</v>
      </c>
      <c r="J1053" s="7">
        <f t="shared" si="98"/>
        <v>1.0228992807231863E-3</v>
      </c>
      <c r="K1053" s="5">
        <v>45620</v>
      </c>
      <c r="L1053" s="8">
        <f t="shared" si="99"/>
        <v>-1.8484190348005958E-3</v>
      </c>
      <c r="M1053" s="5">
        <v>45620</v>
      </c>
      <c r="N1053" s="9">
        <f t="shared" si="96"/>
        <v>-8.2551975407740949E-4</v>
      </c>
      <c r="O1053" s="5">
        <v>45620</v>
      </c>
      <c r="P1053">
        <f t="shared" si="97"/>
        <v>0.9985167171392737</v>
      </c>
      <c r="Q1053" s="6">
        <f t="shared" si="100"/>
        <v>0.99894112241024513</v>
      </c>
      <c r="R1053">
        <f t="shared" si="101"/>
        <v>-4.249454170744405E-4</v>
      </c>
      <c r="T1053" s="5">
        <v>45620</v>
      </c>
      <c r="U1053" s="1">
        <v>-4.249454170744405E-4</v>
      </c>
    </row>
    <row r="1054" spans="3:21" x14ac:dyDescent="0.2">
      <c r="C1054" s="5">
        <v>45621</v>
      </c>
      <c r="D1054" s="6">
        <v>0.99992000000000003</v>
      </c>
      <c r="E1054" s="6">
        <v>93004.1</v>
      </c>
      <c r="F1054" s="6">
        <v>92846.14</v>
      </c>
      <c r="G1054" s="6">
        <v>93035.5</v>
      </c>
      <c r="H1054" s="6">
        <v>92970.66</v>
      </c>
      <c r="I1054" s="5">
        <v>45621</v>
      </c>
      <c r="J1054" s="7">
        <f t="shared" si="98"/>
        <v>3.5968336677401585E-4</v>
      </c>
      <c r="K1054" s="5">
        <v>45621</v>
      </c>
      <c r="L1054" s="8">
        <f t="shared" si="99"/>
        <v>-2.0353520967802676E-3</v>
      </c>
      <c r="M1054" s="5">
        <v>45621</v>
      </c>
      <c r="N1054" s="9">
        <f t="shared" si="96"/>
        <v>-1.6756687300062518E-3</v>
      </c>
      <c r="O1054" s="5">
        <v>45621</v>
      </c>
      <c r="P1054">
        <f t="shared" si="97"/>
        <v>0.99930306173449923</v>
      </c>
      <c r="Q1054" s="6">
        <f t="shared" si="100"/>
        <v>1.000080006400512</v>
      </c>
      <c r="R1054">
        <f t="shared" si="101"/>
        <v>-7.7718444004302968E-4</v>
      </c>
      <c r="T1054" s="5">
        <v>45621</v>
      </c>
      <c r="U1054" s="1">
        <v>-7.7718444004302968E-4</v>
      </c>
    </row>
    <row r="1055" spans="3:21" x14ac:dyDescent="0.2">
      <c r="C1055" s="5">
        <v>45622</v>
      </c>
      <c r="D1055" s="6">
        <v>0.99956999999999996</v>
      </c>
      <c r="E1055" s="6">
        <v>92025.600000000006</v>
      </c>
      <c r="F1055" s="6">
        <v>91913.95</v>
      </c>
      <c r="G1055" s="6">
        <v>91952</v>
      </c>
      <c r="H1055" s="6">
        <v>91956.47</v>
      </c>
      <c r="I1055" s="5">
        <v>45622</v>
      </c>
      <c r="J1055" s="7">
        <f t="shared" si="98"/>
        <v>7.5176874449404876E-4</v>
      </c>
      <c r="K1055" s="5">
        <v>45622</v>
      </c>
      <c r="L1055" s="8">
        <f t="shared" si="99"/>
        <v>-4.1380285366281221E-4</v>
      </c>
      <c r="M1055" s="5">
        <v>45622</v>
      </c>
      <c r="N1055" s="9">
        <f t="shared" si="96"/>
        <v>3.3796589083123654E-4</v>
      </c>
      <c r="O1055" s="5">
        <v>45622</v>
      </c>
      <c r="P1055">
        <f t="shared" si="97"/>
        <v>1.0000486123194712</v>
      </c>
      <c r="Q1055" s="6">
        <f t="shared" si="100"/>
        <v>1.0004301849795412</v>
      </c>
      <c r="R1055">
        <f t="shared" si="101"/>
        <v>-3.8148133858020297E-4</v>
      </c>
      <c r="T1055" s="5">
        <v>45622</v>
      </c>
      <c r="U1055" s="1">
        <v>-3.8148133858020297E-4</v>
      </c>
    </row>
    <row r="1056" spans="3:21" x14ac:dyDescent="0.2">
      <c r="C1056" s="5">
        <v>45623</v>
      </c>
      <c r="D1056" s="6">
        <v>1.00101</v>
      </c>
      <c r="E1056" s="6">
        <v>95908.7</v>
      </c>
      <c r="F1056" s="6">
        <v>95883.19</v>
      </c>
      <c r="G1056" s="6">
        <v>95987.5</v>
      </c>
      <c r="H1056" s="6">
        <v>95840.17</v>
      </c>
      <c r="I1056" s="5">
        <v>45623</v>
      </c>
      <c r="J1056" s="7">
        <f t="shared" si="98"/>
        <v>7.1504464151095348E-4</v>
      </c>
      <c r="K1056" s="5">
        <v>45623</v>
      </c>
      <c r="L1056" s="8">
        <f t="shared" si="99"/>
        <v>-1.0867039979163711E-3</v>
      </c>
      <c r="M1056" s="5">
        <v>45623</v>
      </c>
      <c r="N1056" s="9">
        <f t="shared" si="96"/>
        <v>-3.7165935640541764E-4</v>
      </c>
      <c r="O1056" s="5">
        <v>45623</v>
      </c>
      <c r="P1056">
        <f t="shared" si="97"/>
        <v>0.99846511264487559</v>
      </c>
      <c r="Q1056" s="6">
        <f t="shared" si="100"/>
        <v>0.99899101907073862</v>
      </c>
      <c r="R1056">
        <f t="shared" si="101"/>
        <v>-5.2657620827288056E-4</v>
      </c>
      <c r="T1056" s="5">
        <v>45623</v>
      </c>
      <c r="U1056" s="1">
        <v>-5.2657620827288056E-4</v>
      </c>
    </row>
    <row r="1057" spans="3:21" x14ac:dyDescent="0.2">
      <c r="C1057" s="5">
        <v>45624</v>
      </c>
      <c r="D1057" s="6">
        <v>1.00014</v>
      </c>
      <c r="E1057" s="6">
        <v>95702.8</v>
      </c>
      <c r="F1057" s="6">
        <v>95690.84</v>
      </c>
      <c r="G1057" s="6">
        <v>95732.5</v>
      </c>
      <c r="H1057" s="6">
        <v>95643.21</v>
      </c>
      <c r="I1057" s="5">
        <v>45624</v>
      </c>
      <c r="J1057" s="7">
        <f t="shared" si="98"/>
        <v>6.2304475142560046E-4</v>
      </c>
      <c r="K1057" s="5">
        <v>45624</v>
      </c>
      <c r="L1057" s="8">
        <f t="shared" si="99"/>
        <v>-4.3517091896694949E-4</v>
      </c>
      <c r="M1057" s="5">
        <v>45624</v>
      </c>
      <c r="N1057" s="9">
        <f t="shared" si="96"/>
        <v>1.8787383245865097E-4</v>
      </c>
      <c r="O1057" s="5">
        <v>45624</v>
      </c>
      <c r="P1057">
        <f t="shared" si="97"/>
        <v>0.99906729689499396</v>
      </c>
      <c r="Q1057" s="6">
        <f t="shared" si="100"/>
        <v>0.99986001959725634</v>
      </c>
      <c r="R1057">
        <f t="shared" si="101"/>
        <v>-7.931481422855691E-4</v>
      </c>
      <c r="T1057" s="5">
        <v>45624</v>
      </c>
      <c r="U1057" s="1">
        <v>-7.931481422855691E-4</v>
      </c>
    </row>
    <row r="1058" spans="3:21" x14ac:dyDescent="0.2">
      <c r="C1058" s="5">
        <v>45625</v>
      </c>
      <c r="D1058" s="6">
        <v>1.0004599999999999</v>
      </c>
      <c r="E1058" s="6">
        <v>97526.7</v>
      </c>
      <c r="F1058" s="6">
        <v>97374.43</v>
      </c>
      <c r="G1058" s="6">
        <v>97573</v>
      </c>
      <c r="H1058" s="6">
        <v>97442.02</v>
      </c>
      <c r="I1058" s="5">
        <v>45625</v>
      </c>
      <c r="J1058" s="7">
        <f t="shared" si="98"/>
        <v>8.690296034502673E-4</v>
      </c>
      <c r="K1058" s="5">
        <v>45625</v>
      </c>
      <c r="L1058" s="8">
        <f t="shared" si="99"/>
        <v>-2.0350916749511338E-3</v>
      </c>
      <c r="M1058" s="5">
        <v>45625</v>
      </c>
      <c r="N1058" s="9">
        <f t="shared" si="96"/>
        <v>-1.1660620715008665E-3</v>
      </c>
      <c r="O1058" s="5">
        <v>45625</v>
      </c>
      <c r="P1058">
        <f t="shared" si="97"/>
        <v>0.99865762044827977</v>
      </c>
      <c r="Q1058" s="6">
        <f t="shared" si="100"/>
        <v>0.99954021150270889</v>
      </c>
      <c r="R1058">
        <f t="shared" si="101"/>
        <v>-8.8338711784425889E-4</v>
      </c>
      <c r="T1058" s="5">
        <v>45625</v>
      </c>
      <c r="U1058" s="1">
        <v>-8.8338711784425889E-4</v>
      </c>
    </row>
    <row r="1059" spans="3:21" x14ac:dyDescent="0.2">
      <c r="C1059" s="5">
        <v>45626</v>
      </c>
      <c r="D1059" s="6">
        <v>1.0005200000000001</v>
      </c>
      <c r="E1059" s="6">
        <v>96484</v>
      </c>
      <c r="F1059" s="6">
        <v>96263.32</v>
      </c>
      <c r="G1059" s="6">
        <v>96547.5</v>
      </c>
      <c r="H1059" s="6">
        <v>96416.45</v>
      </c>
      <c r="I1059" s="5">
        <v>45626</v>
      </c>
      <c r="J1059" s="7">
        <f t="shared" si="98"/>
        <v>7.0060658736141926E-4</v>
      </c>
      <c r="K1059" s="5">
        <v>45626</v>
      </c>
      <c r="L1059" s="8">
        <f t="shared" si="99"/>
        <v>-2.9434216318391777E-3</v>
      </c>
      <c r="M1059" s="5">
        <v>45626</v>
      </c>
      <c r="N1059" s="9">
        <f t="shared" si="96"/>
        <v>-2.2428150444777583E-3</v>
      </c>
      <c r="O1059" s="5">
        <v>45626</v>
      </c>
      <c r="P1059">
        <f t="shared" si="97"/>
        <v>0.99864263704394207</v>
      </c>
      <c r="Q1059" s="6">
        <f t="shared" si="100"/>
        <v>0.99948027025946495</v>
      </c>
      <c r="R1059">
        <f t="shared" si="101"/>
        <v>-8.3842016077087511E-4</v>
      </c>
      <c r="T1059" s="5">
        <v>45626</v>
      </c>
      <c r="U1059" s="1">
        <v>-8.3842016077087511E-4</v>
      </c>
    </row>
    <row r="1060" spans="3:21" x14ac:dyDescent="0.2">
      <c r="C1060" s="5">
        <v>45627</v>
      </c>
      <c r="D1060" s="6">
        <v>1.0006999999999999</v>
      </c>
      <c r="E1060" s="6">
        <v>97265.4</v>
      </c>
      <c r="F1060" s="6">
        <v>97026.18</v>
      </c>
      <c r="G1060" s="6">
        <v>97348.5</v>
      </c>
      <c r="H1060" s="6">
        <v>97192.639999999999</v>
      </c>
      <c r="I1060" s="5">
        <v>45627</v>
      </c>
      <c r="J1060" s="7">
        <f t="shared" si="98"/>
        <v>7.4861635613555477E-4</v>
      </c>
      <c r="K1060" s="5">
        <v>45627</v>
      </c>
      <c r="L1060" s="8">
        <f t="shared" si="99"/>
        <v>-3.3109909243594611E-3</v>
      </c>
      <c r="M1060" s="5">
        <v>45627</v>
      </c>
      <c r="N1060" s="9">
        <f t="shared" si="96"/>
        <v>-2.5623745682239064E-3</v>
      </c>
      <c r="O1060" s="5">
        <v>45627</v>
      </c>
      <c r="P1060">
        <f t="shared" si="97"/>
        <v>0.998398948109113</v>
      </c>
      <c r="Q1060" s="6">
        <f t="shared" si="100"/>
        <v>0.99930048965724005</v>
      </c>
      <c r="R1060">
        <f t="shared" si="101"/>
        <v>-9.0257982986516479E-4</v>
      </c>
      <c r="T1060" s="5">
        <v>45627</v>
      </c>
      <c r="U1060" s="1">
        <v>-9.0257982986516479E-4</v>
      </c>
    </row>
    <row r="1061" spans="3:21" x14ac:dyDescent="0.2">
      <c r="C1061" s="5">
        <v>45628</v>
      </c>
      <c r="D1061" s="6">
        <v>1.0003500000000001</v>
      </c>
      <c r="E1061" s="6">
        <v>95886.6</v>
      </c>
      <c r="F1061" s="6">
        <v>95815.67</v>
      </c>
      <c r="G1061" s="6">
        <v>95931.5</v>
      </c>
      <c r="H1061" s="6">
        <v>95819.47</v>
      </c>
      <c r="I1061" s="5">
        <v>45628</v>
      </c>
      <c r="J1061" s="7">
        <f t="shared" si="98"/>
        <v>7.0058830423508562E-4</v>
      </c>
      <c r="K1061" s="5">
        <v>45628</v>
      </c>
      <c r="L1061" s="8">
        <f t="shared" si="99"/>
        <v>-1.20742404736715E-3</v>
      </c>
      <c r="M1061" s="5">
        <v>45628</v>
      </c>
      <c r="N1061" s="9">
        <f t="shared" si="96"/>
        <v>-5.0683574313206442E-4</v>
      </c>
      <c r="O1061" s="5">
        <v>45628</v>
      </c>
      <c r="P1061">
        <f t="shared" si="97"/>
        <v>0.99883218755049175</v>
      </c>
      <c r="Q1061" s="6">
        <f t="shared" si="100"/>
        <v>0.99965012245713991</v>
      </c>
      <c r="R1061">
        <f t="shared" si="101"/>
        <v>-8.1855610952638125E-4</v>
      </c>
      <c r="T1061" s="5">
        <v>45628</v>
      </c>
      <c r="U1061" s="1">
        <v>-8.1855610952638125E-4</v>
      </c>
    </row>
    <row r="1062" spans="3:21" x14ac:dyDescent="0.2">
      <c r="C1062" s="5">
        <v>45629</v>
      </c>
      <c r="D1062" s="6">
        <v>1.0007299999999999</v>
      </c>
      <c r="E1062" s="6">
        <v>95919.6</v>
      </c>
      <c r="F1062" s="6">
        <v>95750.94</v>
      </c>
      <c r="G1062" s="6">
        <v>96003</v>
      </c>
      <c r="H1062" s="6">
        <v>95848.38</v>
      </c>
      <c r="I1062" s="5">
        <v>45629</v>
      </c>
      <c r="J1062" s="7">
        <f t="shared" si="98"/>
        <v>7.4304855230731247E-4</v>
      </c>
      <c r="K1062" s="5">
        <v>45629</v>
      </c>
      <c r="L1062" s="8">
        <f t="shared" si="99"/>
        <v>-2.6255429517827327E-3</v>
      </c>
      <c r="M1062" s="5">
        <v>45629</v>
      </c>
      <c r="N1062" s="9">
        <f t="shared" si="96"/>
        <v>-1.8824943994754204E-3</v>
      </c>
      <c r="O1062" s="5">
        <v>45629</v>
      </c>
      <c r="P1062">
        <f t="shared" si="97"/>
        <v>0.99838942533045849</v>
      </c>
      <c r="Q1062" s="6">
        <f t="shared" si="100"/>
        <v>0.99927053251126685</v>
      </c>
      <c r="R1062">
        <f t="shared" si="101"/>
        <v>-8.8213935959141675E-4</v>
      </c>
      <c r="T1062" s="5">
        <v>45629</v>
      </c>
      <c r="U1062" s="1">
        <v>-8.8213935959141675E-4</v>
      </c>
    </row>
    <row r="1063" spans="3:21" x14ac:dyDescent="0.2">
      <c r="C1063" s="5">
        <v>45630</v>
      </c>
      <c r="D1063" s="6">
        <v>1.0014799999999999</v>
      </c>
      <c r="E1063" s="6">
        <v>98671.8</v>
      </c>
      <c r="F1063" s="6">
        <v>98581.58</v>
      </c>
      <c r="G1063" s="6">
        <v>98822</v>
      </c>
      <c r="H1063" s="6">
        <v>98573.35</v>
      </c>
      <c r="I1063" s="5">
        <v>45630</v>
      </c>
      <c r="J1063" s="7">
        <f t="shared" si="98"/>
        <v>9.9874864758068053E-4</v>
      </c>
      <c r="K1063" s="5">
        <v>45630</v>
      </c>
      <c r="L1063" s="8">
        <f t="shared" si="99"/>
        <v>-2.4328590799619341E-3</v>
      </c>
      <c r="M1063" s="5">
        <v>45630</v>
      </c>
      <c r="N1063" s="9">
        <f t="shared" si="96"/>
        <v>-1.4341104323812536E-3</v>
      </c>
      <c r="O1063" s="5">
        <v>45630</v>
      </c>
      <c r="P1063">
        <f t="shared" si="97"/>
        <v>0.99748385986926003</v>
      </c>
      <c r="Q1063" s="6">
        <f t="shared" si="100"/>
        <v>0.99852218716299879</v>
      </c>
      <c r="R1063">
        <f t="shared" si="101"/>
        <v>-1.0404050518217636E-3</v>
      </c>
      <c r="T1063" s="5">
        <v>45630</v>
      </c>
      <c r="U1063" s="1">
        <v>-1.0404050518217636E-3</v>
      </c>
    </row>
    <row r="1064" spans="3:21" x14ac:dyDescent="0.2">
      <c r="C1064" s="5">
        <v>45631</v>
      </c>
      <c r="D1064" s="6">
        <v>1.0011699999999999</v>
      </c>
      <c r="E1064" s="6">
        <v>96977.9</v>
      </c>
      <c r="F1064" s="6">
        <v>97094.16</v>
      </c>
      <c r="G1064" s="6">
        <v>97109</v>
      </c>
      <c r="H1064" s="6">
        <v>96908.75</v>
      </c>
      <c r="I1064" s="5">
        <v>45631</v>
      </c>
      <c r="J1064" s="7">
        <f t="shared" si="98"/>
        <v>7.1355785726257101E-4</v>
      </c>
      <c r="K1064" s="5">
        <v>45631</v>
      </c>
      <c r="L1064" s="8">
        <f t="shared" si="99"/>
        <v>-1.5281796743861543E-4</v>
      </c>
      <c r="M1064" s="5">
        <v>45631</v>
      </c>
      <c r="N1064" s="9">
        <f t="shared" si="96"/>
        <v>5.6073988982395561E-4</v>
      </c>
      <c r="O1064" s="5">
        <v>45631</v>
      </c>
      <c r="P1064">
        <f t="shared" si="97"/>
        <v>0.9979378842331813</v>
      </c>
      <c r="Q1064" s="6">
        <f t="shared" si="100"/>
        <v>0.99883136730025879</v>
      </c>
      <c r="R1064">
        <f t="shared" si="101"/>
        <v>-8.9492877158813347E-4</v>
      </c>
      <c r="T1064" s="5">
        <v>45631</v>
      </c>
      <c r="U1064" s="1">
        <v>-8.9492877158813347E-4</v>
      </c>
    </row>
    <row r="1065" spans="3:21" x14ac:dyDescent="0.2">
      <c r="C1065" s="5">
        <v>45632</v>
      </c>
      <c r="D1065" s="6">
        <v>1.0017799999999999</v>
      </c>
      <c r="E1065" s="6">
        <v>99789.9</v>
      </c>
      <c r="F1065" s="6">
        <v>99695.25</v>
      </c>
      <c r="G1065" s="6">
        <v>99944</v>
      </c>
      <c r="H1065" s="6">
        <v>99723.09</v>
      </c>
      <c r="I1065" s="5">
        <v>45632</v>
      </c>
      <c r="J1065" s="7">
        <f t="shared" si="98"/>
        <v>6.6995517286916871E-4</v>
      </c>
      <c r="K1065" s="5">
        <v>45632</v>
      </c>
      <c r="L1065" s="8">
        <f t="shared" si="99"/>
        <v>-2.4888937805170896E-3</v>
      </c>
      <c r="M1065" s="5">
        <v>45632</v>
      </c>
      <c r="N1065" s="9">
        <f t="shared" si="96"/>
        <v>-1.8189386076479209E-3</v>
      </c>
      <c r="O1065" s="5">
        <v>45632</v>
      </c>
      <c r="P1065">
        <f t="shared" si="97"/>
        <v>0.99778966221083798</v>
      </c>
      <c r="Q1065" s="6">
        <f t="shared" si="100"/>
        <v>0.99822316277026901</v>
      </c>
      <c r="R1065">
        <f t="shared" si="101"/>
        <v>-4.343665139035182E-4</v>
      </c>
      <c r="T1065" s="5">
        <v>45632</v>
      </c>
      <c r="U1065" s="1">
        <v>-4.343665139035182E-4</v>
      </c>
    </row>
    <row r="1066" spans="3:21" x14ac:dyDescent="0.2">
      <c r="C1066" s="5">
        <v>45633</v>
      </c>
      <c r="D1066" s="6">
        <v>1.0009300000000001</v>
      </c>
      <c r="E1066" s="6">
        <v>99913</v>
      </c>
      <c r="F1066" s="6">
        <v>99728.31</v>
      </c>
      <c r="G1066" s="6">
        <v>100020</v>
      </c>
      <c r="H1066" s="6">
        <v>99843.19</v>
      </c>
      <c r="I1066" s="5">
        <v>45633</v>
      </c>
      <c r="J1066" s="7">
        <f t="shared" si="98"/>
        <v>6.9919640989032569E-4</v>
      </c>
      <c r="K1066" s="5">
        <v>45633</v>
      </c>
      <c r="L1066" s="8">
        <f t="shared" si="99"/>
        <v>-2.9163167366526928E-3</v>
      </c>
      <c r="M1066" s="5">
        <v>45633</v>
      </c>
      <c r="N1066" s="9">
        <f t="shared" si="96"/>
        <v>-2.2171203267623671E-3</v>
      </c>
      <c r="O1066" s="5">
        <v>45633</v>
      </c>
      <c r="P1066">
        <f t="shared" si="97"/>
        <v>0.99823225354929013</v>
      </c>
      <c r="Q1066" s="6">
        <f t="shared" si="100"/>
        <v>0.99907086409639023</v>
      </c>
      <c r="R1066">
        <f t="shared" si="101"/>
        <v>-8.3974294033918714E-4</v>
      </c>
      <c r="T1066" s="5">
        <v>45633</v>
      </c>
      <c r="U1066" s="1">
        <v>-8.3974294033918714E-4</v>
      </c>
    </row>
    <row r="1067" spans="3:21" x14ac:dyDescent="0.2">
      <c r="C1067" s="5">
        <v>45634</v>
      </c>
      <c r="D1067" s="6">
        <v>1.00068</v>
      </c>
      <c r="E1067" s="6">
        <v>101186.8</v>
      </c>
      <c r="F1067" s="6">
        <v>101043.67</v>
      </c>
      <c r="G1067" s="6">
        <v>101288</v>
      </c>
      <c r="H1067" s="6">
        <v>101112.48</v>
      </c>
      <c r="I1067" s="5">
        <v>45634</v>
      </c>
      <c r="J1067" s="7">
        <f t="shared" si="98"/>
        <v>7.3502301595220474E-4</v>
      </c>
      <c r="K1067" s="5">
        <v>45634</v>
      </c>
      <c r="L1067" s="8">
        <f t="shared" si="99"/>
        <v>-2.412230471526753E-3</v>
      </c>
      <c r="M1067" s="5">
        <v>45634</v>
      </c>
      <c r="N1067" s="9">
        <f t="shared" si="96"/>
        <v>-1.6772074555745481E-3</v>
      </c>
      <c r="O1067" s="5">
        <v>45634</v>
      </c>
      <c r="P1067">
        <f t="shared" si="97"/>
        <v>0.99826711950082936</v>
      </c>
      <c r="Q1067" s="6">
        <f t="shared" si="100"/>
        <v>0.99932046208578162</v>
      </c>
      <c r="R1067">
        <f t="shared" si="101"/>
        <v>-1.0546147686240331E-3</v>
      </c>
      <c r="T1067" s="5">
        <v>45634</v>
      </c>
      <c r="U1067" s="1">
        <v>-1.0546147686240331E-3</v>
      </c>
    </row>
    <row r="1068" spans="3:21" x14ac:dyDescent="0.2">
      <c r="C1068" s="5">
        <v>45635</v>
      </c>
      <c r="D1068" s="6">
        <v>1.00051</v>
      </c>
      <c r="E1068" s="6">
        <v>97329</v>
      </c>
      <c r="F1068" s="6">
        <v>97434.39</v>
      </c>
      <c r="G1068" s="6">
        <v>97397</v>
      </c>
      <c r="H1068" s="6">
        <v>97282.39</v>
      </c>
      <c r="I1068" s="5">
        <v>45635</v>
      </c>
      <c r="J1068" s="7">
        <f t="shared" si="98"/>
        <v>4.7912063015722147E-4</v>
      </c>
      <c r="K1068" s="5">
        <v>45635</v>
      </c>
      <c r="L1068" s="8">
        <f t="shared" si="99"/>
        <v>3.838927277020793E-4</v>
      </c>
      <c r="M1068" s="5">
        <v>45635</v>
      </c>
      <c r="N1068" s="9">
        <f t="shared" si="96"/>
        <v>8.6301335785930072E-4</v>
      </c>
      <c r="O1068" s="5">
        <v>45635</v>
      </c>
      <c r="P1068">
        <f t="shared" si="97"/>
        <v>0.99882326971056601</v>
      </c>
      <c r="Q1068" s="6">
        <f t="shared" si="100"/>
        <v>0.99949025996741658</v>
      </c>
      <c r="R1068">
        <f t="shared" si="101"/>
        <v>-6.6755318593792552E-4</v>
      </c>
      <c r="T1068" s="5">
        <v>45635</v>
      </c>
      <c r="U1068" s="1">
        <v>-6.6755318593792552E-4</v>
      </c>
    </row>
    <row r="1069" spans="3:21" x14ac:dyDescent="0.2">
      <c r="C1069" s="5">
        <v>45636</v>
      </c>
      <c r="D1069" s="6">
        <v>1.00075</v>
      </c>
      <c r="E1069" s="6">
        <v>96552.8</v>
      </c>
      <c r="F1069" s="6">
        <v>96912.13</v>
      </c>
      <c r="G1069" s="6">
        <v>96672</v>
      </c>
      <c r="H1069" s="6">
        <v>96585.84</v>
      </c>
      <c r="I1069" s="5">
        <v>45636</v>
      </c>
      <c r="J1069" s="7">
        <f t="shared" si="98"/>
        <v>-3.4207912878320048E-4</v>
      </c>
      <c r="K1069" s="5">
        <v>45636</v>
      </c>
      <c r="L1069" s="8">
        <f t="shared" si="99"/>
        <v>2.4839664018537389E-3</v>
      </c>
      <c r="M1069" s="5">
        <v>45636</v>
      </c>
      <c r="N1069" s="9">
        <f t="shared" si="96"/>
        <v>2.1418872730705383E-3</v>
      </c>
      <c r="O1069" s="5">
        <v>45636</v>
      </c>
      <c r="P1069">
        <f t="shared" si="97"/>
        <v>0.99910873882820261</v>
      </c>
      <c r="Q1069" s="6">
        <f t="shared" si="100"/>
        <v>0.9992505620784411</v>
      </c>
      <c r="R1069">
        <f t="shared" si="101"/>
        <v>-1.4193969063741672E-4</v>
      </c>
      <c r="T1069" s="5">
        <v>45636</v>
      </c>
      <c r="U1069" s="1">
        <v>-1.4193969063741672E-4</v>
      </c>
    </row>
    <row r="1070" spans="3:21" x14ac:dyDescent="0.2">
      <c r="C1070" s="5">
        <v>45637</v>
      </c>
      <c r="D1070" s="6">
        <v>1.0006600000000001</v>
      </c>
      <c r="E1070" s="6">
        <v>101128.3</v>
      </c>
      <c r="F1070" s="6">
        <v>100900.57</v>
      </c>
      <c r="G1070" s="6">
        <v>101207.5</v>
      </c>
      <c r="H1070" s="6">
        <v>101133.19</v>
      </c>
      <c r="I1070" s="5">
        <v>45637</v>
      </c>
      <c r="J1070" s="7">
        <f t="shared" si="98"/>
        <v>-4.8352079075122793E-5</v>
      </c>
      <c r="K1070" s="5">
        <v>45637</v>
      </c>
      <c r="L1070" s="8">
        <f t="shared" si="99"/>
        <v>-3.0326803843587977E-3</v>
      </c>
      <c r="M1070" s="5">
        <v>45637</v>
      </c>
      <c r="N1070" s="9">
        <f t="shared" si="96"/>
        <v>-3.0810324634339206E-3</v>
      </c>
      <c r="O1070" s="5">
        <v>45637</v>
      </c>
      <c r="P1070">
        <f t="shared" si="97"/>
        <v>0.99926576587703486</v>
      </c>
      <c r="Q1070" s="6">
        <f t="shared" si="100"/>
        <v>0.99934043531269356</v>
      </c>
      <c r="R1070">
        <f t="shared" si="101"/>
        <v>-7.4721509068638621E-5</v>
      </c>
      <c r="T1070" s="5">
        <v>45637</v>
      </c>
      <c r="U1070" s="1">
        <v>-7.4721509068638621E-5</v>
      </c>
    </row>
    <row r="1071" spans="3:21" x14ac:dyDescent="0.2">
      <c r="C1071" s="5">
        <v>45638</v>
      </c>
      <c r="D1071" s="6">
        <v>1.0001500000000001</v>
      </c>
      <c r="E1071" s="6">
        <v>99982.5</v>
      </c>
      <c r="F1071" s="6">
        <v>99923.68</v>
      </c>
      <c r="G1071" s="6">
        <v>100055</v>
      </c>
      <c r="H1071" s="6">
        <v>100001.68</v>
      </c>
      <c r="I1071" s="5">
        <v>45638</v>
      </c>
      <c r="J1071" s="7">
        <f t="shared" si="98"/>
        <v>-1.9179677781406288E-4</v>
      </c>
      <c r="K1071" s="5">
        <v>45638</v>
      </c>
      <c r="L1071" s="8">
        <f t="shared" si="99"/>
        <v>-1.3124781370247062E-3</v>
      </c>
      <c r="M1071" s="5">
        <v>45638</v>
      </c>
      <c r="N1071" s="9">
        <f t="shared" si="96"/>
        <v>-1.5042749148387691E-3</v>
      </c>
      <c r="O1071" s="5">
        <v>45638</v>
      </c>
      <c r="P1071">
        <f t="shared" si="97"/>
        <v>0.99946709309879556</v>
      </c>
      <c r="Q1071" s="6">
        <f t="shared" si="100"/>
        <v>0.99985002249662536</v>
      </c>
      <c r="R1071">
        <f t="shared" si="101"/>
        <v>-3.8306019542896859E-4</v>
      </c>
      <c r="T1071" s="5">
        <v>45638</v>
      </c>
      <c r="U1071" s="1">
        <v>-3.8306019542896859E-4</v>
      </c>
    </row>
    <row r="1072" spans="3:21" x14ac:dyDescent="0.2">
      <c r="C1072" s="5">
        <v>45639</v>
      </c>
      <c r="D1072" s="6">
        <v>1.0001899999999999</v>
      </c>
      <c r="E1072" s="6">
        <v>101415.8</v>
      </c>
      <c r="F1072" s="6">
        <v>101394.34</v>
      </c>
      <c r="G1072" s="6">
        <v>101463</v>
      </c>
      <c r="H1072" s="6">
        <v>101431.58</v>
      </c>
      <c r="I1072" s="5">
        <v>45639</v>
      </c>
      <c r="J1072" s="7">
        <f t="shared" si="98"/>
        <v>-1.5557285019122087E-4</v>
      </c>
      <c r="K1072" s="5">
        <v>45639</v>
      </c>
      <c r="L1072" s="8">
        <f t="shared" si="99"/>
        <v>-6.7669988074473941E-4</v>
      </c>
      <c r="M1072" s="5">
        <v>45639</v>
      </c>
      <c r="N1072" s="9">
        <f t="shared" si="96"/>
        <v>-8.3227273093596031E-4</v>
      </c>
      <c r="O1072" s="5">
        <v>45639</v>
      </c>
      <c r="P1072">
        <f t="shared" si="97"/>
        <v>0.99969033046529265</v>
      </c>
      <c r="Q1072" s="6">
        <f t="shared" si="100"/>
        <v>0.99981003609314234</v>
      </c>
      <c r="R1072">
        <f t="shared" si="101"/>
        <v>-1.1973553993265119E-4</v>
      </c>
      <c r="T1072" s="5">
        <v>45639</v>
      </c>
      <c r="U1072" s="1">
        <v>-1.1973553993265119E-4</v>
      </c>
    </row>
    <row r="1073" spans="3:21" x14ac:dyDescent="0.2">
      <c r="C1073" s="5">
        <v>45640</v>
      </c>
      <c r="D1073" s="6">
        <v>0.99983</v>
      </c>
      <c r="E1073" s="6">
        <v>101419.9</v>
      </c>
      <c r="F1073" s="6">
        <v>101261.05</v>
      </c>
      <c r="G1073" s="6">
        <v>101435.5</v>
      </c>
      <c r="H1073" s="6">
        <v>101414.21</v>
      </c>
      <c r="I1073" s="5">
        <v>45640</v>
      </c>
      <c r="J1073" s="7">
        <f t="shared" si="98"/>
        <v>5.6106535760499206E-5</v>
      </c>
      <c r="K1073" s="5">
        <v>45640</v>
      </c>
      <c r="L1073" s="8">
        <f t="shared" si="99"/>
        <v>-1.7198120973426177E-3</v>
      </c>
      <c r="M1073" s="5">
        <v>45640</v>
      </c>
      <c r="N1073" s="9">
        <f t="shared" si="96"/>
        <v>-1.6637055615821186E-3</v>
      </c>
      <c r="O1073" s="5">
        <v>45640</v>
      </c>
      <c r="P1073">
        <f t="shared" si="97"/>
        <v>0.99979011292890563</v>
      </c>
      <c r="Q1073" s="6">
        <f t="shared" si="100"/>
        <v>1.0001700289049138</v>
      </c>
      <c r="R1073">
        <f t="shared" si="101"/>
        <v>-3.7992355210606069E-4</v>
      </c>
      <c r="T1073" s="5">
        <v>45640</v>
      </c>
      <c r="U1073" s="1">
        <v>-3.7992355210606069E-4</v>
      </c>
    </row>
    <row r="1074" spans="3:21" x14ac:dyDescent="0.2">
      <c r="C1074" s="5">
        <v>45641</v>
      </c>
      <c r="D1074" s="6">
        <v>0.99977000000000005</v>
      </c>
      <c r="E1074" s="6">
        <v>104515.6</v>
      </c>
      <c r="F1074" s="6">
        <v>104181.49</v>
      </c>
      <c r="G1074" s="6">
        <v>104534</v>
      </c>
      <c r="H1074" s="6">
        <v>104486.9</v>
      </c>
      <c r="I1074" s="5">
        <v>45641</v>
      </c>
      <c r="J1074" s="7">
        <f t="shared" si="98"/>
        <v>2.7467558134093025E-4</v>
      </c>
      <c r="K1074" s="5">
        <v>45641</v>
      </c>
      <c r="L1074" s="8">
        <f t="shared" si="99"/>
        <v>-3.3722042589013602E-3</v>
      </c>
      <c r="M1074" s="5">
        <v>45641</v>
      </c>
      <c r="N1074" s="9">
        <f t="shared" si="96"/>
        <v>-3.0975286775604301E-3</v>
      </c>
      <c r="O1074" s="5">
        <v>45641</v>
      </c>
      <c r="P1074">
        <f t="shared" si="97"/>
        <v>0.99954942889394827</v>
      </c>
      <c r="Q1074" s="6">
        <f t="shared" si="100"/>
        <v>1.0002300529121697</v>
      </c>
      <c r="R1074">
        <f t="shared" si="101"/>
        <v>-6.8069909776996519E-4</v>
      </c>
      <c r="T1074" s="5">
        <v>45641</v>
      </c>
      <c r="U1074" s="1">
        <v>-6.8069909776996519E-4</v>
      </c>
    </row>
    <row r="1075" spans="3:21" x14ac:dyDescent="0.2">
      <c r="C1075" s="5">
        <v>45642</v>
      </c>
      <c r="D1075" s="6">
        <v>1.0003</v>
      </c>
      <c r="E1075" s="6">
        <v>106094.2</v>
      </c>
      <c r="F1075" s="6">
        <v>105746.04</v>
      </c>
      <c r="G1075" s="6">
        <v>106146.5</v>
      </c>
      <c r="H1075" s="6">
        <v>106061.34</v>
      </c>
      <c r="I1075" s="5">
        <v>45642</v>
      </c>
      <c r="J1075" s="7">
        <f t="shared" si="98"/>
        <v>3.0982071318352741E-4</v>
      </c>
      <c r="K1075" s="5">
        <v>45642</v>
      </c>
      <c r="L1075" s="8">
        <f t="shared" si="99"/>
        <v>-3.7727103578545349E-3</v>
      </c>
      <c r="M1075" s="5">
        <v>45642</v>
      </c>
      <c r="N1075" s="9">
        <f t="shared" si="96"/>
        <v>-3.4628896446710074E-3</v>
      </c>
      <c r="O1075" s="5">
        <v>45642</v>
      </c>
      <c r="P1075">
        <f t="shared" si="97"/>
        <v>0.99919771259532808</v>
      </c>
      <c r="Q1075" s="6">
        <f t="shared" si="100"/>
        <v>0.99970008997300808</v>
      </c>
      <c r="R1075">
        <f t="shared" si="101"/>
        <v>-5.0265440045225919E-4</v>
      </c>
      <c r="T1075" s="5">
        <v>45642</v>
      </c>
      <c r="U1075" s="1">
        <v>-5.0265440045225919E-4</v>
      </c>
    </row>
    <row r="1076" spans="3:21" x14ac:dyDescent="0.2">
      <c r="C1076" s="5">
        <v>45643</v>
      </c>
      <c r="D1076" s="6">
        <v>1.00017</v>
      </c>
      <c r="E1076" s="6">
        <v>106084.6</v>
      </c>
      <c r="F1076" s="6">
        <v>106142.79</v>
      </c>
      <c r="G1076" s="6">
        <v>106172</v>
      </c>
      <c r="H1076" s="6">
        <v>106121.56</v>
      </c>
      <c r="I1076" s="5">
        <v>45643</v>
      </c>
      <c r="J1076" s="7">
        <f t="shared" si="98"/>
        <v>-3.4827984059028017E-4</v>
      </c>
      <c r="K1076" s="5">
        <v>45643</v>
      </c>
      <c r="L1076" s="8">
        <f t="shared" si="99"/>
        <v>-2.7511961722494069E-4</v>
      </c>
      <c r="M1076" s="5">
        <v>45643</v>
      </c>
      <c r="N1076" s="9">
        <f t="shared" si="96"/>
        <v>-6.233994578152208E-4</v>
      </c>
      <c r="O1076" s="5">
        <v>45643</v>
      </c>
      <c r="P1076">
        <f t="shared" si="97"/>
        <v>0.99952492182496322</v>
      </c>
      <c r="Q1076" s="6">
        <f t="shared" si="100"/>
        <v>0.99983002889508787</v>
      </c>
      <c r="R1076">
        <f t="shared" si="101"/>
        <v>-3.0520550878993403E-4</v>
      </c>
      <c r="T1076" s="5">
        <v>45643</v>
      </c>
      <c r="U1076" s="1">
        <v>-3.0520550878993403E-4</v>
      </c>
    </row>
    <row r="1077" spans="3:21" x14ac:dyDescent="0.2">
      <c r="C1077" s="5">
        <v>45644</v>
      </c>
      <c r="D1077" s="6">
        <v>0.99953999999999998</v>
      </c>
      <c r="E1077" s="6">
        <v>100148.6</v>
      </c>
      <c r="F1077" s="6">
        <v>100195.8</v>
      </c>
      <c r="G1077" s="6">
        <v>100156</v>
      </c>
      <c r="H1077" s="6">
        <v>100206.58</v>
      </c>
      <c r="I1077" s="5">
        <v>45644</v>
      </c>
      <c r="J1077" s="7">
        <f t="shared" si="98"/>
        <v>-5.7860471837274479E-4</v>
      </c>
      <c r="K1077" s="5">
        <v>45644</v>
      </c>
      <c r="L1077" s="8">
        <f t="shared" si="99"/>
        <v>3.9738008706420894E-4</v>
      </c>
      <c r="M1077" s="5">
        <v>45644</v>
      </c>
      <c r="N1077" s="9">
        <f t="shared" si="96"/>
        <v>-1.8122463130853584E-4</v>
      </c>
      <c r="O1077" s="5">
        <v>45644</v>
      </c>
      <c r="P1077">
        <f t="shared" si="97"/>
        <v>1.0005050121809975</v>
      </c>
      <c r="Q1077" s="6">
        <f t="shared" si="100"/>
        <v>1.0004602116973809</v>
      </c>
      <c r="R1077">
        <f t="shared" si="101"/>
        <v>4.4778872805506624E-5</v>
      </c>
      <c r="T1077" s="5">
        <v>45644</v>
      </c>
      <c r="U1077" s="1">
        <v>4.4778872805506624E-5</v>
      </c>
    </row>
    <row r="1078" spans="3:21" x14ac:dyDescent="0.2">
      <c r="C1078" s="5">
        <v>45645</v>
      </c>
      <c r="D1078" s="6">
        <v>0.99917</v>
      </c>
      <c r="E1078" s="6">
        <v>97399.4</v>
      </c>
      <c r="F1078" s="6">
        <v>97703.97</v>
      </c>
      <c r="G1078" s="6">
        <v>97369</v>
      </c>
      <c r="H1078" s="6">
        <v>97461.75</v>
      </c>
      <c r="I1078" s="5">
        <v>45645</v>
      </c>
      <c r="J1078" s="7">
        <f t="shared" si="98"/>
        <v>-6.3973815368599291E-4</v>
      </c>
      <c r="K1078" s="5">
        <v>45645</v>
      </c>
      <c r="L1078" s="8">
        <f t="shared" si="99"/>
        <v>3.4402119771179858E-3</v>
      </c>
      <c r="M1078" s="5">
        <v>45645</v>
      </c>
      <c r="N1078" s="9">
        <f t="shared" si="96"/>
        <v>2.8004738234319931E-3</v>
      </c>
      <c r="O1078" s="5">
        <v>45645</v>
      </c>
      <c r="P1078">
        <f t="shared" si="97"/>
        <v>1.0009525619036859</v>
      </c>
      <c r="Q1078" s="6">
        <f t="shared" si="100"/>
        <v>1.0008306894722621</v>
      </c>
      <c r="R1078">
        <f t="shared" si="101"/>
        <v>1.2176386378545711E-4</v>
      </c>
      <c r="T1078" s="5">
        <v>45645</v>
      </c>
      <c r="U1078" s="1">
        <v>1.2176386378545711E-4</v>
      </c>
    </row>
    <row r="1079" spans="3:21" x14ac:dyDescent="0.2">
      <c r="C1079" s="5">
        <v>45646</v>
      </c>
      <c r="D1079" s="6">
        <v>0.99963000000000002</v>
      </c>
      <c r="E1079" s="6">
        <v>97757.3</v>
      </c>
      <c r="F1079" s="6">
        <v>98124.17</v>
      </c>
      <c r="G1079" s="6">
        <v>97734</v>
      </c>
      <c r="H1079" s="6">
        <v>97810.53</v>
      </c>
      <c r="I1079" s="5">
        <v>45646</v>
      </c>
      <c r="J1079" s="7">
        <f t="shared" si="98"/>
        <v>-5.4421543365520996E-4</v>
      </c>
      <c r="K1079" s="5">
        <v>45646</v>
      </c>
      <c r="L1079" s="8">
        <f t="shared" si="99"/>
        <v>3.992162399983611E-3</v>
      </c>
      <c r="M1079" s="5">
        <v>45646</v>
      </c>
      <c r="N1079" s="9">
        <f t="shared" si="96"/>
        <v>3.4479469663284009E-3</v>
      </c>
      <c r="O1079" s="5">
        <v>45646</v>
      </c>
      <c r="P1079">
        <f t="shared" si="97"/>
        <v>1.0007830437718706</v>
      </c>
      <c r="Q1079" s="6">
        <f t="shared" si="100"/>
        <v>1.0003701369506717</v>
      </c>
      <c r="R1079">
        <f t="shared" si="101"/>
        <v>4.1266888615646417E-4</v>
      </c>
      <c r="T1079" s="5">
        <v>45646</v>
      </c>
      <c r="U1079" s="1">
        <v>4.1266888615646417E-4</v>
      </c>
    </row>
    <row r="1080" spans="3:21" x14ac:dyDescent="0.2">
      <c r="C1080" s="5">
        <v>45647</v>
      </c>
      <c r="D1080" s="6">
        <v>0.99950000000000006</v>
      </c>
      <c r="E1080" s="6">
        <v>97249.7</v>
      </c>
      <c r="F1080" s="6">
        <v>97505.18</v>
      </c>
      <c r="G1080" s="6">
        <v>97187</v>
      </c>
      <c r="H1080" s="6">
        <v>97284.56</v>
      </c>
      <c r="I1080" s="5">
        <v>45647</v>
      </c>
      <c r="J1080" s="7">
        <f t="shared" si="98"/>
        <v>-3.583302427435616E-4</v>
      </c>
      <c r="K1080" s="5">
        <v>45647</v>
      </c>
      <c r="L1080" s="8">
        <f t="shared" si="99"/>
        <v>3.2738946566926957E-3</v>
      </c>
      <c r="M1080" s="5">
        <v>45647</v>
      </c>
      <c r="N1080" s="9">
        <f t="shared" si="96"/>
        <v>2.9155644139491343E-3</v>
      </c>
      <c r="O1080" s="5">
        <v>45647</v>
      </c>
      <c r="P1080">
        <f t="shared" si="97"/>
        <v>1.0010038379618673</v>
      </c>
      <c r="Q1080" s="6">
        <f t="shared" si="100"/>
        <v>1.0005002501250624</v>
      </c>
      <c r="R1080">
        <f t="shared" si="101"/>
        <v>5.0320941179072881E-4</v>
      </c>
      <c r="T1080" s="5">
        <v>45647</v>
      </c>
      <c r="U1080" s="1">
        <v>5.0320941179072881E-4</v>
      </c>
    </row>
    <row r="1081" spans="3:21" x14ac:dyDescent="0.2">
      <c r="C1081" s="5">
        <v>45648</v>
      </c>
      <c r="D1081" s="6">
        <v>0.99907000000000001</v>
      </c>
      <c r="E1081" s="6">
        <v>95144.7</v>
      </c>
      <c r="F1081" s="6">
        <v>95310.76</v>
      </c>
      <c r="G1081" s="6">
        <v>95081.5</v>
      </c>
      <c r="H1081" s="6">
        <v>95184.49</v>
      </c>
      <c r="I1081" s="5">
        <v>45648</v>
      </c>
      <c r="J1081" s="7">
        <f t="shared" si="98"/>
        <v>-4.1803029043921072E-4</v>
      </c>
      <c r="K1081" s="5">
        <v>45648</v>
      </c>
      <c r="L1081" s="8">
        <f t="shared" si="99"/>
        <v>2.4111946067320641E-3</v>
      </c>
      <c r="M1081" s="5">
        <v>45648</v>
      </c>
      <c r="N1081" s="9">
        <f t="shared" si="96"/>
        <v>1.9931643162928534E-3</v>
      </c>
      <c r="O1081" s="5">
        <v>45648</v>
      </c>
      <c r="P1081">
        <f t="shared" si="97"/>
        <v>1.0010831760121579</v>
      </c>
      <c r="Q1081" s="6">
        <f t="shared" si="100"/>
        <v>1.0009308657051057</v>
      </c>
      <c r="R1081">
        <f t="shared" si="101"/>
        <v>1.5215708199073802E-4</v>
      </c>
      <c r="T1081" s="5">
        <v>45648</v>
      </c>
      <c r="U1081" s="1">
        <v>1.5215708199073802E-4</v>
      </c>
    </row>
    <row r="1082" spans="3:21" x14ac:dyDescent="0.2">
      <c r="C1082" s="5">
        <v>45649</v>
      </c>
      <c r="D1082" s="6">
        <v>0.99875999999999998</v>
      </c>
      <c r="E1082" s="6">
        <v>94837</v>
      </c>
      <c r="F1082" s="6">
        <v>94827.12</v>
      </c>
      <c r="G1082" s="6">
        <v>94762</v>
      </c>
      <c r="H1082" s="6">
        <v>94886.47</v>
      </c>
      <c r="I1082" s="5">
        <v>45649</v>
      </c>
      <c r="J1082" s="7">
        <f t="shared" si="98"/>
        <v>-5.2135989461933997E-4</v>
      </c>
      <c r="K1082" s="5">
        <v>45649</v>
      </c>
      <c r="L1082" s="8">
        <f t="shared" si="99"/>
        <v>6.8719528925091644E-4</v>
      </c>
      <c r="M1082" s="5">
        <v>45649</v>
      </c>
      <c r="N1082" s="9">
        <f t="shared" si="96"/>
        <v>1.6583539463157647E-4</v>
      </c>
      <c r="O1082" s="5">
        <v>45649</v>
      </c>
      <c r="P1082">
        <f t="shared" si="97"/>
        <v>1.0013135011924612</v>
      </c>
      <c r="Q1082" s="6">
        <f t="shared" si="100"/>
        <v>1.0012415395089911</v>
      </c>
      <c r="R1082">
        <f t="shared" si="101"/>
        <v>7.1869868281868143E-5</v>
      </c>
      <c r="T1082" s="5">
        <v>45649</v>
      </c>
      <c r="U1082" s="1">
        <v>7.1869868281868143E-5</v>
      </c>
    </row>
    <row r="1083" spans="3:21" x14ac:dyDescent="0.2">
      <c r="C1083" s="5">
        <v>45650</v>
      </c>
      <c r="D1083" s="6">
        <v>0.99938000000000005</v>
      </c>
      <c r="E1083" s="6">
        <v>98628.3</v>
      </c>
      <c r="F1083" s="6">
        <v>98687.21</v>
      </c>
      <c r="G1083" s="6">
        <v>98610</v>
      </c>
      <c r="H1083" s="6">
        <v>98671.43</v>
      </c>
      <c r="I1083" s="5">
        <v>45650</v>
      </c>
      <c r="J1083" s="7">
        <f t="shared" si="98"/>
        <v>-4.3710727613849429E-4</v>
      </c>
      <c r="K1083" s="5">
        <v>45650</v>
      </c>
      <c r="L1083" s="8">
        <f t="shared" si="99"/>
        <v>7.8298347023634932E-4</v>
      </c>
      <c r="M1083" s="5">
        <v>45650</v>
      </c>
      <c r="N1083" s="9">
        <f t="shared" si="96"/>
        <v>3.4587619409785504E-4</v>
      </c>
      <c r="O1083" s="5">
        <v>45650</v>
      </c>
      <c r="P1083">
        <f t="shared" si="97"/>
        <v>1.0006229591319338</v>
      </c>
      <c r="Q1083" s="6">
        <f t="shared" si="100"/>
        <v>1.0006203846384758</v>
      </c>
      <c r="R1083">
        <f t="shared" si="101"/>
        <v>2.5728939622294437E-6</v>
      </c>
      <c r="T1083" s="5">
        <v>45650</v>
      </c>
      <c r="U1083" s="1">
        <v>2.5728939622294437E-6</v>
      </c>
    </row>
    <row r="1084" spans="3:21" x14ac:dyDescent="0.2">
      <c r="C1084" s="5">
        <v>45651</v>
      </c>
      <c r="D1084" s="6">
        <v>0.99919000000000002</v>
      </c>
      <c r="E1084" s="6">
        <v>99405.2</v>
      </c>
      <c r="F1084" s="6">
        <v>99409.19</v>
      </c>
      <c r="G1084" s="6">
        <v>99360</v>
      </c>
      <c r="H1084" s="6">
        <v>99440.87</v>
      </c>
      <c r="I1084" s="5">
        <v>45651</v>
      </c>
      <c r="J1084" s="7">
        <f t="shared" si="98"/>
        <v>-3.587056307934379E-4</v>
      </c>
      <c r="K1084" s="5">
        <v>45651</v>
      </c>
      <c r="L1084" s="8">
        <f t="shared" si="99"/>
        <v>4.9506843800324401E-4</v>
      </c>
      <c r="M1084" s="5">
        <v>45651</v>
      </c>
      <c r="N1084" s="9">
        <f t="shared" si="96"/>
        <v>1.3636280720980611E-4</v>
      </c>
      <c r="O1084" s="5">
        <v>45651</v>
      </c>
      <c r="P1084">
        <f t="shared" si="97"/>
        <v>1.0008139090177133</v>
      </c>
      <c r="Q1084" s="6">
        <f t="shared" si="100"/>
        <v>1.0008106566318717</v>
      </c>
      <c r="R1084">
        <f t="shared" si="101"/>
        <v>3.2497461286538968E-6</v>
      </c>
      <c r="T1084" s="5">
        <v>45651</v>
      </c>
      <c r="U1084" s="1">
        <v>3.2497461286538968E-6</v>
      </c>
    </row>
    <row r="1085" spans="3:21" x14ac:dyDescent="0.2">
      <c r="C1085" s="5">
        <v>45652</v>
      </c>
      <c r="D1085" s="6">
        <v>0.99880000000000002</v>
      </c>
      <c r="E1085" s="6">
        <v>95743.2</v>
      </c>
      <c r="F1085" s="6">
        <v>95691.66</v>
      </c>
      <c r="G1085" s="6">
        <v>95643.5</v>
      </c>
      <c r="H1085" s="6">
        <v>95783.86</v>
      </c>
      <c r="I1085" s="5">
        <v>45652</v>
      </c>
      <c r="J1085" s="7">
        <f t="shared" si="98"/>
        <v>-4.2449740488641294E-4</v>
      </c>
      <c r="K1085" s="5">
        <v>45652</v>
      </c>
      <c r="L1085" s="8">
        <f t="shared" si="99"/>
        <v>5.0353657070269795E-4</v>
      </c>
      <c r="M1085" s="5">
        <v>45652</v>
      </c>
      <c r="N1085" s="9">
        <f t="shared" si="96"/>
        <v>7.9039165816285006E-5</v>
      </c>
      <c r="O1085" s="5">
        <v>45652</v>
      </c>
      <c r="P1085">
        <f t="shared" si="97"/>
        <v>1.0014675330785678</v>
      </c>
      <c r="Q1085" s="6">
        <f t="shared" si="100"/>
        <v>1.0012014417300761</v>
      </c>
      <c r="R1085">
        <f t="shared" si="101"/>
        <v>2.6573672774169181E-4</v>
      </c>
      <c r="T1085" s="5">
        <v>45652</v>
      </c>
      <c r="U1085" s="1">
        <v>2.6573672774169181E-4</v>
      </c>
    </row>
    <row r="1086" spans="3:21" x14ac:dyDescent="0.2">
      <c r="C1086" s="5">
        <v>45653</v>
      </c>
      <c r="D1086" s="6">
        <v>0.99856</v>
      </c>
      <c r="E1086" s="6">
        <v>94251</v>
      </c>
      <c r="F1086" s="6">
        <v>94241.46</v>
      </c>
      <c r="G1086" s="6">
        <v>94159.5</v>
      </c>
      <c r="H1086" s="6">
        <v>94300.45</v>
      </c>
      <c r="I1086" s="5">
        <v>45653</v>
      </c>
      <c r="J1086" s="7">
        <f t="shared" si="98"/>
        <v>-5.243877415218813E-4</v>
      </c>
      <c r="K1086" s="5">
        <v>45653</v>
      </c>
      <c r="L1086" s="8">
        <f t="shared" si="99"/>
        <v>8.7043792713434548E-4</v>
      </c>
      <c r="M1086" s="5">
        <v>45653</v>
      </c>
      <c r="N1086" s="9">
        <f t="shared" si="96"/>
        <v>3.4605018561246418E-4</v>
      </c>
      <c r="O1086" s="5">
        <v>45653</v>
      </c>
      <c r="P1086">
        <f t="shared" si="97"/>
        <v>1.0014969280847923</v>
      </c>
      <c r="Q1086" s="6">
        <f t="shared" si="100"/>
        <v>1.0014420765902901</v>
      </c>
      <c r="R1086">
        <f t="shared" si="101"/>
        <v>5.4771008391111273E-5</v>
      </c>
      <c r="T1086" s="5">
        <v>45653</v>
      </c>
      <c r="U1086" s="1">
        <v>5.4771008391111273E-5</v>
      </c>
    </row>
    <row r="1087" spans="3:21" x14ac:dyDescent="0.2">
      <c r="C1087" s="5">
        <v>45654</v>
      </c>
      <c r="D1087" s="6">
        <v>0.99819000000000002</v>
      </c>
      <c r="E1087" s="6">
        <v>95255.8</v>
      </c>
      <c r="F1087" s="6">
        <v>95077.77</v>
      </c>
      <c r="G1087" s="6">
        <v>95131.5</v>
      </c>
      <c r="H1087" s="6">
        <v>95298.41</v>
      </c>
      <c r="I1087" s="5">
        <v>45654</v>
      </c>
      <c r="J1087" s="7">
        <f t="shared" si="98"/>
        <v>-4.4712183550597097E-4</v>
      </c>
      <c r="K1087" s="5">
        <v>45654</v>
      </c>
      <c r="L1087" s="8">
        <f t="shared" si="99"/>
        <v>-5.6479714920920968E-4</v>
      </c>
      <c r="M1087" s="5">
        <v>45654</v>
      </c>
      <c r="N1087" s="9">
        <f t="shared" si="96"/>
        <v>-1.0119189847151806E-3</v>
      </c>
      <c r="O1087" s="5">
        <v>45654</v>
      </c>
      <c r="P1087">
        <f t="shared" si="97"/>
        <v>1.0017545187451053</v>
      </c>
      <c r="Q1087" s="6">
        <f t="shared" si="100"/>
        <v>1.0018132820404932</v>
      </c>
      <c r="R1087">
        <f t="shared" si="101"/>
        <v>-5.8658654208449342E-5</v>
      </c>
      <c r="T1087" s="5">
        <v>45654</v>
      </c>
      <c r="U1087" s="1">
        <v>-5.8658654208449342E-5</v>
      </c>
    </row>
    <row r="1088" spans="3:21" x14ac:dyDescent="0.2">
      <c r="C1088" s="5">
        <v>45655</v>
      </c>
      <c r="D1088" s="6">
        <v>0.99812999999999996</v>
      </c>
      <c r="E1088" s="6">
        <v>93699</v>
      </c>
      <c r="F1088" s="6">
        <v>93477.25</v>
      </c>
      <c r="G1088" s="6">
        <v>93547.5</v>
      </c>
      <c r="H1088" s="6">
        <v>93740.11</v>
      </c>
      <c r="I1088" s="5">
        <v>45655</v>
      </c>
      <c r="J1088" s="7">
        <f t="shared" si="98"/>
        <v>-4.3855293107721531E-4</v>
      </c>
      <c r="K1088" s="5">
        <v>45655</v>
      </c>
      <c r="L1088" s="8">
        <f t="shared" si="99"/>
        <v>-7.5095539699083353E-4</v>
      </c>
      <c r="M1088" s="5">
        <v>45655</v>
      </c>
      <c r="N1088" s="9">
        <f t="shared" si="96"/>
        <v>-1.1895083280680488E-3</v>
      </c>
      <c r="O1088" s="5">
        <v>45655</v>
      </c>
      <c r="P1088">
        <f t="shared" si="97"/>
        <v>1.0020589540073226</v>
      </c>
      <c r="Q1088" s="6">
        <f t="shared" si="100"/>
        <v>1.0018735034514543</v>
      </c>
      <c r="R1088">
        <f t="shared" si="101"/>
        <v>1.8508663374090011E-4</v>
      </c>
      <c r="T1088" s="5">
        <v>45655</v>
      </c>
      <c r="U1088" s="1">
        <v>1.8508663374090011E-4</v>
      </c>
    </row>
    <row r="1089" spans="3:21" x14ac:dyDescent="0.2">
      <c r="C1089" s="5">
        <v>45656</v>
      </c>
      <c r="D1089" s="6">
        <v>0.99812999999999996</v>
      </c>
      <c r="E1089" s="6">
        <v>92739.3</v>
      </c>
      <c r="F1089" s="6">
        <v>92624.17</v>
      </c>
      <c r="G1089" s="6">
        <v>92611</v>
      </c>
      <c r="H1089" s="6">
        <v>92789.06</v>
      </c>
      <c r="I1089" s="5">
        <v>45656</v>
      </c>
      <c r="J1089" s="7">
        <f t="shared" si="98"/>
        <v>-5.3627011632615697E-4</v>
      </c>
      <c r="K1089" s="5">
        <v>45656</v>
      </c>
      <c r="L1089" s="8">
        <f t="shared" si="99"/>
        <v>1.4220772910343538E-4</v>
      </c>
      <c r="M1089" s="5">
        <v>45656</v>
      </c>
      <c r="N1089" s="9">
        <f t="shared" si="96"/>
        <v>-3.9406238722272159E-4</v>
      </c>
      <c r="O1089" s="5">
        <v>45656</v>
      </c>
      <c r="P1089">
        <f t="shared" si="97"/>
        <v>1.0019226657740441</v>
      </c>
      <c r="Q1089" s="6">
        <f t="shared" si="100"/>
        <v>1.0018735034514543</v>
      </c>
      <c r="R1089">
        <f t="shared" si="101"/>
        <v>4.9069185134400683E-5</v>
      </c>
      <c r="T1089" s="5">
        <v>45656</v>
      </c>
      <c r="U1089" s="1">
        <v>4.9069185134400683E-5</v>
      </c>
    </row>
    <row r="1090" spans="3:21" x14ac:dyDescent="0.2">
      <c r="C1090" s="5">
        <v>45657</v>
      </c>
      <c r="D1090" s="6">
        <v>0.99792999999999998</v>
      </c>
      <c r="E1090" s="6">
        <v>93530</v>
      </c>
      <c r="F1090" s="6">
        <v>93383.06</v>
      </c>
      <c r="G1090" s="6">
        <v>93371.5</v>
      </c>
      <c r="H1090" s="6">
        <v>93571.01</v>
      </c>
      <c r="I1090" s="5">
        <v>45657</v>
      </c>
      <c r="J1090" s="7">
        <f t="shared" si="98"/>
        <v>-4.3827676969602835E-4</v>
      </c>
      <c r="K1090" s="5">
        <v>45657</v>
      </c>
      <c r="L1090" s="8">
        <f t="shared" si="99"/>
        <v>1.2380651483587252E-4</v>
      </c>
      <c r="M1090" s="5">
        <v>45657</v>
      </c>
      <c r="N1090" s="9">
        <f t="shared" si="96"/>
        <v>-3.1447025486015584E-4</v>
      </c>
      <c r="O1090" s="5">
        <v>45657</v>
      </c>
      <c r="P1090">
        <f t="shared" si="97"/>
        <v>1.0021367333715319</v>
      </c>
      <c r="Q1090" s="6">
        <f t="shared" si="100"/>
        <v>1.0020742937881415</v>
      </c>
      <c r="R1090">
        <f t="shared" si="101"/>
        <v>6.2308392244530056E-5</v>
      </c>
      <c r="T1090" s="5">
        <v>45657</v>
      </c>
      <c r="U1090" s="1">
        <v>6.2308392244530056E-5</v>
      </c>
    </row>
    <row r="1091" spans="3:21" x14ac:dyDescent="0.2">
      <c r="C1091" s="5">
        <v>45658</v>
      </c>
      <c r="D1091" s="6">
        <v>0.99795</v>
      </c>
      <c r="E1091" s="6">
        <v>94564.6</v>
      </c>
      <c r="F1091" s="6">
        <v>94376.78</v>
      </c>
      <c r="G1091" s="6">
        <v>94413</v>
      </c>
      <c r="H1091" s="6">
        <v>94602.880000000005</v>
      </c>
      <c r="I1091" s="5">
        <v>45658</v>
      </c>
      <c r="J1091" s="7">
        <f t="shared" si="98"/>
        <v>-4.0463884397598504E-4</v>
      </c>
      <c r="K1091" s="5">
        <v>45658</v>
      </c>
      <c r="L1091" s="8">
        <f t="shared" si="99"/>
        <v>-3.8363360977832677E-4</v>
      </c>
      <c r="M1091" s="5">
        <v>45658</v>
      </c>
      <c r="N1091" s="9">
        <f t="shared" si="96"/>
        <v>-7.8827245375431181E-4</v>
      </c>
      <c r="O1091" s="5">
        <v>45658</v>
      </c>
      <c r="P1091">
        <f t="shared" si="97"/>
        <v>1.0020111637168609</v>
      </c>
      <c r="Q1091" s="6">
        <f t="shared" si="100"/>
        <v>1.0020542111328223</v>
      </c>
      <c r="R1091">
        <f t="shared" si="101"/>
        <v>-4.2960091530145241E-5</v>
      </c>
      <c r="T1091" s="5">
        <v>45658</v>
      </c>
      <c r="U1091" s="1">
        <v>-4.2960091530145241E-5</v>
      </c>
    </row>
    <row r="1092" spans="3:21" x14ac:dyDescent="0.2">
      <c r="C1092" s="5">
        <v>45659</v>
      </c>
      <c r="D1092" s="6">
        <v>0.99904000000000004</v>
      </c>
      <c r="E1092" s="6">
        <v>96960.5</v>
      </c>
      <c r="F1092" s="6">
        <v>96822.22</v>
      </c>
      <c r="G1092" s="6">
        <v>96920.5</v>
      </c>
      <c r="H1092" s="6">
        <v>96997.37</v>
      </c>
      <c r="I1092" s="5">
        <v>45659</v>
      </c>
      <c r="J1092" s="7">
        <f t="shared" si="98"/>
        <v>-3.8011339895087202E-4</v>
      </c>
      <c r="K1092" s="5">
        <v>45659</v>
      </c>
      <c r="L1092" s="8">
        <f t="shared" si="99"/>
        <v>-1.0140269602405977E-3</v>
      </c>
      <c r="M1092" s="5">
        <v>45659</v>
      </c>
      <c r="N1092" s="9">
        <f t="shared" si="96"/>
        <v>-1.3941403591914696E-3</v>
      </c>
      <c r="O1092" s="5">
        <v>45659</v>
      </c>
      <c r="P1092">
        <f t="shared" si="97"/>
        <v>1.0007931242616372</v>
      </c>
      <c r="Q1092" s="6">
        <f t="shared" si="100"/>
        <v>1.0009609224855862</v>
      </c>
      <c r="R1092">
        <f t="shared" si="101"/>
        <v>-1.6765119032948012E-4</v>
      </c>
      <c r="T1092" s="5">
        <v>45659</v>
      </c>
      <c r="U1092" s="1">
        <v>-1.6765119032948012E-4</v>
      </c>
    </row>
    <row r="1093" spans="3:21" x14ac:dyDescent="0.2">
      <c r="C1093" s="5">
        <v>45660</v>
      </c>
      <c r="D1093" s="6">
        <v>0.99956</v>
      </c>
      <c r="E1093" s="6">
        <v>98140</v>
      </c>
      <c r="F1093" s="6">
        <v>97878.29</v>
      </c>
      <c r="G1093" s="6">
        <v>98143.5</v>
      </c>
      <c r="H1093" s="6">
        <v>98182.95</v>
      </c>
      <c r="I1093" s="5">
        <v>45660</v>
      </c>
      <c r="J1093" s="7">
        <f t="shared" si="98"/>
        <v>-4.3744866089272212E-4</v>
      </c>
      <c r="K1093" s="5">
        <v>45660</v>
      </c>
      <c r="L1093" s="8">
        <f t="shared" si="99"/>
        <v>-2.7022675979561195E-3</v>
      </c>
      <c r="M1093" s="5">
        <v>45660</v>
      </c>
      <c r="N1093" s="9">
        <f t="shared" si="96"/>
        <v>-3.1397162588488415E-3</v>
      </c>
      <c r="O1093" s="5">
        <v>45660</v>
      </c>
      <c r="P1093">
        <f t="shared" si="97"/>
        <v>1.0004019624325604</v>
      </c>
      <c r="Q1093" s="6">
        <f t="shared" si="100"/>
        <v>1.0004401936852214</v>
      </c>
      <c r="R1093">
        <f t="shared" si="101"/>
        <v>-3.8215161099756181E-5</v>
      </c>
      <c r="T1093" s="5">
        <v>45660</v>
      </c>
      <c r="U1093" s="1">
        <v>-3.8215161099756181E-5</v>
      </c>
    </row>
    <row r="1094" spans="3:21" x14ac:dyDescent="0.2">
      <c r="C1094" s="5">
        <v>45661</v>
      </c>
      <c r="D1094" s="6">
        <v>0.99987000000000004</v>
      </c>
      <c r="E1094" s="6">
        <v>98177.2</v>
      </c>
      <c r="F1094" s="6">
        <v>98081.36</v>
      </c>
      <c r="G1094" s="6">
        <v>98203</v>
      </c>
      <c r="H1094" s="6">
        <v>98225.07</v>
      </c>
      <c r="I1094" s="5">
        <v>45661</v>
      </c>
      <c r="J1094" s="7">
        <f t="shared" si="98"/>
        <v>-4.8735012354798922E-4</v>
      </c>
      <c r="K1094" s="5">
        <v>45661</v>
      </c>
      <c r="L1094" s="8">
        <f t="shared" si="99"/>
        <v>-1.2386586967811516E-3</v>
      </c>
      <c r="M1094" s="5">
        <v>45661</v>
      </c>
      <c r="N1094" s="9">
        <f t="shared" si="96"/>
        <v>-1.7260088203291408E-3</v>
      </c>
      <c r="O1094" s="5">
        <v>45661</v>
      </c>
      <c r="P1094">
        <f t="shared" si="97"/>
        <v>1.0002247385517755</v>
      </c>
      <c r="Q1094" s="6">
        <f t="shared" si="100"/>
        <v>1.0001300169021972</v>
      </c>
      <c r="R1094">
        <f t="shared" si="101"/>
        <v>9.4704851117958711E-5</v>
      </c>
      <c r="T1094" s="5">
        <v>45661</v>
      </c>
      <c r="U1094" s="1">
        <v>9.4704851117958711E-5</v>
      </c>
    </row>
    <row r="1095" spans="3:21" x14ac:dyDescent="0.2">
      <c r="C1095" s="5">
        <v>45662</v>
      </c>
      <c r="D1095" s="6">
        <v>0.99983999999999995</v>
      </c>
      <c r="E1095" s="6">
        <v>98340.5</v>
      </c>
      <c r="F1095" s="6">
        <v>98309.02</v>
      </c>
      <c r="G1095" s="6">
        <v>98331.5</v>
      </c>
      <c r="H1095" s="6">
        <v>98372.94</v>
      </c>
      <c r="I1095" s="5">
        <v>45662</v>
      </c>
      <c r="J1095" s="7">
        <f t="shared" si="98"/>
        <v>-3.2976548225561141E-4</v>
      </c>
      <c r="K1095" s="5">
        <v>45662</v>
      </c>
      <c r="L1095" s="8">
        <f t="shared" si="99"/>
        <v>-2.2861443179444965E-4</v>
      </c>
      <c r="M1095" s="5">
        <v>45662</v>
      </c>
      <c r="N1095" s="9">
        <f t="shared" si="96"/>
        <v>-5.5837991405006102E-4</v>
      </c>
      <c r="O1095" s="5">
        <v>45662</v>
      </c>
      <c r="P1095">
        <f t="shared" si="97"/>
        <v>1.0004214315860125</v>
      </c>
      <c r="Q1095" s="6">
        <f t="shared" si="100"/>
        <v>1.0001600256040968</v>
      </c>
      <c r="R1095">
        <f t="shared" si="101"/>
        <v>2.6133000729758511E-4</v>
      </c>
      <c r="T1095" s="5">
        <v>45662</v>
      </c>
      <c r="U1095" s="1">
        <v>2.6133000729758511E-4</v>
      </c>
    </row>
    <row r="1096" spans="3:21" x14ac:dyDescent="0.2">
      <c r="C1096" s="5">
        <v>45663</v>
      </c>
      <c r="D1096" s="6">
        <v>1.0004599999999999</v>
      </c>
      <c r="E1096" s="6">
        <v>102185.9</v>
      </c>
      <c r="F1096" s="6">
        <v>102228.37</v>
      </c>
      <c r="G1096" s="6">
        <v>102255.5</v>
      </c>
      <c r="H1096" s="6">
        <v>102222.38</v>
      </c>
      <c r="I1096" s="5">
        <v>45663</v>
      </c>
      <c r="J1096" s="7">
        <f t="shared" si="98"/>
        <v>-3.5686901439792811E-4</v>
      </c>
      <c r="K1096" s="5">
        <v>45663</v>
      </c>
      <c r="L1096" s="8">
        <f t="shared" si="99"/>
        <v>-2.6531580208404102E-4</v>
      </c>
      <c r="M1096" s="5">
        <v>45663</v>
      </c>
      <c r="N1096" s="9">
        <f t="shared" ref="N1096:N1159" si="102">J1096+L1096</f>
        <v>-6.2218481648196908E-4</v>
      </c>
      <c r="O1096" s="5">
        <v>45663</v>
      </c>
      <c r="P1096">
        <f t="shared" ref="P1096:P1159" si="103">(1/G1096)*H1096</f>
        <v>0.99967610544176122</v>
      </c>
      <c r="Q1096" s="6">
        <f t="shared" si="100"/>
        <v>0.99954021150270889</v>
      </c>
      <c r="R1096">
        <f t="shared" si="101"/>
        <v>1.3594720902372891E-4</v>
      </c>
      <c r="T1096" s="5">
        <v>45663</v>
      </c>
      <c r="U1096" s="1">
        <v>1.3594720902372891E-4</v>
      </c>
    </row>
    <row r="1097" spans="3:21" x14ac:dyDescent="0.2">
      <c r="C1097" s="5">
        <v>45664</v>
      </c>
      <c r="D1097" s="6">
        <v>0.99987999999999999</v>
      </c>
      <c r="E1097" s="6">
        <v>96908.1</v>
      </c>
      <c r="F1097" s="6">
        <v>97019.27</v>
      </c>
      <c r="G1097" s="6">
        <v>96916.5</v>
      </c>
      <c r="H1097" s="6">
        <v>96950.74</v>
      </c>
      <c r="I1097" s="5">
        <v>45664</v>
      </c>
      <c r="J1097" s="7">
        <f t="shared" ref="J1097:J1160" si="104">(E1097-H1097)/H1097</f>
        <v>-4.3981098029782355E-4</v>
      </c>
      <c r="K1097" s="5">
        <v>45664</v>
      </c>
      <c r="L1097" s="8">
        <f t="shared" ref="L1097:L1160" si="105">(F1097-G1097)/G1097</f>
        <v>1.0603973523600633E-3</v>
      </c>
      <c r="M1097" s="5">
        <v>45664</v>
      </c>
      <c r="N1097" s="9">
        <f t="shared" si="102"/>
        <v>6.2058637206223975E-4</v>
      </c>
      <c r="O1097" s="5">
        <v>45664</v>
      </c>
      <c r="P1097">
        <f t="shared" si="103"/>
        <v>1.0003532938147788</v>
      </c>
      <c r="Q1097" s="6">
        <f t="shared" ref="Q1097:Q1160" si="106">1/D1097</f>
        <v>1.0001200144017282</v>
      </c>
      <c r="R1097">
        <f t="shared" ref="R1097:R1160" si="107">LN(P1097/Q1097)</f>
        <v>2.3322422063814548E-4</v>
      </c>
      <c r="T1097" s="5">
        <v>45664</v>
      </c>
      <c r="U1097" s="1">
        <v>2.3322422063814548E-4</v>
      </c>
    </row>
    <row r="1098" spans="3:21" x14ac:dyDescent="0.2">
      <c r="C1098" s="5">
        <v>45665</v>
      </c>
      <c r="D1098" s="6">
        <v>0.99975999999999998</v>
      </c>
      <c r="E1098" s="6">
        <v>95022.2</v>
      </c>
      <c r="F1098" s="6">
        <v>95116.800000000003</v>
      </c>
      <c r="G1098" s="6">
        <v>95020</v>
      </c>
      <c r="H1098" s="6">
        <v>95056.22</v>
      </c>
      <c r="I1098" s="5">
        <v>45665</v>
      </c>
      <c r="J1098" s="7">
        <f t="shared" si="104"/>
        <v>-3.5789346557231158E-4</v>
      </c>
      <c r="K1098" s="5">
        <v>45665</v>
      </c>
      <c r="L1098" s="8">
        <f t="shared" si="105"/>
        <v>1.0187328983372228E-3</v>
      </c>
      <c r="M1098" s="5">
        <v>45665</v>
      </c>
      <c r="N1098" s="9">
        <f t="shared" si="102"/>
        <v>6.6083943276491123E-4</v>
      </c>
      <c r="O1098" s="5">
        <v>45665</v>
      </c>
      <c r="P1098">
        <f t="shared" si="103"/>
        <v>1.0003811829088614</v>
      </c>
      <c r="Q1098" s="6">
        <f t="shared" si="106"/>
        <v>1.0002400576138273</v>
      </c>
      <c r="R1098">
        <f t="shared" si="107"/>
        <v>1.4108147250435204E-4</v>
      </c>
      <c r="T1098" s="5">
        <v>45665</v>
      </c>
      <c r="U1098" s="1">
        <v>1.4108147250435204E-4</v>
      </c>
    </row>
    <row r="1099" spans="3:21" x14ac:dyDescent="0.2">
      <c r="C1099" s="5">
        <v>45666</v>
      </c>
      <c r="D1099" s="6">
        <v>0.99997000000000003</v>
      </c>
      <c r="E1099" s="6">
        <v>92507.7</v>
      </c>
      <c r="F1099" s="6">
        <v>92709.24</v>
      </c>
      <c r="G1099" s="6">
        <v>92506.5</v>
      </c>
      <c r="H1099" s="6">
        <v>92543.96</v>
      </c>
      <c r="I1099" s="5">
        <v>45666</v>
      </c>
      <c r="J1099" s="7">
        <f t="shared" si="104"/>
        <v>-3.9181379314230029E-4</v>
      </c>
      <c r="K1099" s="5">
        <v>45666</v>
      </c>
      <c r="L1099" s="8">
        <f t="shared" si="105"/>
        <v>2.1916297773670523E-3</v>
      </c>
      <c r="M1099" s="5">
        <v>45666</v>
      </c>
      <c r="N1099" s="9">
        <f t="shared" si="102"/>
        <v>1.799815984224752E-3</v>
      </c>
      <c r="O1099" s="5">
        <v>45666</v>
      </c>
      <c r="P1099">
        <f t="shared" si="103"/>
        <v>1.0004049445174124</v>
      </c>
      <c r="Q1099" s="6">
        <f t="shared" si="106"/>
        <v>1.0000300009000269</v>
      </c>
      <c r="R1099">
        <f t="shared" si="107"/>
        <v>3.7486209949991666E-4</v>
      </c>
      <c r="T1099" s="5">
        <v>45666</v>
      </c>
      <c r="U1099" s="1">
        <v>3.7486209949991666E-4</v>
      </c>
    </row>
    <row r="1100" spans="3:21" x14ac:dyDescent="0.2">
      <c r="C1100" s="5">
        <v>45667</v>
      </c>
      <c r="D1100" s="6">
        <v>0.99980999999999998</v>
      </c>
      <c r="E1100" s="6">
        <v>94684.2</v>
      </c>
      <c r="F1100" s="6">
        <v>94818.02</v>
      </c>
      <c r="G1100" s="6">
        <v>94678.5</v>
      </c>
      <c r="H1100" s="6">
        <v>94723.41</v>
      </c>
      <c r="I1100" s="5">
        <v>45667</v>
      </c>
      <c r="J1100" s="7">
        <f t="shared" si="104"/>
        <v>-4.1394202341328719E-4</v>
      </c>
      <c r="K1100" s="5">
        <v>45667</v>
      </c>
      <c r="L1100" s="8">
        <f t="shared" si="105"/>
        <v>1.4736186145746296E-3</v>
      </c>
      <c r="M1100" s="5">
        <v>45667</v>
      </c>
      <c r="N1100" s="9">
        <f t="shared" si="102"/>
        <v>1.0596765911613424E-3</v>
      </c>
      <c r="O1100" s="5">
        <v>45667</v>
      </c>
      <c r="P1100">
        <f t="shared" si="103"/>
        <v>1.0004743421156863</v>
      </c>
      <c r="Q1100" s="6">
        <f t="shared" si="106"/>
        <v>1.0001900361068603</v>
      </c>
      <c r="R1100">
        <f t="shared" si="107"/>
        <v>2.842115987413115E-4</v>
      </c>
      <c r="T1100" s="5">
        <v>45667</v>
      </c>
      <c r="U1100" s="1">
        <v>2.842115987413115E-4</v>
      </c>
    </row>
    <row r="1101" spans="3:21" x14ac:dyDescent="0.2">
      <c r="C1101" s="5">
        <v>45668</v>
      </c>
      <c r="D1101" s="6">
        <v>0.99968999999999997</v>
      </c>
      <c r="E1101" s="6">
        <v>94569.4</v>
      </c>
      <c r="F1101" s="6">
        <v>94542.6</v>
      </c>
      <c r="G1101" s="6">
        <v>94533</v>
      </c>
      <c r="H1101" s="6">
        <v>94617.18</v>
      </c>
      <c r="I1101" s="5">
        <v>45668</v>
      </c>
      <c r="J1101" s="7">
        <f t="shared" si="104"/>
        <v>-5.0498228757186417E-4</v>
      </c>
      <c r="K1101" s="5">
        <v>45668</v>
      </c>
      <c r="L1101" s="8">
        <f t="shared" si="105"/>
        <v>1.0155183904039669E-4</v>
      </c>
      <c r="M1101" s="5">
        <v>45668</v>
      </c>
      <c r="N1101" s="9">
        <f t="shared" si="102"/>
        <v>-4.0343044853146748E-4</v>
      </c>
      <c r="O1101" s="5">
        <v>45668</v>
      </c>
      <c r="P1101">
        <f t="shared" si="103"/>
        <v>1.0008904826885847</v>
      </c>
      <c r="Q1101" s="6">
        <f t="shared" si="106"/>
        <v>1.0003100961298004</v>
      </c>
      <c r="R1101">
        <f t="shared" si="107"/>
        <v>5.8003838415769779E-4</v>
      </c>
      <c r="T1101" s="5">
        <v>45668</v>
      </c>
      <c r="U1101" s="1">
        <v>5.8003838415769779E-4</v>
      </c>
    </row>
    <row r="1102" spans="3:21" x14ac:dyDescent="0.2">
      <c r="C1102" s="5">
        <v>45669</v>
      </c>
      <c r="D1102" s="6">
        <v>0.99951999999999996</v>
      </c>
      <c r="E1102" s="6">
        <v>94510</v>
      </c>
      <c r="F1102" s="6">
        <v>94585.41</v>
      </c>
      <c r="G1102" s="6">
        <v>94474</v>
      </c>
      <c r="H1102" s="6">
        <v>94552.84</v>
      </c>
      <c r="I1102" s="5">
        <v>45669</v>
      </c>
      <c r="J1102" s="7">
        <f t="shared" si="104"/>
        <v>-4.5307999209750344E-4</v>
      </c>
      <c r="K1102" s="5">
        <v>45669</v>
      </c>
      <c r="L1102" s="8">
        <f t="shared" si="105"/>
        <v>1.1792662531490514E-3</v>
      </c>
      <c r="M1102" s="5">
        <v>45669</v>
      </c>
      <c r="N1102" s="9">
        <f t="shared" si="102"/>
        <v>7.2618626105154798E-4</v>
      </c>
      <c r="O1102" s="5">
        <v>45669</v>
      </c>
      <c r="P1102">
        <f t="shared" si="103"/>
        <v>1.0008345153163833</v>
      </c>
      <c r="Q1102" s="6">
        <f t="shared" si="106"/>
        <v>1.0004802305106451</v>
      </c>
      <c r="R1102">
        <f t="shared" si="107"/>
        <v>3.5405206520157715E-4</v>
      </c>
      <c r="T1102" s="5">
        <v>45669</v>
      </c>
      <c r="U1102" s="1">
        <v>3.5405206520157715E-4</v>
      </c>
    </row>
    <row r="1103" spans="3:21" x14ac:dyDescent="0.2">
      <c r="C1103" s="5">
        <v>45670</v>
      </c>
      <c r="D1103" s="6">
        <v>0.99961</v>
      </c>
      <c r="E1103" s="6">
        <v>94508.2</v>
      </c>
      <c r="F1103" s="6">
        <v>94492.88</v>
      </c>
      <c r="G1103" s="6">
        <v>94482.5</v>
      </c>
      <c r="H1103" s="6">
        <v>94544.68</v>
      </c>
      <c r="I1103" s="5">
        <v>45670</v>
      </c>
      <c r="J1103" s="7">
        <f t="shared" si="104"/>
        <v>-3.8584931484242081E-4</v>
      </c>
      <c r="K1103" s="5">
        <v>45670</v>
      </c>
      <c r="L1103" s="8">
        <f t="shared" si="105"/>
        <v>1.0986161458476074E-4</v>
      </c>
      <c r="M1103" s="5">
        <v>45670</v>
      </c>
      <c r="N1103" s="9">
        <f t="shared" si="102"/>
        <v>-2.7598770025766007E-4</v>
      </c>
      <c r="O1103" s="5">
        <v>45670</v>
      </c>
      <c r="P1103">
        <f t="shared" si="103"/>
        <v>1.0006581112904505</v>
      </c>
      <c r="Q1103" s="6">
        <f t="shared" si="106"/>
        <v>1.0003901521593421</v>
      </c>
      <c r="R1103">
        <f t="shared" si="107"/>
        <v>2.6781876040108809E-4</v>
      </c>
      <c r="T1103" s="5">
        <v>45670</v>
      </c>
      <c r="U1103" s="1">
        <v>2.6781876040108809E-4</v>
      </c>
    </row>
    <row r="1104" spans="3:21" x14ac:dyDescent="0.2">
      <c r="C1104" s="5">
        <v>45671</v>
      </c>
      <c r="D1104" s="6">
        <v>0.99968999999999997</v>
      </c>
      <c r="E1104" s="6">
        <v>96523.3</v>
      </c>
      <c r="F1104" s="6">
        <v>96566.17</v>
      </c>
      <c r="G1104" s="6">
        <v>96479.5</v>
      </c>
      <c r="H1104" s="6">
        <v>96566.31</v>
      </c>
      <c r="I1104" s="5">
        <v>45671</v>
      </c>
      <c r="J1104" s="7">
        <f t="shared" si="104"/>
        <v>-4.4539342965465662E-4</v>
      </c>
      <c r="K1104" s="5">
        <v>45671</v>
      </c>
      <c r="L1104" s="8">
        <f t="shared" si="105"/>
        <v>8.9832555102377452E-4</v>
      </c>
      <c r="M1104" s="5">
        <v>45671</v>
      </c>
      <c r="N1104" s="9">
        <f t="shared" si="102"/>
        <v>4.529321213691179E-4</v>
      </c>
      <c r="O1104" s="5">
        <v>45671</v>
      </c>
      <c r="P1104">
        <f t="shared" si="103"/>
        <v>1.0008997766364875</v>
      </c>
      <c r="Q1104" s="6">
        <f t="shared" si="106"/>
        <v>1.0003100961298004</v>
      </c>
      <c r="R1104">
        <f t="shared" si="107"/>
        <v>5.8932402021239557E-4</v>
      </c>
      <c r="T1104" s="5">
        <v>45671</v>
      </c>
      <c r="U1104" s="1">
        <v>5.8932402021239557E-4</v>
      </c>
    </row>
    <row r="1105" spans="3:21" x14ac:dyDescent="0.2">
      <c r="C1105" s="5">
        <v>45672</v>
      </c>
      <c r="D1105" s="6">
        <v>1.00013</v>
      </c>
      <c r="E1105" s="6">
        <v>100465</v>
      </c>
      <c r="F1105" s="6">
        <v>100051.25</v>
      </c>
      <c r="G1105" s="6">
        <v>100486</v>
      </c>
      <c r="H1105" s="6">
        <v>100508.73</v>
      </c>
      <c r="I1105" s="5">
        <v>45672</v>
      </c>
      <c r="J1105" s="7">
        <f t="shared" si="104"/>
        <v>-4.3508658402106887E-4</v>
      </c>
      <c r="K1105" s="5">
        <v>45672</v>
      </c>
      <c r="L1105" s="8">
        <f t="shared" si="105"/>
        <v>-4.3264733395696909E-3</v>
      </c>
      <c r="M1105" s="5">
        <v>45672</v>
      </c>
      <c r="N1105" s="9">
        <f t="shared" si="102"/>
        <v>-4.7615599235907597E-3</v>
      </c>
      <c r="O1105" s="5">
        <v>45672</v>
      </c>
      <c r="P1105">
        <f t="shared" si="103"/>
        <v>1.0002262006647691</v>
      </c>
      <c r="Q1105" s="6">
        <f t="shared" si="106"/>
        <v>0.9998700168978033</v>
      </c>
      <c r="R1105">
        <f t="shared" si="107"/>
        <v>3.5616663598830124E-4</v>
      </c>
      <c r="T1105" s="5">
        <v>45672</v>
      </c>
      <c r="U1105" s="1">
        <v>3.5616663598830124E-4</v>
      </c>
    </row>
    <row r="1106" spans="3:21" x14ac:dyDescent="0.2">
      <c r="C1106" s="5">
        <v>45673</v>
      </c>
      <c r="D1106" s="6">
        <v>0.99990000000000001</v>
      </c>
      <c r="E1106" s="6">
        <v>99945.8</v>
      </c>
      <c r="F1106" s="6">
        <v>99798.62</v>
      </c>
      <c r="G1106" s="6">
        <v>99949</v>
      </c>
      <c r="H1106" s="6">
        <v>99982.56</v>
      </c>
      <c r="I1106" s="5">
        <v>45673</v>
      </c>
      <c r="J1106" s="7">
        <f t="shared" si="104"/>
        <v>-3.6766412062258421E-4</v>
      </c>
      <c r="K1106" s="5">
        <v>45673</v>
      </c>
      <c r="L1106" s="8">
        <f t="shared" si="105"/>
        <v>-1.504567329338009E-3</v>
      </c>
      <c r="M1106" s="5">
        <v>45673</v>
      </c>
      <c r="N1106" s="9">
        <f t="shared" si="102"/>
        <v>-1.8722314499605931E-3</v>
      </c>
      <c r="O1106" s="5">
        <v>45673</v>
      </c>
      <c r="P1106">
        <f t="shared" si="103"/>
        <v>1.0003357712433341</v>
      </c>
      <c r="Q1106" s="6">
        <f t="shared" si="106"/>
        <v>1.000100010001</v>
      </c>
      <c r="R1106">
        <f t="shared" si="107"/>
        <v>2.3570988445229568E-4</v>
      </c>
      <c r="T1106" s="5">
        <v>45673</v>
      </c>
      <c r="U1106" s="1">
        <v>2.3570988445229568E-4</v>
      </c>
    </row>
    <row r="1107" spans="3:21" x14ac:dyDescent="0.2">
      <c r="C1107" s="5">
        <v>45674</v>
      </c>
      <c r="D1107" s="6">
        <v>1.00038</v>
      </c>
      <c r="E1107" s="6">
        <v>104048.8</v>
      </c>
      <c r="F1107" s="6">
        <v>103732.99</v>
      </c>
      <c r="G1107" s="6">
        <v>104100</v>
      </c>
      <c r="H1107" s="6">
        <v>104084.75</v>
      </c>
      <c r="I1107" s="5">
        <v>45674</v>
      </c>
      <c r="J1107" s="7">
        <f t="shared" si="104"/>
        <v>-3.4539161596676833E-4</v>
      </c>
      <c r="K1107" s="5">
        <v>45674</v>
      </c>
      <c r="L1107" s="8">
        <f t="shared" si="105"/>
        <v>-3.5255523535061939E-3</v>
      </c>
      <c r="M1107" s="5">
        <v>45674</v>
      </c>
      <c r="N1107" s="9">
        <f t="shared" si="102"/>
        <v>-3.8709439694729624E-3</v>
      </c>
      <c r="O1107" s="5">
        <v>45674</v>
      </c>
      <c r="P1107">
        <f t="shared" si="103"/>
        <v>0.99985350624399616</v>
      </c>
      <c r="Q1107" s="6">
        <f t="shared" si="106"/>
        <v>0.99962014434514879</v>
      </c>
      <c r="R1107">
        <f t="shared" si="107"/>
        <v>2.3342333102344042E-4</v>
      </c>
      <c r="T1107" s="5">
        <v>45674</v>
      </c>
      <c r="U1107" s="1">
        <v>2.3342333102344042E-4</v>
      </c>
    </row>
    <row r="1108" spans="3:21" x14ac:dyDescent="0.2">
      <c r="C1108" s="5">
        <v>45675</v>
      </c>
      <c r="D1108" s="6">
        <v>0.99887999999999999</v>
      </c>
      <c r="E1108" s="6">
        <v>104520</v>
      </c>
      <c r="F1108" s="6">
        <v>103579.91</v>
      </c>
      <c r="G1108" s="6">
        <v>104467.5</v>
      </c>
      <c r="H1108" s="6">
        <v>104553.19</v>
      </c>
      <c r="I1108" s="5">
        <v>45675</v>
      </c>
      <c r="J1108" s="7">
        <f t="shared" si="104"/>
        <v>-3.174460769681186E-4</v>
      </c>
      <c r="K1108" s="5">
        <v>45675</v>
      </c>
      <c r="L1108" s="8">
        <f t="shared" si="105"/>
        <v>-8.4963266087538861E-3</v>
      </c>
      <c r="M1108" s="5">
        <v>45675</v>
      </c>
      <c r="N1108" s="9">
        <f t="shared" si="102"/>
        <v>-8.8137726857220045E-3</v>
      </c>
      <c r="O1108" s="5">
        <v>45675</v>
      </c>
      <c r="P1108">
        <f t="shared" si="103"/>
        <v>1.0008202551032619</v>
      </c>
      <c r="Q1108" s="6">
        <f t="shared" si="106"/>
        <v>1.0011212558065032</v>
      </c>
      <c r="R1108">
        <f t="shared" si="107"/>
        <v>-3.0070879081053577E-4</v>
      </c>
      <c r="T1108" s="5">
        <v>45675</v>
      </c>
      <c r="U1108" s="1">
        <v>-3.0070879081053577E-4</v>
      </c>
    </row>
    <row r="1109" spans="3:21" x14ac:dyDescent="0.2">
      <c r="C1109" s="5">
        <v>45676</v>
      </c>
      <c r="D1109" s="6">
        <v>0.99865999999999999</v>
      </c>
      <c r="E1109" s="6">
        <v>101310.7</v>
      </c>
      <c r="F1109" s="6">
        <v>101434.68</v>
      </c>
      <c r="G1109" s="6">
        <v>101290</v>
      </c>
      <c r="H1109" s="6">
        <v>101337.81</v>
      </c>
      <c r="I1109" s="5">
        <v>45676</v>
      </c>
      <c r="J1109" s="7">
        <f t="shared" si="104"/>
        <v>-2.6752107628929997E-4</v>
      </c>
      <c r="K1109" s="5">
        <v>45676</v>
      </c>
      <c r="L1109" s="8">
        <f t="shared" si="105"/>
        <v>1.4283739757132295E-3</v>
      </c>
      <c r="M1109" s="5">
        <v>45676</v>
      </c>
      <c r="N1109" s="9">
        <f t="shared" si="102"/>
        <v>1.1608528994239296E-3</v>
      </c>
      <c r="O1109" s="5">
        <v>45676</v>
      </c>
      <c r="P1109">
        <f t="shared" si="103"/>
        <v>1.0004720110573602</v>
      </c>
      <c r="Q1109" s="6">
        <f t="shared" si="106"/>
        <v>1.0013417980093324</v>
      </c>
      <c r="R1109">
        <f t="shared" si="107"/>
        <v>-8.6899890765902569E-4</v>
      </c>
      <c r="T1109" s="5">
        <v>45676</v>
      </c>
      <c r="U1109" s="1">
        <v>-8.6899890765902569E-4</v>
      </c>
    </row>
    <row r="1110" spans="3:21" x14ac:dyDescent="0.2">
      <c r="C1110" s="5">
        <v>45677</v>
      </c>
      <c r="D1110" s="6">
        <v>0.99882000000000004</v>
      </c>
      <c r="E1110" s="6">
        <v>102258.7</v>
      </c>
      <c r="F1110" s="6">
        <v>102408.35</v>
      </c>
      <c r="G1110" s="6">
        <v>102183.5</v>
      </c>
      <c r="H1110" s="6">
        <v>102268.75</v>
      </c>
      <c r="I1110" s="5">
        <v>45677</v>
      </c>
      <c r="J1110" s="7">
        <f t="shared" si="104"/>
        <v>-9.8270488296795555E-5</v>
      </c>
      <c r="K1110" s="5">
        <v>45677</v>
      </c>
      <c r="L1110" s="8">
        <f t="shared" si="105"/>
        <v>2.2004531064213481E-3</v>
      </c>
      <c r="M1110" s="5">
        <v>45677</v>
      </c>
      <c r="N1110" s="9">
        <f t="shared" si="102"/>
        <v>2.1021826181245526E-3</v>
      </c>
      <c r="O1110" s="5">
        <v>45677</v>
      </c>
      <c r="P1110">
        <f t="shared" si="103"/>
        <v>1.0008342834214918</v>
      </c>
      <c r="Q1110" s="6">
        <f t="shared" si="106"/>
        <v>1.001181394044973</v>
      </c>
      <c r="R1110">
        <f t="shared" si="107"/>
        <v>-3.4676114764350512E-4</v>
      </c>
      <c r="T1110" s="5">
        <v>45677</v>
      </c>
      <c r="U1110" s="1">
        <v>-3.4676114764350512E-4</v>
      </c>
    </row>
    <row r="1111" spans="3:21" x14ac:dyDescent="0.2">
      <c r="C1111" s="5">
        <v>45678</v>
      </c>
      <c r="D1111" s="6">
        <v>1.0001599999999999</v>
      </c>
      <c r="E1111" s="6">
        <v>106133.3</v>
      </c>
      <c r="F1111" s="6">
        <v>106059.71</v>
      </c>
      <c r="G1111" s="6">
        <v>106158.5</v>
      </c>
      <c r="H1111" s="6">
        <v>106152.63</v>
      </c>
      <c r="I1111" s="5">
        <v>45678</v>
      </c>
      <c r="J1111" s="7">
        <f t="shared" si="104"/>
        <v>-1.8209628908866173E-4</v>
      </c>
      <c r="K1111" s="5">
        <v>45678</v>
      </c>
      <c r="L1111" s="8">
        <f t="shared" si="105"/>
        <v>-9.3058963719338161E-4</v>
      </c>
      <c r="M1111" s="5">
        <v>45678</v>
      </c>
      <c r="N1111" s="9">
        <f t="shared" si="102"/>
        <v>-1.1126859262820432E-3</v>
      </c>
      <c r="O1111" s="5">
        <v>45678</v>
      </c>
      <c r="P1111">
        <f t="shared" si="103"/>
        <v>0.99994470532270152</v>
      </c>
      <c r="Q1111" s="6">
        <f t="shared" si="106"/>
        <v>0.99984002559590468</v>
      </c>
      <c r="R1111">
        <f t="shared" si="107"/>
        <v>1.0469099525962377E-4</v>
      </c>
      <c r="T1111" s="5">
        <v>45678</v>
      </c>
      <c r="U1111" s="1">
        <v>1.0469099525962377E-4</v>
      </c>
    </row>
    <row r="1112" spans="3:21" x14ac:dyDescent="0.2">
      <c r="C1112" s="5">
        <v>45679</v>
      </c>
      <c r="D1112" s="6">
        <v>0.99950000000000006</v>
      </c>
      <c r="E1112" s="6">
        <v>103670.39999999999</v>
      </c>
      <c r="F1112" s="6">
        <v>103715.68</v>
      </c>
      <c r="G1112" s="6">
        <v>103648.5</v>
      </c>
      <c r="H1112" s="6">
        <v>103708.04</v>
      </c>
      <c r="I1112" s="5">
        <v>45679</v>
      </c>
      <c r="J1112" s="7">
        <f t="shared" si="104"/>
        <v>-3.6294196669804408E-4</v>
      </c>
      <c r="K1112" s="5">
        <v>45679</v>
      </c>
      <c r="L1112" s="8">
        <f t="shared" si="105"/>
        <v>6.481521681451542E-4</v>
      </c>
      <c r="M1112" s="5">
        <v>45679</v>
      </c>
      <c r="N1112" s="9">
        <f t="shared" si="102"/>
        <v>2.8521020144711012E-4</v>
      </c>
      <c r="O1112" s="5">
        <v>45679</v>
      </c>
      <c r="P1112">
        <f t="shared" si="103"/>
        <v>1.0005744415018065</v>
      </c>
      <c r="Q1112" s="6">
        <f t="shared" si="106"/>
        <v>1.0005002501250624</v>
      </c>
      <c r="R1112">
        <f t="shared" si="107"/>
        <v>7.4151531763052471E-5</v>
      </c>
      <c r="T1112" s="5">
        <v>45679</v>
      </c>
      <c r="U1112" s="1">
        <v>7.4151531763052471E-5</v>
      </c>
    </row>
    <row r="1113" spans="3:21" x14ac:dyDescent="0.2">
      <c r="C1113" s="5">
        <v>45680</v>
      </c>
      <c r="D1113" s="6">
        <v>1.0001800000000001</v>
      </c>
      <c r="E1113" s="6">
        <v>103862.39999999999</v>
      </c>
      <c r="F1113" s="6">
        <v>104004.5</v>
      </c>
      <c r="G1113" s="6">
        <v>103881</v>
      </c>
      <c r="H1113" s="6">
        <v>103906.68</v>
      </c>
      <c r="I1113" s="5">
        <v>45680</v>
      </c>
      <c r="J1113" s="7">
        <f t="shared" si="104"/>
        <v>-4.2615161989584152E-4</v>
      </c>
      <c r="K1113" s="5">
        <v>45680</v>
      </c>
      <c r="L1113" s="8">
        <f t="shared" si="105"/>
        <v>1.1888603305705567E-3</v>
      </c>
      <c r="M1113" s="5">
        <v>45680</v>
      </c>
      <c r="N1113" s="9">
        <f t="shared" si="102"/>
        <v>7.6270871067471522E-4</v>
      </c>
      <c r="O1113" s="5">
        <v>45680</v>
      </c>
      <c r="P1113">
        <f t="shared" si="103"/>
        <v>1.0002472059375631</v>
      </c>
      <c r="Q1113" s="6">
        <f t="shared" si="106"/>
        <v>0.99982003239416894</v>
      </c>
      <c r="R1113">
        <f t="shared" si="107"/>
        <v>4.2715918915378458E-4</v>
      </c>
      <c r="T1113" s="5">
        <v>45680</v>
      </c>
      <c r="U1113" s="1">
        <v>4.2715918915378458E-4</v>
      </c>
    </row>
    <row r="1114" spans="3:21" x14ac:dyDescent="0.2">
      <c r="C1114" s="5">
        <v>45681</v>
      </c>
      <c r="D1114" s="6">
        <v>0.99992999999999999</v>
      </c>
      <c r="E1114" s="6">
        <v>104800.1</v>
      </c>
      <c r="F1114" s="6">
        <v>104874.93</v>
      </c>
      <c r="G1114" s="6">
        <v>104815</v>
      </c>
      <c r="H1114" s="6">
        <v>104844.88</v>
      </c>
      <c r="I1114" s="5">
        <v>45681</v>
      </c>
      <c r="J1114" s="7">
        <f t="shared" si="104"/>
        <v>-4.2710717013552625E-4</v>
      </c>
      <c r="K1114" s="5">
        <v>45681</v>
      </c>
      <c r="L1114" s="8">
        <f t="shared" si="105"/>
        <v>5.7176930782801142E-4</v>
      </c>
      <c r="M1114" s="5">
        <v>45681</v>
      </c>
      <c r="N1114" s="9">
        <f t="shared" si="102"/>
        <v>1.4466213769248517E-4</v>
      </c>
      <c r="O1114" s="5">
        <v>45681</v>
      </c>
      <c r="P1114">
        <f t="shared" si="103"/>
        <v>1.0002850737012834</v>
      </c>
      <c r="Q1114" s="6">
        <f t="shared" si="106"/>
        <v>1.000070004900343</v>
      </c>
      <c r="R1114">
        <f t="shared" si="107"/>
        <v>2.1503062538217509E-4</v>
      </c>
      <c r="T1114" s="5">
        <v>45681</v>
      </c>
      <c r="U1114" s="1">
        <v>2.1503062538217509E-4</v>
      </c>
    </row>
    <row r="1115" spans="3:21" x14ac:dyDescent="0.2">
      <c r="C1115" s="5">
        <v>45682</v>
      </c>
      <c r="D1115" s="6">
        <v>0.99985999999999997</v>
      </c>
      <c r="E1115" s="6">
        <v>104709.4</v>
      </c>
      <c r="F1115" s="6">
        <v>104851.8</v>
      </c>
      <c r="G1115" s="6">
        <v>104687.5</v>
      </c>
      <c r="H1115" s="6">
        <v>104756.95</v>
      </c>
      <c r="I1115" s="5">
        <v>45682</v>
      </c>
      <c r="J1115" s="7">
        <f t="shared" si="104"/>
        <v>-4.5390783141359989E-4</v>
      </c>
      <c r="K1115" s="5">
        <v>45682</v>
      </c>
      <c r="L1115" s="8">
        <f t="shared" si="105"/>
        <v>1.5694328358209233E-3</v>
      </c>
      <c r="M1115" s="5">
        <v>45682</v>
      </c>
      <c r="N1115" s="9">
        <f t="shared" si="102"/>
        <v>1.1155250044073235E-3</v>
      </c>
      <c r="O1115" s="5">
        <v>45682</v>
      </c>
      <c r="P1115">
        <f t="shared" si="103"/>
        <v>1.0006634029850745</v>
      </c>
      <c r="Q1115" s="6">
        <f t="shared" si="106"/>
        <v>1.0001400196027443</v>
      </c>
      <c r="R1115">
        <f t="shared" si="107"/>
        <v>5.2317322967302695E-4</v>
      </c>
      <c r="T1115" s="5">
        <v>45682</v>
      </c>
      <c r="U1115" s="1">
        <v>5.2317322967302695E-4</v>
      </c>
    </row>
    <row r="1116" spans="3:21" x14ac:dyDescent="0.2">
      <c r="C1116" s="5">
        <v>45683</v>
      </c>
      <c r="D1116" s="6">
        <v>0.99958000000000002</v>
      </c>
      <c r="E1116" s="6">
        <v>102553.7</v>
      </c>
      <c r="F1116" s="6">
        <v>102655.93</v>
      </c>
      <c r="G1116" s="6">
        <v>102506</v>
      </c>
      <c r="H1116" s="6">
        <v>102608.32000000001</v>
      </c>
      <c r="I1116" s="5">
        <v>45683</v>
      </c>
      <c r="J1116" s="7">
        <f t="shared" si="104"/>
        <v>-5.3231550813822789E-4</v>
      </c>
      <c r="K1116" s="5">
        <v>45683</v>
      </c>
      <c r="L1116" s="8">
        <f t="shared" si="105"/>
        <v>1.4626460890093556E-3</v>
      </c>
      <c r="M1116" s="5">
        <v>45683</v>
      </c>
      <c r="N1116" s="9">
        <f t="shared" si="102"/>
        <v>9.3033058087112772E-4</v>
      </c>
      <c r="O1116" s="5">
        <v>45683</v>
      </c>
      <c r="P1116">
        <f t="shared" si="103"/>
        <v>1.00099818547207</v>
      </c>
      <c r="Q1116" s="6">
        <f t="shared" si="106"/>
        <v>1.0004201764741192</v>
      </c>
      <c r="R1116">
        <f t="shared" si="107"/>
        <v>5.7759939152198241E-4</v>
      </c>
      <c r="T1116" s="5">
        <v>45683</v>
      </c>
      <c r="U1116" s="1">
        <v>5.7759939152198241E-4</v>
      </c>
    </row>
    <row r="1117" spans="3:21" x14ac:dyDescent="0.2">
      <c r="C1117" s="5">
        <v>45684</v>
      </c>
      <c r="D1117" s="6">
        <v>0.99980000000000002</v>
      </c>
      <c r="E1117" s="6">
        <v>102024.2</v>
      </c>
      <c r="F1117" s="6">
        <v>102064.14</v>
      </c>
      <c r="G1117" s="6">
        <v>102021.5</v>
      </c>
      <c r="H1117" s="6">
        <v>102069.33</v>
      </c>
      <c r="I1117" s="5">
        <v>45684</v>
      </c>
      <c r="J1117" s="7">
        <f t="shared" si="104"/>
        <v>-4.4215044813172236E-4</v>
      </c>
      <c r="K1117" s="5">
        <v>45684</v>
      </c>
      <c r="L1117" s="8">
        <f t="shared" si="105"/>
        <v>4.1795111814665946E-4</v>
      </c>
      <c r="M1117" s="5">
        <v>45684</v>
      </c>
      <c r="N1117" s="9">
        <f t="shared" si="102"/>
        <v>-2.4199329985062905E-5</v>
      </c>
      <c r="O1117" s="5">
        <v>45684</v>
      </c>
      <c r="P1117">
        <f t="shared" si="103"/>
        <v>1.0004688227481464</v>
      </c>
      <c r="Q1117" s="6">
        <f t="shared" si="106"/>
        <v>1.0002000400080016</v>
      </c>
      <c r="R1117">
        <f t="shared" si="107"/>
        <v>2.686928824309179E-4</v>
      </c>
      <c r="T1117" s="5">
        <v>45684</v>
      </c>
      <c r="U1117" s="1">
        <v>2.686928824309179E-4</v>
      </c>
    </row>
    <row r="1118" spans="3:21" x14ac:dyDescent="0.2">
      <c r="C1118" s="5">
        <v>45685</v>
      </c>
      <c r="D1118" s="6">
        <v>0.99936999999999998</v>
      </c>
      <c r="E1118" s="6">
        <v>101278</v>
      </c>
      <c r="F1118" s="6">
        <v>101362.87</v>
      </c>
      <c r="G1118" s="6">
        <v>101259.5</v>
      </c>
      <c r="H1118" s="6">
        <v>101323.2</v>
      </c>
      <c r="I1118" s="5">
        <v>45685</v>
      </c>
      <c r="J1118" s="7">
        <f t="shared" si="104"/>
        <v>-4.4609724130304895E-4</v>
      </c>
      <c r="K1118" s="5">
        <v>45685</v>
      </c>
      <c r="L1118" s="8">
        <f t="shared" si="105"/>
        <v>1.0208424888528517E-3</v>
      </c>
      <c r="M1118" s="5">
        <v>45685</v>
      </c>
      <c r="N1118" s="9">
        <f t="shared" si="102"/>
        <v>5.747452475498028E-4</v>
      </c>
      <c r="O1118" s="5">
        <v>45685</v>
      </c>
      <c r="P1118">
        <f t="shared" si="103"/>
        <v>1.0006290767779813</v>
      </c>
      <c r="Q1118" s="6">
        <f t="shared" si="106"/>
        <v>1.0006303971502046</v>
      </c>
      <c r="R1118">
        <f t="shared" si="107"/>
        <v>-1.3195412594385937E-6</v>
      </c>
      <c r="T1118" s="5">
        <v>45685</v>
      </c>
      <c r="U1118" s="1">
        <v>-1.3195412594385937E-6</v>
      </c>
    </row>
    <row r="1119" spans="3:21" x14ac:dyDescent="0.2">
      <c r="C1119" s="5">
        <v>45686</v>
      </c>
      <c r="D1119" s="6">
        <v>1.0000100000000001</v>
      </c>
      <c r="E1119" s="6">
        <v>103700</v>
      </c>
      <c r="F1119" s="6">
        <v>103663.98</v>
      </c>
      <c r="G1119" s="6">
        <v>103714.5</v>
      </c>
      <c r="H1119" s="6">
        <v>103745.58</v>
      </c>
      <c r="I1119" s="5">
        <v>45686</v>
      </c>
      <c r="J1119" s="7">
        <f t="shared" si="104"/>
        <v>-4.3934401831867675E-4</v>
      </c>
      <c r="K1119" s="5">
        <v>45686</v>
      </c>
      <c r="L1119" s="8">
        <f t="shared" si="105"/>
        <v>-4.8710643159832111E-4</v>
      </c>
      <c r="M1119" s="5">
        <v>45686</v>
      </c>
      <c r="N1119" s="9">
        <f t="shared" si="102"/>
        <v>-9.2645044991699786E-4</v>
      </c>
      <c r="O1119" s="5">
        <v>45686</v>
      </c>
      <c r="P1119">
        <f t="shared" si="103"/>
        <v>1.0002996688023373</v>
      </c>
      <c r="Q1119" s="6">
        <f t="shared" si="106"/>
        <v>0.99999000009999894</v>
      </c>
      <c r="R1119">
        <f t="shared" si="107"/>
        <v>3.0962386061038507E-4</v>
      </c>
      <c r="T1119" s="5">
        <v>45686</v>
      </c>
      <c r="U1119" s="1">
        <v>3.0962386061038507E-4</v>
      </c>
    </row>
    <row r="1120" spans="3:21" x14ac:dyDescent="0.2">
      <c r="C1120" s="5">
        <v>45687</v>
      </c>
      <c r="D1120" s="6">
        <v>1</v>
      </c>
      <c r="E1120" s="6">
        <v>104684.6</v>
      </c>
      <c r="F1120" s="6">
        <v>104553.09</v>
      </c>
      <c r="G1120" s="6">
        <v>104694</v>
      </c>
      <c r="H1120" s="6">
        <v>104732.28</v>
      </c>
      <c r="I1120" s="5">
        <v>45687</v>
      </c>
      <c r="J1120" s="7">
        <f t="shared" si="104"/>
        <v>-4.5525601084969231E-4</v>
      </c>
      <c r="K1120" s="5">
        <v>45687</v>
      </c>
      <c r="L1120" s="8">
        <f t="shared" si="105"/>
        <v>-1.345922402429972E-3</v>
      </c>
      <c r="M1120" s="5">
        <v>45687</v>
      </c>
      <c r="N1120" s="9">
        <f t="shared" si="102"/>
        <v>-1.8011784132796642E-3</v>
      </c>
      <c r="O1120" s="5">
        <v>45687</v>
      </c>
      <c r="P1120">
        <f t="shared" si="103"/>
        <v>1.0003656369992548</v>
      </c>
      <c r="Q1120" s="6">
        <f t="shared" si="106"/>
        <v>1</v>
      </c>
      <c r="R1120">
        <f t="shared" si="107"/>
        <v>3.6557017033682311E-4</v>
      </c>
      <c r="T1120" s="5">
        <v>45687</v>
      </c>
      <c r="U1120" s="1">
        <v>3.6557017033682311E-4</v>
      </c>
    </row>
    <row r="1121" spans="3:21" x14ac:dyDescent="0.2">
      <c r="C1121" s="5">
        <v>45688</v>
      </c>
      <c r="D1121" s="6">
        <v>0.99973999999999996</v>
      </c>
      <c r="E1121" s="6">
        <v>102377.60000000001</v>
      </c>
      <c r="F1121" s="6">
        <v>102616.96000000001</v>
      </c>
      <c r="G1121" s="6">
        <v>102362</v>
      </c>
      <c r="H1121" s="6">
        <v>102427.07</v>
      </c>
      <c r="I1121" s="5">
        <v>45688</v>
      </c>
      <c r="J1121" s="7">
        <f t="shared" si="104"/>
        <v>-4.8297779092969429E-4</v>
      </c>
      <c r="K1121" s="5">
        <v>45688</v>
      </c>
      <c r="L1121" s="8">
        <f t="shared" si="105"/>
        <v>2.4907680584592565E-3</v>
      </c>
      <c r="M1121" s="5">
        <v>45688</v>
      </c>
      <c r="N1121" s="9">
        <f t="shared" si="102"/>
        <v>2.0077902675295621E-3</v>
      </c>
      <c r="O1121" s="5">
        <v>45688</v>
      </c>
      <c r="P1121">
        <f t="shared" si="103"/>
        <v>1.0006356851175242</v>
      </c>
      <c r="Q1121" s="6">
        <f t="shared" si="106"/>
        <v>1.0002600676175806</v>
      </c>
      <c r="R1121">
        <f t="shared" si="107"/>
        <v>3.7544934946501539E-4</v>
      </c>
      <c r="T1121" s="5">
        <v>45688</v>
      </c>
      <c r="U1121" s="1">
        <v>3.7544934946501539E-4</v>
      </c>
    </row>
    <row r="1122" spans="3:21" x14ac:dyDescent="0.2">
      <c r="C1122" s="5">
        <v>45689</v>
      </c>
      <c r="D1122" s="6">
        <v>0.99977000000000005</v>
      </c>
      <c r="E1122" s="6">
        <v>100576.5</v>
      </c>
      <c r="F1122" s="6">
        <v>101041.09</v>
      </c>
      <c r="G1122" s="6">
        <v>100580.5</v>
      </c>
      <c r="H1122" s="6">
        <v>100634.02</v>
      </c>
      <c r="I1122" s="5">
        <v>45689</v>
      </c>
      <c r="J1122" s="7">
        <f t="shared" si="104"/>
        <v>-5.7157609325359426E-4</v>
      </c>
      <c r="K1122" s="5">
        <v>45689</v>
      </c>
      <c r="L1122" s="8">
        <f t="shared" si="105"/>
        <v>4.5793170644408861E-3</v>
      </c>
      <c r="M1122" s="5">
        <v>45689</v>
      </c>
      <c r="N1122" s="9">
        <f t="shared" si="102"/>
        <v>4.0077409711872921E-3</v>
      </c>
      <c r="O1122" s="5">
        <v>45689</v>
      </c>
      <c r="P1122">
        <f t="shared" si="103"/>
        <v>1.0005321110950931</v>
      </c>
      <c r="Q1122" s="6">
        <f t="shared" si="106"/>
        <v>1.0002300529121697</v>
      </c>
      <c r="R1122">
        <f t="shared" si="107"/>
        <v>3.0194312012898341E-4</v>
      </c>
      <c r="T1122" s="5">
        <v>45689</v>
      </c>
      <c r="U1122" s="1">
        <v>3.0194312012898341E-4</v>
      </c>
    </row>
    <row r="1123" spans="3:21" x14ac:dyDescent="0.2">
      <c r="C1123" s="5">
        <v>45690</v>
      </c>
      <c r="D1123" s="6">
        <v>0.99975999999999998</v>
      </c>
      <c r="E1123" s="6">
        <v>97645.7</v>
      </c>
      <c r="F1123" s="6">
        <v>97881.12</v>
      </c>
      <c r="G1123" s="6">
        <v>97634</v>
      </c>
      <c r="H1123" s="6">
        <v>97690.9</v>
      </c>
      <c r="I1123" s="5">
        <v>45690</v>
      </c>
      <c r="J1123" s="7">
        <f t="shared" si="104"/>
        <v>-4.6268383237330285E-4</v>
      </c>
      <c r="K1123" s="5">
        <v>45690</v>
      </c>
      <c r="L1123" s="8">
        <f t="shared" si="105"/>
        <v>2.5310854825162888E-3</v>
      </c>
      <c r="M1123" s="5">
        <v>45690</v>
      </c>
      <c r="N1123" s="9">
        <f t="shared" si="102"/>
        <v>2.068401650142986E-3</v>
      </c>
      <c r="O1123" s="5">
        <v>45690</v>
      </c>
      <c r="P1123">
        <f t="shared" si="103"/>
        <v>1.0005827887825962</v>
      </c>
      <c r="Q1123" s="6">
        <f t="shared" si="106"/>
        <v>1.0002400576138273</v>
      </c>
      <c r="R1123">
        <f t="shared" si="107"/>
        <v>3.4259022255610683E-4</v>
      </c>
      <c r="T1123" s="5">
        <v>45690</v>
      </c>
      <c r="U1123" s="1">
        <v>3.4259022255610683E-4</v>
      </c>
    </row>
    <row r="1124" spans="3:21" x14ac:dyDescent="0.2">
      <c r="C1124" s="5">
        <v>45691</v>
      </c>
      <c r="D1124" s="6">
        <v>1.00101</v>
      </c>
      <c r="E1124" s="6">
        <v>101294.8</v>
      </c>
      <c r="F1124" s="6">
        <v>101579.71</v>
      </c>
      <c r="G1124" s="6">
        <v>101375</v>
      </c>
      <c r="H1124" s="6">
        <v>101332.37</v>
      </c>
      <c r="I1124" s="5">
        <v>45691</v>
      </c>
      <c r="J1124" s="7">
        <f t="shared" si="104"/>
        <v>-3.7076010360748927E-4</v>
      </c>
      <c r="K1124" s="5">
        <v>45691</v>
      </c>
      <c r="L1124" s="8">
        <f t="shared" si="105"/>
        <v>2.0193341553638115E-3</v>
      </c>
      <c r="M1124" s="5">
        <v>45691</v>
      </c>
      <c r="N1124" s="9">
        <f t="shared" si="102"/>
        <v>1.6485740517563222E-3</v>
      </c>
      <c r="O1124" s="5">
        <v>45691</v>
      </c>
      <c r="P1124">
        <f t="shared" si="103"/>
        <v>0.99957948212083847</v>
      </c>
      <c r="Q1124" s="6">
        <f t="shared" si="106"/>
        <v>0.99899101907073862</v>
      </c>
      <c r="R1124">
        <f t="shared" si="107"/>
        <v>5.888839715735239E-4</v>
      </c>
      <c r="T1124" s="5">
        <v>45691</v>
      </c>
      <c r="U1124" s="1">
        <v>5.888839715735239E-4</v>
      </c>
    </row>
    <row r="1125" spans="3:21" x14ac:dyDescent="0.2">
      <c r="C1125" s="5">
        <v>45692</v>
      </c>
      <c r="D1125" s="6">
        <v>1.0001199999999999</v>
      </c>
      <c r="E1125" s="6">
        <v>97706</v>
      </c>
      <c r="F1125" s="6">
        <v>97983.79</v>
      </c>
      <c r="G1125" s="6">
        <v>97734.5</v>
      </c>
      <c r="H1125" s="6">
        <v>97769.73</v>
      </c>
      <c r="I1125" s="5">
        <v>45692</v>
      </c>
      <c r="J1125" s="7">
        <f t="shared" si="104"/>
        <v>-6.5183774159953119E-4</v>
      </c>
      <c r="K1125" s="5">
        <v>45692</v>
      </c>
      <c r="L1125" s="8">
        <f t="shared" si="105"/>
        <v>2.5506857864929333E-3</v>
      </c>
      <c r="M1125" s="5">
        <v>45692</v>
      </c>
      <c r="N1125" s="9">
        <f t="shared" si="102"/>
        <v>1.8988480448934022E-3</v>
      </c>
      <c r="O1125" s="5">
        <v>45692</v>
      </c>
      <c r="P1125">
        <f t="shared" si="103"/>
        <v>1.0003604663655106</v>
      </c>
      <c r="Q1125" s="6">
        <f t="shared" si="106"/>
        <v>0.99988001439827234</v>
      </c>
      <c r="R1125">
        <f t="shared" si="107"/>
        <v>4.8039421369444417E-4</v>
      </c>
      <c r="T1125" s="5">
        <v>45692</v>
      </c>
      <c r="U1125" s="1">
        <v>4.8039421369444417E-4</v>
      </c>
    </row>
    <row r="1126" spans="3:21" x14ac:dyDescent="0.2">
      <c r="C1126" s="5">
        <v>45693</v>
      </c>
      <c r="D1126" s="6">
        <v>1.0000599999999999</v>
      </c>
      <c r="E1126" s="6">
        <v>96568.5</v>
      </c>
      <c r="F1126" s="6">
        <v>96668.44</v>
      </c>
      <c r="G1126" s="6">
        <v>96571.5</v>
      </c>
      <c r="H1126" s="6">
        <v>96609.919999999998</v>
      </c>
      <c r="I1126" s="5">
        <v>45693</v>
      </c>
      <c r="J1126" s="7">
        <f t="shared" si="104"/>
        <v>-4.2873444052120378E-4</v>
      </c>
      <c r="K1126" s="5">
        <v>45693</v>
      </c>
      <c r="L1126" s="8">
        <f t="shared" si="105"/>
        <v>1.0038158255800348E-3</v>
      </c>
      <c r="M1126" s="5">
        <v>45693</v>
      </c>
      <c r="N1126" s="9">
        <f t="shared" si="102"/>
        <v>5.7508138505883103E-4</v>
      </c>
      <c r="O1126" s="5">
        <v>45693</v>
      </c>
      <c r="P1126">
        <f t="shared" si="103"/>
        <v>1.000397839942426</v>
      </c>
      <c r="Q1126" s="6">
        <f t="shared" si="106"/>
        <v>0.99994000359978408</v>
      </c>
      <c r="R1126">
        <f t="shared" si="107"/>
        <v>4.5775902517141695E-4</v>
      </c>
      <c r="T1126" s="5">
        <v>45693</v>
      </c>
      <c r="U1126" s="1">
        <v>4.5775902517141695E-4</v>
      </c>
    </row>
    <row r="1127" spans="3:21" x14ac:dyDescent="0.2">
      <c r="C1127" s="5">
        <v>45694</v>
      </c>
      <c r="D1127" s="6">
        <v>1.00004</v>
      </c>
      <c r="E1127" s="6">
        <v>96500</v>
      </c>
      <c r="F1127" s="6">
        <v>96641.68</v>
      </c>
      <c r="G1127" s="6">
        <v>96526</v>
      </c>
      <c r="H1127" s="6">
        <v>96551.47</v>
      </c>
      <c r="I1127" s="5">
        <v>45694</v>
      </c>
      <c r="J1127" s="7">
        <f t="shared" si="104"/>
        <v>-5.3308354600920275E-4</v>
      </c>
      <c r="K1127" s="5">
        <v>45694</v>
      </c>
      <c r="L1127" s="8">
        <f t="shared" si="105"/>
        <v>1.1984335826615939E-3</v>
      </c>
      <c r="M1127" s="5">
        <v>45694</v>
      </c>
      <c r="N1127" s="9">
        <f t="shared" si="102"/>
        <v>6.6535003665239118E-4</v>
      </c>
      <c r="O1127" s="5">
        <v>45694</v>
      </c>
      <c r="P1127">
        <f t="shared" si="103"/>
        <v>1.0002638667302075</v>
      </c>
      <c r="Q1127" s="6">
        <f t="shared" si="106"/>
        <v>0.99996000159993592</v>
      </c>
      <c r="R1127">
        <f t="shared" si="107"/>
        <v>3.0383112352590761E-4</v>
      </c>
      <c r="T1127" s="5">
        <v>45694</v>
      </c>
      <c r="U1127" s="1">
        <v>3.0383112352590761E-4</v>
      </c>
    </row>
    <row r="1128" spans="3:21" x14ac:dyDescent="0.2">
      <c r="C1128" s="5">
        <v>45695</v>
      </c>
      <c r="D1128" s="6">
        <v>1.0001100000000001</v>
      </c>
      <c r="E1128" s="6">
        <v>96440.6</v>
      </c>
      <c r="F1128" s="6">
        <v>96634.96</v>
      </c>
      <c r="G1128" s="6">
        <v>96466.5</v>
      </c>
      <c r="H1128" s="6">
        <v>96495.93</v>
      </c>
      <c r="I1128" s="5">
        <v>45695</v>
      </c>
      <c r="J1128" s="7">
        <f t="shared" si="104"/>
        <v>-5.7339205912609165E-4</v>
      </c>
      <c r="K1128" s="5">
        <v>45695</v>
      </c>
      <c r="L1128" s="8">
        <f t="shared" si="105"/>
        <v>1.7463057123458031E-3</v>
      </c>
      <c r="M1128" s="5">
        <v>45695</v>
      </c>
      <c r="N1128" s="9">
        <f t="shared" si="102"/>
        <v>1.1729136532197114E-3</v>
      </c>
      <c r="O1128" s="5">
        <v>45695</v>
      </c>
      <c r="P1128">
        <f t="shared" si="103"/>
        <v>1.0003050800018658</v>
      </c>
      <c r="Q1128" s="6">
        <f t="shared" si="106"/>
        <v>0.99989001209866912</v>
      </c>
      <c r="R1128">
        <f t="shared" si="107"/>
        <v>4.1502742486851233E-4</v>
      </c>
      <c r="T1128" s="5">
        <v>45695</v>
      </c>
      <c r="U1128" s="1">
        <v>4.1502742486851233E-4</v>
      </c>
    </row>
    <row r="1129" spans="3:21" x14ac:dyDescent="0.2">
      <c r="C1129" s="5">
        <v>45696</v>
      </c>
      <c r="D1129" s="6">
        <v>1.0000599999999999</v>
      </c>
      <c r="E1129" s="6">
        <v>96406.8</v>
      </c>
      <c r="F1129" s="6">
        <v>96654.16</v>
      </c>
      <c r="G1129" s="6">
        <v>96438.5</v>
      </c>
      <c r="H1129" s="6">
        <v>96452.01</v>
      </c>
      <c r="I1129" s="5">
        <v>45696</v>
      </c>
      <c r="J1129" s="7">
        <f t="shared" si="104"/>
        <v>-4.6873051168132063E-4</v>
      </c>
      <c r="K1129" s="5">
        <v>45696</v>
      </c>
      <c r="L1129" s="8">
        <f t="shared" si="105"/>
        <v>2.2362438237841058E-3</v>
      </c>
      <c r="M1129" s="5">
        <v>45696</v>
      </c>
      <c r="N1129" s="9">
        <f t="shared" si="102"/>
        <v>1.7675133121027851E-3</v>
      </c>
      <c r="O1129" s="5">
        <v>45696</v>
      </c>
      <c r="P1129">
        <f t="shared" si="103"/>
        <v>1.0001400892796963</v>
      </c>
      <c r="Q1129" s="6">
        <f t="shared" si="106"/>
        <v>0.99994000359978408</v>
      </c>
      <c r="R1129">
        <f t="shared" si="107"/>
        <v>2.0007766818152896E-4</v>
      </c>
      <c r="T1129" s="5">
        <v>45696</v>
      </c>
      <c r="U1129" s="1">
        <v>2.0007766818152896E-4</v>
      </c>
    </row>
    <row r="1130" spans="3:21" x14ac:dyDescent="0.2">
      <c r="C1130" s="5">
        <v>45697</v>
      </c>
      <c r="D1130" s="6">
        <v>1.0000599999999999</v>
      </c>
      <c r="E1130" s="6">
        <v>96428.6</v>
      </c>
      <c r="F1130" s="6">
        <v>96526.42</v>
      </c>
      <c r="G1130" s="6">
        <v>96453.5</v>
      </c>
      <c r="H1130" s="6">
        <v>96463.8</v>
      </c>
      <c r="I1130" s="5">
        <v>45697</v>
      </c>
      <c r="J1130" s="7">
        <f t="shared" si="104"/>
        <v>-3.649037255426086E-4</v>
      </c>
      <c r="K1130" s="5">
        <v>45697</v>
      </c>
      <c r="L1130" s="8">
        <f t="shared" si="105"/>
        <v>7.5601196431439245E-4</v>
      </c>
      <c r="M1130" s="5">
        <v>45697</v>
      </c>
      <c r="N1130" s="9">
        <f t="shared" si="102"/>
        <v>3.9110823877178385E-4</v>
      </c>
      <c r="O1130" s="5">
        <v>45697</v>
      </c>
      <c r="P1130">
        <f t="shared" si="103"/>
        <v>1.000106787208344</v>
      </c>
      <c r="Q1130" s="6">
        <f t="shared" si="106"/>
        <v>0.99994000359978408</v>
      </c>
      <c r="R1130">
        <f t="shared" si="107"/>
        <v>1.6677970706792402E-4</v>
      </c>
      <c r="T1130" s="5">
        <v>45697</v>
      </c>
      <c r="U1130" s="1">
        <v>1.6677970706792402E-4</v>
      </c>
    </row>
    <row r="1131" spans="3:21" x14ac:dyDescent="0.2">
      <c r="C1131" s="5">
        <v>45698</v>
      </c>
      <c r="D1131" s="6">
        <v>1.0002200000000001</v>
      </c>
      <c r="E1131" s="6">
        <v>97384.2</v>
      </c>
      <c r="F1131" s="6">
        <v>97468.479999999996</v>
      </c>
      <c r="G1131" s="6">
        <v>97418</v>
      </c>
      <c r="H1131" s="6">
        <v>97435.56</v>
      </c>
      <c r="I1131" s="5">
        <v>45698</v>
      </c>
      <c r="J1131" s="7">
        <f t="shared" si="104"/>
        <v>-5.2711761496521993E-4</v>
      </c>
      <c r="K1131" s="5">
        <v>45698</v>
      </c>
      <c r="L1131" s="8">
        <f t="shared" si="105"/>
        <v>5.181793918987859E-4</v>
      </c>
      <c r="M1131" s="5">
        <v>45698</v>
      </c>
      <c r="N1131" s="9">
        <f t="shared" si="102"/>
        <v>-8.9382230664340322E-6</v>
      </c>
      <c r="O1131" s="5">
        <v>45698</v>
      </c>
      <c r="P1131">
        <f t="shared" si="103"/>
        <v>1.0001802541624751</v>
      </c>
      <c r="Q1131" s="6">
        <f t="shared" si="106"/>
        <v>0.99978004838935419</v>
      </c>
      <c r="R1131">
        <f t="shared" si="107"/>
        <v>4.0021372219456962E-4</v>
      </c>
      <c r="T1131" s="5">
        <v>45698</v>
      </c>
      <c r="U1131" s="1">
        <v>4.0021372219456962E-4</v>
      </c>
    </row>
    <row r="1132" spans="3:21" x14ac:dyDescent="0.2">
      <c r="C1132" s="5">
        <v>45699</v>
      </c>
      <c r="D1132" s="6">
        <v>0.99987999999999999</v>
      </c>
      <c r="E1132" s="6">
        <v>95748.6</v>
      </c>
      <c r="F1132" s="6">
        <v>95800.66</v>
      </c>
      <c r="G1132" s="6">
        <v>95734</v>
      </c>
      <c r="H1132" s="6">
        <v>95786.53</v>
      </c>
      <c r="I1132" s="5">
        <v>45699</v>
      </c>
      <c r="J1132" s="7">
        <f t="shared" si="104"/>
        <v>-3.9598469638677815E-4</v>
      </c>
      <c r="K1132" s="5">
        <v>45699</v>
      </c>
      <c r="L1132" s="8">
        <f t="shared" si="105"/>
        <v>6.9630434328455401E-4</v>
      </c>
      <c r="M1132" s="5">
        <v>45699</v>
      </c>
      <c r="N1132" s="9">
        <f t="shared" si="102"/>
        <v>3.0031964689777586E-4</v>
      </c>
      <c r="O1132" s="5">
        <v>45699</v>
      </c>
      <c r="P1132">
        <f t="shared" si="103"/>
        <v>1.0005487078780788</v>
      </c>
      <c r="Q1132" s="6">
        <f t="shared" si="106"/>
        <v>1.0001200144017282</v>
      </c>
      <c r="R1132">
        <f t="shared" si="107"/>
        <v>4.2855019238073589E-4</v>
      </c>
      <c r="T1132" s="5">
        <v>45699</v>
      </c>
      <c r="U1132" s="1">
        <v>4.2855019238073589E-4</v>
      </c>
    </row>
    <row r="1133" spans="3:21" x14ac:dyDescent="0.2">
      <c r="C1133" s="5">
        <v>45700</v>
      </c>
      <c r="D1133" s="6">
        <v>1.00003</v>
      </c>
      <c r="E1133" s="6">
        <v>97828.1</v>
      </c>
      <c r="F1133" s="6">
        <v>97881.12</v>
      </c>
      <c r="G1133" s="6">
        <v>97836.5</v>
      </c>
      <c r="H1133" s="6">
        <v>97867.85</v>
      </c>
      <c r="I1133" s="5">
        <v>45700</v>
      </c>
      <c r="J1133" s="7">
        <f t="shared" si="104"/>
        <v>-4.0615993914242519E-4</v>
      </c>
      <c r="K1133" s="5">
        <v>45700</v>
      </c>
      <c r="L1133" s="8">
        <f t="shared" si="105"/>
        <v>4.5606700975602503E-4</v>
      </c>
      <c r="M1133" s="5">
        <v>45700</v>
      </c>
      <c r="N1133" s="9">
        <f t="shared" si="102"/>
        <v>4.9907070613599842E-5</v>
      </c>
      <c r="O1133" s="5">
        <v>45700</v>
      </c>
      <c r="P1133">
        <f t="shared" si="103"/>
        <v>1.0003204325584012</v>
      </c>
      <c r="Q1133" s="6">
        <f t="shared" si="106"/>
        <v>0.99997000089997301</v>
      </c>
      <c r="R1133">
        <f t="shared" si="107"/>
        <v>3.503807808624208E-4</v>
      </c>
      <c r="T1133" s="5">
        <v>45700</v>
      </c>
      <c r="U1133" s="1">
        <v>3.503807808624208E-4</v>
      </c>
    </row>
    <row r="1134" spans="3:21" x14ac:dyDescent="0.2">
      <c r="C1134" s="5">
        <v>45701</v>
      </c>
      <c r="D1134" s="6">
        <v>1.00004</v>
      </c>
      <c r="E1134" s="6">
        <v>96570.7</v>
      </c>
      <c r="F1134" s="6">
        <v>96661.64</v>
      </c>
      <c r="G1134" s="6">
        <v>96584</v>
      </c>
      <c r="H1134" s="6">
        <v>96608.68</v>
      </c>
      <c r="I1134" s="5">
        <v>45701</v>
      </c>
      <c r="J1134" s="7">
        <f t="shared" si="104"/>
        <v>-3.9313237692509544E-4</v>
      </c>
      <c r="K1134" s="5">
        <v>45701</v>
      </c>
      <c r="L1134" s="8">
        <f t="shared" si="105"/>
        <v>8.0385985256356562E-4</v>
      </c>
      <c r="M1134" s="5">
        <v>45701</v>
      </c>
      <c r="N1134" s="9">
        <f t="shared" si="102"/>
        <v>4.1072747563847018E-4</v>
      </c>
      <c r="O1134" s="5">
        <v>45701</v>
      </c>
      <c r="P1134">
        <f t="shared" si="103"/>
        <v>1.0002555288660646</v>
      </c>
      <c r="Q1134" s="6">
        <f t="shared" si="106"/>
        <v>0.99996000159993592</v>
      </c>
      <c r="R1134">
        <f t="shared" si="107"/>
        <v>2.9549542414575736E-4</v>
      </c>
      <c r="T1134" s="5">
        <v>45701</v>
      </c>
      <c r="U1134" s="1">
        <v>2.9549542414575736E-4</v>
      </c>
    </row>
    <row r="1135" spans="3:21" x14ac:dyDescent="0.2">
      <c r="C1135" s="5">
        <v>45702</v>
      </c>
      <c r="D1135" s="6">
        <v>1.0001199999999999</v>
      </c>
      <c r="E1135" s="6">
        <v>97450.1</v>
      </c>
      <c r="F1135" s="6">
        <v>97566.57</v>
      </c>
      <c r="G1135" s="6">
        <v>97468.5</v>
      </c>
      <c r="H1135" s="6">
        <v>97504.86</v>
      </c>
      <c r="I1135" s="5">
        <v>45702</v>
      </c>
      <c r="J1135" s="7">
        <f t="shared" si="104"/>
        <v>-5.6161303139140714E-4</v>
      </c>
      <c r="K1135" s="5">
        <v>45702</v>
      </c>
      <c r="L1135" s="8">
        <f t="shared" si="105"/>
        <v>1.0061712245495414E-3</v>
      </c>
      <c r="M1135" s="5">
        <v>45702</v>
      </c>
      <c r="N1135" s="9">
        <f t="shared" si="102"/>
        <v>4.445581931581343E-4</v>
      </c>
      <c r="O1135" s="5">
        <v>45702</v>
      </c>
      <c r="P1135">
        <f t="shared" si="103"/>
        <v>1.0003730435987011</v>
      </c>
      <c r="Q1135" s="6">
        <f t="shared" si="106"/>
        <v>0.99988001439827234</v>
      </c>
      <c r="R1135">
        <f t="shared" si="107"/>
        <v>4.9296683581312927E-4</v>
      </c>
      <c r="T1135" s="5">
        <v>45702</v>
      </c>
      <c r="U1135" s="1">
        <v>4.9296683581312927E-4</v>
      </c>
    </row>
    <row r="1136" spans="3:21" x14ac:dyDescent="0.2">
      <c r="C1136" s="5">
        <v>45703</v>
      </c>
      <c r="D1136" s="6">
        <v>1.00017</v>
      </c>
      <c r="E1136" s="6">
        <v>97533.9</v>
      </c>
      <c r="F1136" s="6">
        <v>97705.47</v>
      </c>
      <c r="G1136" s="6">
        <v>97554.5</v>
      </c>
      <c r="H1136" s="6">
        <v>97578.44</v>
      </c>
      <c r="I1136" s="5">
        <v>45703</v>
      </c>
      <c r="J1136" s="7">
        <f t="shared" si="104"/>
        <v>-4.5645329029658755E-4</v>
      </c>
      <c r="K1136" s="5">
        <v>45703</v>
      </c>
      <c r="L1136" s="8">
        <f t="shared" si="105"/>
        <v>1.5475452183138776E-3</v>
      </c>
      <c r="M1136" s="5">
        <v>45703</v>
      </c>
      <c r="N1136" s="9">
        <f t="shared" si="102"/>
        <v>1.0910919280172899E-3</v>
      </c>
      <c r="O1136" s="5">
        <v>45703</v>
      </c>
      <c r="P1136">
        <f t="shared" si="103"/>
        <v>1.0002454012885105</v>
      </c>
      <c r="Q1136" s="6">
        <f t="shared" si="106"/>
        <v>0.99983002889508787</v>
      </c>
      <c r="R1136">
        <f t="shared" si="107"/>
        <v>4.1535673417704845E-4</v>
      </c>
      <c r="T1136" s="5">
        <v>45703</v>
      </c>
      <c r="U1136" s="1">
        <v>4.1535673417704845E-4</v>
      </c>
    </row>
    <row r="1137" spans="3:21" x14ac:dyDescent="0.2">
      <c r="C1137" s="5">
        <v>45704</v>
      </c>
      <c r="D1137" s="6">
        <v>1.0000899999999999</v>
      </c>
      <c r="E1137" s="6">
        <v>96060.1</v>
      </c>
      <c r="F1137" s="6">
        <v>96225.36</v>
      </c>
      <c r="G1137" s="6">
        <v>96079</v>
      </c>
      <c r="H1137" s="6">
        <v>96102.77</v>
      </c>
      <c r="I1137" s="5">
        <v>45704</v>
      </c>
      <c r="J1137" s="7">
        <f t="shared" si="104"/>
        <v>-4.4400385129375825E-4</v>
      </c>
      <c r="K1137" s="5">
        <v>45704</v>
      </c>
      <c r="L1137" s="8">
        <f t="shared" si="105"/>
        <v>1.5233297598851007E-3</v>
      </c>
      <c r="M1137" s="5">
        <v>45704</v>
      </c>
      <c r="N1137" s="9">
        <f t="shared" si="102"/>
        <v>1.0793259085913425E-3</v>
      </c>
      <c r="O1137" s="5">
        <v>45704</v>
      </c>
      <c r="P1137">
        <f t="shared" si="103"/>
        <v>1.0002474005766089</v>
      </c>
      <c r="Q1137" s="6">
        <f t="shared" si="106"/>
        <v>0.99991000809927111</v>
      </c>
      <c r="R1137">
        <f t="shared" si="107"/>
        <v>3.3736592837574711E-4</v>
      </c>
      <c r="T1137" s="5">
        <v>45704</v>
      </c>
      <c r="U1137" s="1">
        <v>3.3736592837574711E-4</v>
      </c>
    </row>
    <row r="1138" spans="3:21" x14ac:dyDescent="0.2">
      <c r="C1138" s="5">
        <v>45705</v>
      </c>
      <c r="D1138" s="6">
        <v>0.99988999999999995</v>
      </c>
      <c r="E1138" s="6">
        <v>95735</v>
      </c>
      <c r="F1138" s="6">
        <v>95765.87</v>
      </c>
      <c r="G1138" s="6">
        <v>95758</v>
      </c>
      <c r="H1138" s="6">
        <v>95784.63</v>
      </c>
      <c r="I1138" s="5">
        <v>45705</v>
      </c>
      <c r="J1138" s="7">
        <f t="shared" si="104"/>
        <v>-5.1814158492865354E-4</v>
      </c>
      <c r="K1138" s="5">
        <v>45705</v>
      </c>
      <c r="L1138" s="8">
        <f t="shared" si="105"/>
        <v>8.2186344743993649E-5</v>
      </c>
      <c r="M1138" s="5">
        <v>45705</v>
      </c>
      <c r="N1138" s="9">
        <f t="shared" si="102"/>
        <v>-4.3595524018465989E-4</v>
      </c>
      <c r="O1138" s="5">
        <v>45705</v>
      </c>
      <c r="P1138">
        <f t="shared" si="103"/>
        <v>1.0002780968691911</v>
      </c>
      <c r="Q1138" s="6">
        <f t="shared" si="106"/>
        <v>1.0001100121013311</v>
      </c>
      <c r="R1138">
        <f t="shared" si="107"/>
        <v>1.6805215698072028E-4</v>
      </c>
      <c r="T1138" s="5">
        <v>45705</v>
      </c>
      <c r="U1138" s="1">
        <v>1.6805215698072028E-4</v>
      </c>
    </row>
    <row r="1139" spans="3:21" x14ac:dyDescent="0.2">
      <c r="C1139" s="5">
        <v>45706</v>
      </c>
      <c r="D1139" s="6">
        <v>0.99941000000000002</v>
      </c>
      <c r="E1139" s="6">
        <v>95618.8</v>
      </c>
      <c r="F1139" s="6">
        <v>95634.880000000005</v>
      </c>
      <c r="G1139" s="6">
        <v>95577.5</v>
      </c>
      <c r="H1139" s="6">
        <v>95664.63</v>
      </c>
      <c r="I1139" s="5">
        <v>45706</v>
      </c>
      <c r="J1139" s="7">
        <f t="shared" si="104"/>
        <v>-4.7906943245378929E-4</v>
      </c>
      <c r="K1139" s="5">
        <v>45706</v>
      </c>
      <c r="L1139" s="8">
        <f t="shared" si="105"/>
        <v>6.0035050090245779E-4</v>
      </c>
      <c r="M1139" s="5">
        <v>45706</v>
      </c>
      <c r="N1139" s="9">
        <f t="shared" si="102"/>
        <v>1.2128106844866849E-4</v>
      </c>
      <c r="O1139" s="5">
        <v>45706</v>
      </c>
      <c r="P1139">
        <f t="shared" si="103"/>
        <v>1.0009116162276688</v>
      </c>
      <c r="Q1139" s="6">
        <f t="shared" si="106"/>
        <v>1.0005903483055003</v>
      </c>
      <c r="R1139">
        <f t="shared" si="107"/>
        <v>3.2102683946399417E-4</v>
      </c>
      <c r="T1139" s="5">
        <v>45706</v>
      </c>
      <c r="U1139" s="1">
        <v>3.2102683946399417E-4</v>
      </c>
    </row>
    <row r="1140" spans="3:21" x14ac:dyDescent="0.2">
      <c r="C1140" s="5">
        <v>45707</v>
      </c>
      <c r="D1140" s="6">
        <v>0.99983999999999995</v>
      </c>
      <c r="E1140" s="6">
        <v>96616.4</v>
      </c>
      <c r="F1140" s="6">
        <v>96386.97</v>
      </c>
      <c r="G1140" s="6">
        <v>96610</v>
      </c>
      <c r="H1140" s="6">
        <v>96648.23</v>
      </c>
      <c r="I1140" s="5">
        <v>45707</v>
      </c>
      <c r="J1140" s="7">
        <f t="shared" si="104"/>
        <v>-3.29338674903842E-4</v>
      </c>
      <c r="K1140" s="5">
        <v>45707</v>
      </c>
      <c r="L1140" s="8">
        <f t="shared" si="105"/>
        <v>-2.3085601904564625E-3</v>
      </c>
      <c r="M1140" s="5">
        <v>45707</v>
      </c>
      <c r="N1140" s="9">
        <f t="shared" si="102"/>
        <v>-2.6378988653603047E-3</v>
      </c>
      <c r="O1140" s="5">
        <v>45707</v>
      </c>
      <c r="P1140">
        <f t="shared" si="103"/>
        <v>1.0003957147293239</v>
      </c>
      <c r="Q1140" s="6">
        <f t="shared" si="106"/>
        <v>1.0001600256040968</v>
      </c>
      <c r="R1140">
        <f t="shared" si="107"/>
        <v>2.3562365353363784E-4</v>
      </c>
      <c r="T1140" s="5">
        <v>45707</v>
      </c>
      <c r="U1140" s="1">
        <v>2.3562365353363784E-4</v>
      </c>
    </row>
    <row r="1141" spans="3:21" x14ac:dyDescent="0.2">
      <c r="C1141" s="5">
        <v>45708</v>
      </c>
      <c r="D1141" s="6">
        <v>1.00014</v>
      </c>
      <c r="E1141" s="6">
        <v>98246.7</v>
      </c>
      <c r="F1141" s="6">
        <v>98251.05</v>
      </c>
      <c r="G1141" s="6">
        <v>98300</v>
      </c>
      <c r="H1141" s="6">
        <v>98305.43</v>
      </c>
      <c r="I1141" s="5">
        <v>45708</v>
      </c>
      <c r="J1141" s="7">
        <f t="shared" si="104"/>
        <v>-5.9742376387546378E-4</v>
      </c>
      <c r="K1141" s="5">
        <v>45708</v>
      </c>
      <c r="L1141" s="8">
        <f t="shared" si="105"/>
        <v>-4.9796541200403956E-4</v>
      </c>
      <c r="M1141" s="5">
        <v>45708</v>
      </c>
      <c r="N1141" s="9">
        <f t="shared" si="102"/>
        <v>-1.0953891758795032E-3</v>
      </c>
      <c r="O1141" s="5">
        <v>45708</v>
      </c>
      <c r="P1141">
        <f t="shared" si="103"/>
        <v>1.0000552390640893</v>
      </c>
      <c r="Q1141" s="6">
        <f t="shared" si="106"/>
        <v>0.99986001959725634</v>
      </c>
      <c r="R1141">
        <f t="shared" si="107"/>
        <v>1.9522773938301469E-4</v>
      </c>
      <c r="T1141" s="5">
        <v>45708</v>
      </c>
      <c r="U1141" s="1">
        <v>1.9522773938301469E-4</v>
      </c>
    </row>
    <row r="1142" spans="3:21" x14ac:dyDescent="0.2">
      <c r="C1142" s="5">
        <v>45709</v>
      </c>
      <c r="D1142" s="6">
        <v>0.99941999999999998</v>
      </c>
      <c r="E1142" s="6">
        <v>96198.399999999994</v>
      </c>
      <c r="F1142" s="6">
        <v>96184.73</v>
      </c>
      <c r="G1142" s="6">
        <v>96222.5</v>
      </c>
      <c r="H1142" s="6">
        <v>96011.34</v>
      </c>
      <c r="I1142" s="5">
        <v>45709</v>
      </c>
      <c r="J1142" s="7">
        <f t="shared" si="104"/>
        <v>1.9483115223680627E-3</v>
      </c>
      <c r="K1142" s="5">
        <v>45709</v>
      </c>
      <c r="L1142" s="8">
        <f t="shared" si="105"/>
        <v>-3.9252773519711162E-4</v>
      </c>
      <c r="M1142" s="5">
        <v>45709</v>
      </c>
      <c r="N1142" s="9">
        <f t="shared" si="102"/>
        <v>1.5557837871709511E-3</v>
      </c>
      <c r="O1142" s="5">
        <v>45709</v>
      </c>
      <c r="P1142">
        <f t="shared" si="103"/>
        <v>0.99780550287095016</v>
      </c>
      <c r="Q1142" s="6">
        <f t="shared" si="106"/>
        <v>1.0005803365952253</v>
      </c>
      <c r="R1142">
        <f t="shared" si="107"/>
        <v>-2.777076831514444E-3</v>
      </c>
      <c r="T1142" s="5">
        <v>45709</v>
      </c>
      <c r="U1142" s="1">
        <v>-2.777076831514444E-3</v>
      </c>
    </row>
    <row r="1143" spans="3:21" x14ac:dyDescent="0.2">
      <c r="C1143" s="5">
        <v>45710</v>
      </c>
      <c r="D1143" s="6">
        <v>1.0000800000000001</v>
      </c>
      <c r="E1143" s="6">
        <v>96554.4</v>
      </c>
      <c r="F1143" s="6">
        <v>96478.43</v>
      </c>
      <c r="G1143" s="6">
        <v>96580.5</v>
      </c>
      <c r="H1143" s="6">
        <v>96524.54</v>
      </c>
      <c r="I1143" s="5">
        <v>45710</v>
      </c>
      <c r="J1143" s="7">
        <f t="shared" si="104"/>
        <v>3.093513835963433E-4</v>
      </c>
      <c r="K1143" s="5">
        <v>45710</v>
      </c>
      <c r="L1143" s="8">
        <f t="shared" si="105"/>
        <v>-1.0568385957828649E-3</v>
      </c>
      <c r="M1143" s="5">
        <v>45710</v>
      </c>
      <c r="N1143" s="9">
        <f t="shared" si="102"/>
        <v>-7.4748721218652163E-4</v>
      </c>
      <c r="O1143" s="5">
        <v>45710</v>
      </c>
      <c r="P1143">
        <f t="shared" si="103"/>
        <v>0.99942058697149005</v>
      </c>
      <c r="Q1143" s="6">
        <f t="shared" si="106"/>
        <v>0.99992000639948797</v>
      </c>
      <c r="R1143">
        <f t="shared" si="107"/>
        <v>-4.9958415293629077E-4</v>
      </c>
      <c r="T1143" s="5">
        <v>45710</v>
      </c>
      <c r="U1143" s="1">
        <v>-4.9958415293629077E-4</v>
      </c>
    </row>
    <row r="1144" spans="3:21" x14ac:dyDescent="0.2">
      <c r="C1144" s="5">
        <v>45711</v>
      </c>
      <c r="D1144" s="6">
        <v>0.99995000000000001</v>
      </c>
      <c r="E1144" s="6">
        <v>96262.6</v>
      </c>
      <c r="F1144" s="6">
        <v>96090.82</v>
      </c>
      <c r="G1144" s="6">
        <v>96319.5</v>
      </c>
      <c r="H1144" s="6">
        <v>96260.91</v>
      </c>
      <c r="I1144" s="5">
        <v>45711</v>
      </c>
      <c r="J1144" s="7">
        <f t="shared" si="104"/>
        <v>1.7556451523285289E-5</v>
      </c>
      <c r="K1144" s="5">
        <v>45711</v>
      </c>
      <c r="L1144" s="8">
        <f t="shared" si="105"/>
        <v>-2.3741817596643774E-3</v>
      </c>
      <c r="M1144" s="5">
        <v>45711</v>
      </c>
      <c r="N1144" s="9">
        <f t="shared" si="102"/>
        <v>-2.3566253081410923E-3</v>
      </c>
      <c r="O1144" s="5">
        <v>45711</v>
      </c>
      <c r="P1144">
        <f t="shared" si="103"/>
        <v>0.99939171195863763</v>
      </c>
      <c r="Q1144" s="6">
        <f t="shared" si="106"/>
        <v>1.0000500025001251</v>
      </c>
      <c r="R1144">
        <f t="shared" si="107"/>
        <v>-6.5847437363408053E-4</v>
      </c>
      <c r="T1144" s="5">
        <v>45711</v>
      </c>
      <c r="U1144" s="1">
        <v>-6.5847437363408053E-4</v>
      </c>
    </row>
    <row r="1145" spans="3:21" x14ac:dyDescent="0.2">
      <c r="C1145" s="5">
        <v>45712</v>
      </c>
      <c r="D1145" s="6">
        <v>0.99978999999999996</v>
      </c>
      <c r="E1145" s="6">
        <v>91478.2</v>
      </c>
      <c r="F1145" s="6">
        <v>91622.09</v>
      </c>
      <c r="G1145" s="6">
        <v>91547.5</v>
      </c>
      <c r="H1145" s="6">
        <v>91514.37</v>
      </c>
      <c r="I1145" s="5">
        <v>45712</v>
      </c>
      <c r="J1145" s="7">
        <f t="shared" si="104"/>
        <v>-3.9523847456960319E-4</v>
      </c>
      <c r="K1145" s="5">
        <v>45712</v>
      </c>
      <c r="L1145" s="8">
        <f t="shared" si="105"/>
        <v>8.1476828968564418E-4</v>
      </c>
      <c r="M1145" s="5">
        <v>45712</v>
      </c>
      <c r="N1145" s="9">
        <f t="shared" si="102"/>
        <v>4.1952981511604099E-4</v>
      </c>
      <c r="O1145" s="5">
        <v>45712</v>
      </c>
      <c r="P1145">
        <f t="shared" si="103"/>
        <v>0.99963811136295366</v>
      </c>
      <c r="Q1145" s="6">
        <f t="shared" si="106"/>
        <v>1.000210044109263</v>
      </c>
      <c r="R1145">
        <f t="shared" si="107"/>
        <v>-5.7197618762902123E-4</v>
      </c>
      <c r="T1145" s="5">
        <v>45712</v>
      </c>
      <c r="U1145" s="1">
        <v>-5.7197618762902123E-4</v>
      </c>
    </row>
    <row r="1146" spans="3:21" x14ac:dyDescent="0.2">
      <c r="C1146" s="5">
        <v>45713</v>
      </c>
      <c r="D1146" s="6">
        <v>0.99873000000000001</v>
      </c>
      <c r="E1146" s="6">
        <v>88665.3</v>
      </c>
      <c r="F1146" s="6">
        <v>88657.35</v>
      </c>
      <c r="G1146" s="6">
        <v>88625</v>
      </c>
      <c r="H1146" s="6">
        <v>88690.19</v>
      </c>
      <c r="I1146" s="5">
        <v>45713</v>
      </c>
      <c r="J1146" s="7">
        <f t="shared" si="104"/>
        <v>-2.8063983175590689E-4</v>
      </c>
      <c r="K1146" s="5">
        <v>45713</v>
      </c>
      <c r="L1146" s="8">
        <f t="shared" si="105"/>
        <v>3.6502115655859881E-4</v>
      </c>
      <c r="M1146" s="5">
        <v>45713</v>
      </c>
      <c r="N1146" s="9">
        <f t="shared" si="102"/>
        <v>8.4381324802691921E-5</v>
      </c>
      <c r="O1146" s="5">
        <v>45713</v>
      </c>
      <c r="P1146">
        <f t="shared" si="103"/>
        <v>1.0007355712270805</v>
      </c>
      <c r="Q1146" s="6">
        <f t="shared" si="106"/>
        <v>1.0012716149509877</v>
      </c>
      <c r="R1146">
        <f t="shared" si="107"/>
        <v>-5.3550630628906718E-4</v>
      </c>
      <c r="T1146" s="5">
        <v>45713</v>
      </c>
      <c r="U1146" s="1">
        <v>-5.3550630628906718E-4</v>
      </c>
    </row>
    <row r="1147" spans="3:21" x14ac:dyDescent="0.2">
      <c r="C1147" s="5">
        <v>45714</v>
      </c>
      <c r="D1147" s="6">
        <v>0.99855000000000005</v>
      </c>
      <c r="E1147" s="6">
        <v>84208.6</v>
      </c>
      <c r="F1147" s="6">
        <v>84129.14</v>
      </c>
      <c r="G1147" s="6">
        <v>84151</v>
      </c>
      <c r="H1147" s="6">
        <v>84203.16</v>
      </c>
      <c r="I1147" s="5">
        <v>45714</v>
      </c>
      <c r="J1147" s="7">
        <f t="shared" si="104"/>
        <v>6.4605651379382055E-5</v>
      </c>
      <c r="K1147" s="5">
        <v>45714</v>
      </c>
      <c r="L1147" s="8">
        <f t="shared" si="105"/>
        <v>-2.5977112571449633E-4</v>
      </c>
      <c r="M1147" s="5">
        <v>45714</v>
      </c>
      <c r="N1147" s="9">
        <f t="shared" si="102"/>
        <v>-1.9516547433511428E-4</v>
      </c>
      <c r="O1147" s="5">
        <v>45714</v>
      </c>
      <c r="P1147">
        <f t="shared" si="103"/>
        <v>1.0006198381480909</v>
      </c>
      <c r="Q1147" s="6">
        <f t="shared" si="106"/>
        <v>1.0014521055530519</v>
      </c>
      <c r="R1147">
        <f t="shared" si="107"/>
        <v>-8.3140613954516506E-4</v>
      </c>
      <c r="T1147" s="5">
        <v>45714</v>
      </c>
      <c r="U1147" s="1">
        <v>-8.3140613954516506E-4</v>
      </c>
    </row>
    <row r="1148" spans="3:21" x14ac:dyDescent="0.2">
      <c r="C1148" s="5">
        <v>45715</v>
      </c>
      <c r="D1148" s="6">
        <v>0.99897000000000002</v>
      </c>
      <c r="E1148" s="6">
        <v>84686</v>
      </c>
      <c r="F1148" s="6">
        <v>84656.44</v>
      </c>
      <c r="G1148" s="6">
        <v>84668</v>
      </c>
      <c r="H1148" s="6">
        <v>84711.75</v>
      </c>
      <c r="I1148" s="5">
        <v>45715</v>
      </c>
      <c r="J1148" s="7">
        <f t="shared" si="104"/>
        <v>-3.0397199916186359E-4</v>
      </c>
      <c r="K1148" s="5">
        <v>45715</v>
      </c>
      <c r="L1148" s="8">
        <f t="shared" si="105"/>
        <v>-1.3653328294039864E-4</v>
      </c>
      <c r="M1148" s="5">
        <v>45715</v>
      </c>
      <c r="N1148" s="9">
        <f t="shared" si="102"/>
        <v>-4.4050528210226223E-4</v>
      </c>
      <c r="O1148" s="5">
        <v>45715</v>
      </c>
      <c r="P1148">
        <f t="shared" si="103"/>
        <v>1.0005167241460764</v>
      </c>
      <c r="Q1148" s="6">
        <f t="shared" si="106"/>
        <v>1.0010310619938536</v>
      </c>
      <c r="R1148">
        <f t="shared" si="107"/>
        <v>-5.1394012439771116E-4</v>
      </c>
      <c r="T1148" s="5">
        <v>45715</v>
      </c>
      <c r="U1148" s="1">
        <v>-5.1394012439771116E-4</v>
      </c>
    </row>
    <row r="1149" spans="3:21" x14ac:dyDescent="0.2">
      <c r="C1149" s="5">
        <v>45716</v>
      </c>
      <c r="D1149" s="6">
        <v>0.99951999999999996</v>
      </c>
      <c r="E1149" s="6">
        <v>84307.6</v>
      </c>
      <c r="F1149" s="6">
        <v>84362.58</v>
      </c>
      <c r="G1149" s="6">
        <v>84270</v>
      </c>
      <c r="H1149" s="6">
        <v>84348.33</v>
      </c>
      <c r="I1149" s="5">
        <v>45716</v>
      </c>
      <c r="J1149" s="7">
        <f t="shared" si="104"/>
        <v>-4.8287855847289359E-4</v>
      </c>
      <c r="K1149" s="5">
        <v>45716</v>
      </c>
      <c r="L1149" s="8">
        <f t="shared" si="105"/>
        <v>1.0986116055535986E-3</v>
      </c>
      <c r="M1149" s="5">
        <v>45716</v>
      </c>
      <c r="N1149" s="9">
        <f t="shared" si="102"/>
        <v>6.1573304708070504E-4</v>
      </c>
      <c r="O1149" s="5">
        <v>45716</v>
      </c>
      <c r="P1149">
        <f t="shared" si="103"/>
        <v>1.0009295122819508</v>
      </c>
      <c r="Q1149" s="6">
        <f t="shared" si="106"/>
        <v>1.0004802305106451</v>
      </c>
      <c r="R1149">
        <f t="shared" si="107"/>
        <v>4.4896531604326405E-4</v>
      </c>
      <c r="T1149" s="5">
        <v>45716</v>
      </c>
      <c r="U1149" s="1">
        <v>4.4896531604326405E-4</v>
      </c>
    </row>
    <row r="1150" spans="3:21" x14ac:dyDescent="0.2">
      <c r="C1150" s="5">
        <v>45717</v>
      </c>
      <c r="D1150" s="6">
        <v>0.99958000000000002</v>
      </c>
      <c r="E1150" s="6">
        <v>86024.4</v>
      </c>
      <c r="F1150" s="6">
        <v>86182.63</v>
      </c>
      <c r="G1150" s="6">
        <v>85979</v>
      </c>
      <c r="H1150" s="6">
        <v>86061.73</v>
      </c>
      <c r="I1150" s="5">
        <v>45717</v>
      </c>
      <c r="J1150" s="7">
        <f t="shared" si="104"/>
        <v>-4.3375841968319425E-4</v>
      </c>
      <c r="K1150" s="5">
        <v>45717</v>
      </c>
      <c r="L1150" s="8">
        <f t="shared" si="105"/>
        <v>2.3683690203422309E-3</v>
      </c>
      <c r="M1150" s="5">
        <v>45717</v>
      </c>
      <c r="N1150" s="9">
        <f t="shared" si="102"/>
        <v>1.9346106006590366E-3</v>
      </c>
      <c r="O1150" s="5">
        <v>45717</v>
      </c>
      <c r="P1150">
        <f t="shared" si="103"/>
        <v>1.0009622117028576</v>
      </c>
      <c r="Q1150" s="6">
        <f t="shared" si="106"/>
        <v>1.0004201764741192</v>
      </c>
      <c r="R1150">
        <f t="shared" si="107"/>
        <v>5.416608492140177E-4</v>
      </c>
      <c r="T1150" s="5">
        <v>45717</v>
      </c>
      <c r="U1150" s="1">
        <v>5.416608492140177E-4</v>
      </c>
    </row>
    <row r="1151" spans="3:21" x14ac:dyDescent="0.2">
      <c r="C1151" s="5">
        <v>45718</v>
      </c>
      <c r="D1151" s="6">
        <v>1.0000100000000001</v>
      </c>
      <c r="E1151" s="6">
        <v>94259.7</v>
      </c>
      <c r="F1151" s="6">
        <v>94322.08</v>
      </c>
      <c r="G1151" s="6">
        <v>94236.5</v>
      </c>
      <c r="H1151" s="6">
        <v>94287.51</v>
      </c>
      <c r="I1151" s="5">
        <v>45718</v>
      </c>
      <c r="J1151" s="7">
        <f t="shared" si="104"/>
        <v>-2.9494892801811896E-4</v>
      </c>
      <c r="K1151" s="5">
        <v>45718</v>
      </c>
      <c r="L1151" s="8">
        <f t="shared" si="105"/>
        <v>9.0814068858671259E-4</v>
      </c>
      <c r="M1151" s="5">
        <v>45718</v>
      </c>
      <c r="N1151" s="9">
        <f t="shared" si="102"/>
        <v>6.1319176056859369E-4</v>
      </c>
      <c r="O1151" s="5">
        <v>45718</v>
      </c>
      <c r="P1151">
        <f t="shared" si="103"/>
        <v>1.0005412976925077</v>
      </c>
      <c r="Q1151" s="6">
        <f t="shared" si="106"/>
        <v>0.99999000009999894</v>
      </c>
      <c r="R1151">
        <f t="shared" si="107"/>
        <v>5.5115119375799451E-4</v>
      </c>
      <c r="T1151" s="5">
        <v>45718</v>
      </c>
      <c r="U1151" s="1">
        <v>5.5115119375799451E-4</v>
      </c>
    </row>
    <row r="1152" spans="3:21" x14ac:dyDescent="0.2">
      <c r="C1152" s="5">
        <v>45719</v>
      </c>
      <c r="D1152" s="6">
        <v>0.99926999999999999</v>
      </c>
      <c r="E1152" s="6">
        <v>86165.3</v>
      </c>
      <c r="F1152" s="6">
        <v>86225.11</v>
      </c>
      <c r="G1152" s="6">
        <v>86108.5</v>
      </c>
      <c r="H1152" s="6">
        <v>86211.35</v>
      </c>
      <c r="I1152" s="5">
        <v>45719</v>
      </c>
      <c r="J1152" s="7">
        <f t="shared" si="104"/>
        <v>-5.3415240568675598E-4</v>
      </c>
      <c r="K1152" s="5">
        <v>45719</v>
      </c>
      <c r="L1152" s="8">
        <f t="shared" si="105"/>
        <v>1.3542217086582693E-3</v>
      </c>
      <c r="M1152" s="5">
        <v>45719</v>
      </c>
      <c r="N1152" s="9">
        <f t="shared" si="102"/>
        <v>8.2006930297151331E-4</v>
      </c>
      <c r="O1152" s="5">
        <v>45719</v>
      </c>
      <c r="P1152">
        <f t="shared" si="103"/>
        <v>1.0011944233147714</v>
      </c>
      <c r="Q1152" s="6">
        <f t="shared" si="106"/>
        <v>1.0007305332893013</v>
      </c>
      <c r="R1152">
        <f t="shared" si="107"/>
        <v>4.6344397899907182E-4</v>
      </c>
      <c r="T1152" s="5">
        <v>45719</v>
      </c>
      <c r="U1152" s="1">
        <v>4.6344397899907182E-4</v>
      </c>
    </row>
    <row r="1153" spans="3:21" x14ac:dyDescent="0.2">
      <c r="C1153" s="5">
        <v>45720</v>
      </c>
      <c r="D1153" s="6">
        <v>0.99973999999999996</v>
      </c>
      <c r="E1153" s="6">
        <v>87260.1</v>
      </c>
      <c r="F1153" s="6">
        <v>87316.45</v>
      </c>
      <c r="G1153" s="6">
        <v>87205.5</v>
      </c>
      <c r="H1153" s="6">
        <v>87304.75</v>
      </c>
      <c r="I1153" s="5">
        <v>45720</v>
      </c>
      <c r="J1153" s="7">
        <f t="shared" si="104"/>
        <v>-5.1142692694262546E-4</v>
      </c>
      <c r="K1153" s="5">
        <v>45720</v>
      </c>
      <c r="L1153" s="8">
        <f t="shared" si="105"/>
        <v>1.2722821381678574E-3</v>
      </c>
      <c r="M1153" s="5">
        <v>45720</v>
      </c>
      <c r="N1153" s="9">
        <f t="shared" si="102"/>
        <v>7.6085521122523192E-4</v>
      </c>
      <c r="O1153" s="5">
        <v>45720</v>
      </c>
      <c r="P1153">
        <f t="shared" si="103"/>
        <v>1.0011381162885369</v>
      </c>
      <c r="Q1153" s="6">
        <f t="shared" si="106"/>
        <v>1.0002600676175806</v>
      </c>
      <c r="R1153">
        <f t="shared" si="107"/>
        <v>8.7743531931874319E-4</v>
      </c>
      <c r="T1153" s="5">
        <v>45720</v>
      </c>
      <c r="U1153" s="1">
        <v>8.7743531931874319E-4</v>
      </c>
    </row>
    <row r="1154" spans="3:21" x14ac:dyDescent="0.2">
      <c r="C1154" s="5">
        <v>45721</v>
      </c>
      <c r="D1154" s="6">
        <v>0.99997000000000003</v>
      </c>
      <c r="E1154" s="6">
        <v>90567.8</v>
      </c>
      <c r="F1154" s="6">
        <v>90639.09</v>
      </c>
      <c r="G1154" s="6">
        <v>90547.5</v>
      </c>
      <c r="H1154" s="6">
        <v>90611.79</v>
      </c>
      <c r="I1154" s="5">
        <v>45721</v>
      </c>
      <c r="J1154" s="7">
        <f t="shared" si="104"/>
        <v>-4.8547766245419816E-4</v>
      </c>
      <c r="K1154" s="5">
        <v>45721</v>
      </c>
      <c r="L1154" s="8">
        <f t="shared" si="105"/>
        <v>1.011513294127353E-3</v>
      </c>
      <c r="M1154" s="5">
        <v>45721</v>
      </c>
      <c r="N1154" s="9">
        <f t="shared" si="102"/>
        <v>5.2603563167315486E-4</v>
      </c>
      <c r="O1154" s="5">
        <v>45721</v>
      </c>
      <c r="P1154">
        <f t="shared" si="103"/>
        <v>1.0007100140810072</v>
      </c>
      <c r="Q1154" s="6">
        <f t="shared" si="106"/>
        <v>1.0000300009000269</v>
      </c>
      <c r="R1154">
        <f t="shared" si="107"/>
        <v>6.7976169024803069E-4</v>
      </c>
      <c r="T1154" s="5">
        <v>45721</v>
      </c>
      <c r="U1154" s="1">
        <v>6.7976169024803069E-4</v>
      </c>
    </row>
    <row r="1155" spans="3:21" x14ac:dyDescent="0.2">
      <c r="C1155" s="5">
        <v>45722</v>
      </c>
      <c r="D1155" s="6">
        <v>0.99997999999999998</v>
      </c>
      <c r="E1155" s="6">
        <v>89899.6</v>
      </c>
      <c r="F1155" s="6">
        <v>89957.75</v>
      </c>
      <c r="G1155" s="6">
        <v>89880</v>
      </c>
      <c r="H1155" s="6">
        <v>89931.67</v>
      </c>
      <c r="I1155" s="5">
        <v>45722</v>
      </c>
      <c r="J1155" s="7">
        <f t="shared" si="104"/>
        <v>-3.5660407507157862E-4</v>
      </c>
      <c r="K1155" s="5">
        <v>45722</v>
      </c>
      <c r="L1155" s="8">
        <f t="shared" si="105"/>
        <v>8.6504227859368046E-4</v>
      </c>
      <c r="M1155" s="5">
        <v>45722</v>
      </c>
      <c r="N1155" s="9">
        <f t="shared" si="102"/>
        <v>5.0843820352210189E-4</v>
      </c>
      <c r="O1155" s="5">
        <v>45722</v>
      </c>
      <c r="P1155">
        <f t="shared" si="103"/>
        <v>1.0005748776145973</v>
      </c>
      <c r="Q1155" s="6">
        <f t="shared" si="106"/>
        <v>1.0000200004000079</v>
      </c>
      <c r="R1155">
        <f t="shared" si="107"/>
        <v>5.5471223576092539E-4</v>
      </c>
      <c r="T1155" s="5">
        <v>45722</v>
      </c>
      <c r="U1155" s="1">
        <v>5.5471223576092539E-4</v>
      </c>
    </row>
    <row r="1156" spans="3:21" x14ac:dyDescent="0.2">
      <c r="C1156" s="5">
        <v>45723</v>
      </c>
      <c r="D1156" s="6">
        <v>0.99961</v>
      </c>
      <c r="E1156" s="6">
        <v>86758.5</v>
      </c>
      <c r="F1156" s="6">
        <v>86781.85</v>
      </c>
      <c r="G1156" s="6">
        <v>86718</v>
      </c>
      <c r="H1156" s="6">
        <v>86820.44</v>
      </c>
      <c r="I1156" s="5">
        <v>45723</v>
      </c>
      <c r="J1156" s="7">
        <f t="shared" si="104"/>
        <v>-7.1342646961939293E-4</v>
      </c>
      <c r="K1156" s="5">
        <v>45723</v>
      </c>
      <c r="L1156" s="8">
        <f t="shared" si="105"/>
        <v>7.3629465624213916E-4</v>
      </c>
      <c r="M1156" s="5">
        <v>45723</v>
      </c>
      <c r="N1156" s="9">
        <f t="shared" si="102"/>
        <v>2.2868186622746227E-5</v>
      </c>
      <c r="O1156" s="5">
        <v>45723</v>
      </c>
      <c r="P1156">
        <f t="shared" si="103"/>
        <v>1.0011813003067414</v>
      </c>
      <c r="Q1156" s="6">
        <f t="shared" si="106"/>
        <v>1.0003901521593421</v>
      </c>
      <c r="R1156">
        <f t="shared" si="107"/>
        <v>7.9052705075866492E-4</v>
      </c>
      <c r="T1156" s="5">
        <v>45723</v>
      </c>
      <c r="U1156" s="1">
        <v>7.9052705075866492E-4</v>
      </c>
    </row>
    <row r="1157" spans="3:21" x14ac:dyDescent="0.2">
      <c r="C1157" s="5">
        <v>45724</v>
      </c>
      <c r="D1157" s="6">
        <v>0.99968000000000001</v>
      </c>
      <c r="E1157" s="6">
        <v>86187.199999999997</v>
      </c>
      <c r="F1157" s="6">
        <v>86267.86</v>
      </c>
      <c r="G1157" s="6">
        <v>86163.5</v>
      </c>
      <c r="H1157" s="6">
        <v>86230.07</v>
      </c>
      <c r="I1157" s="5">
        <v>45724</v>
      </c>
      <c r="J1157" s="7">
        <f t="shared" si="104"/>
        <v>-4.9715835786761958E-4</v>
      </c>
      <c r="K1157" s="5">
        <v>45724</v>
      </c>
      <c r="L1157" s="8">
        <f t="shared" si="105"/>
        <v>1.2111857108868672E-3</v>
      </c>
      <c r="M1157" s="5">
        <v>45724</v>
      </c>
      <c r="N1157" s="9">
        <f t="shared" si="102"/>
        <v>7.1402735301924762E-4</v>
      </c>
      <c r="O1157" s="5">
        <v>45724</v>
      </c>
      <c r="P1157">
        <f t="shared" si="103"/>
        <v>1.000772600927307</v>
      </c>
      <c r="Q1157" s="6">
        <f t="shared" si="106"/>
        <v>1.0003201024327786</v>
      </c>
      <c r="R1157">
        <f t="shared" si="107"/>
        <v>4.5225141392124985E-4</v>
      </c>
      <c r="T1157" s="5">
        <v>45724</v>
      </c>
      <c r="U1157" s="1">
        <v>4.5225141392124985E-4</v>
      </c>
    </row>
    <row r="1158" spans="3:21" x14ac:dyDescent="0.2">
      <c r="C1158" s="5">
        <v>45725</v>
      </c>
      <c r="D1158" s="6">
        <v>0.99970000000000003</v>
      </c>
      <c r="E1158" s="6">
        <v>80692.3</v>
      </c>
      <c r="F1158" s="6">
        <v>80736.17</v>
      </c>
      <c r="G1158" s="6">
        <v>80681.5</v>
      </c>
      <c r="H1158" s="6">
        <v>80717.37</v>
      </c>
      <c r="I1158" s="5">
        <v>45725</v>
      </c>
      <c r="J1158" s="7">
        <f t="shared" si="104"/>
        <v>-3.105899015291558E-4</v>
      </c>
      <c r="K1158" s="5">
        <v>45725</v>
      </c>
      <c r="L1158" s="8">
        <f t="shared" si="105"/>
        <v>6.7760267223586888E-4</v>
      </c>
      <c r="M1158" s="5">
        <v>45725</v>
      </c>
      <c r="N1158" s="9">
        <f t="shared" si="102"/>
        <v>3.6701277070671308E-4</v>
      </c>
      <c r="O1158" s="5">
        <v>45725</v>
      </c>
      <c r="P1158">
        <f t="shared" si="103"/>
        <v>1.0004445876687964</v>
      </c>
      <c r="Q1158" s="6">
        <f t="shared" si="106"/>
        <v>1.000300090027008</v>
      </c>
      <c r="R1158">
        <f t="shared" si="107"/>
        <v>1.4444385997912479E-4</v>
      </c>
      <c r="T1158" s="5">
        <v>45725</v>
      </c>
      <c r="U1158" s="1">
        <v>1.4444385997912479E-4</v>
      </c>
    </row>
    <row r="1159" spans="3:21" x14ac:dyDescent="0.2">
      <c r="C1159" s="5">
        <v>45726</v>
      </c>
      <c r="D1159" s="6">
        <v>0.99948000000000004</v>
      </c>
      <c r="E1159" s="6">
        <v>78563.199999999997</v>
      </c>
      <c r="F1159" s="6">
        <v>78620.33</v>
      </c>
      <c r="G1159" s="6">
        <v>78536</v>
      </c>
      <c r="H1159" s="6">
        <v>78596.44</v>
      </c>
      <c r="I1159" s="5">
        <v>45726</v>
      </c>
      <c r="J1159" s="7">
        <f t="shared" si="104"/>
        <v>-4.2291991851037069E-4</v>
      </c>
      <c r="K1159" s="5">
        <v>45726</v>
      </c>
      <c r="L1159" s="8">
        <f t="shared" si="105"/>
        <v>1.0737750840379156E-3</v>
      </c>
      <c r="M1159" s="5">
        <v>45726</v>
      </c>
      <c r="N1159" s="9">
        <f t="shared" si="102"/>
        <v>6.5085516552754489E-4</v>
      </c>
      <c r="O1159" s="5">
        <v>45726</v>
      </c>
      <c r="P1159">
        <f t="shared" si="103"/>
        <v>1.0007695833757766</v>
      </c>
      <c r="Q1159" s="6">
        <f t="shared" si="106"/>
        <v>1.000520270540681</v>
      </c>
      <c r="R1159">
        <f t="shared" si="107"/>
        <v>2.4915215144619146E-4</v>
      </c>
      <c r="T1159" s="5">
        <v>45726</v>
      </c>
      <c r="U1159" s="1">
        <v>2.4915215144619146E-4</v>
      </c>
    </row>
    <row r="1160" spans="3:21" x14ac:dyDescent="0.2">
      <c r="C1160" s="5">
        <v>45727</v>
      </c>
      <c r="D1160" s="6">
        <v>0.99975000000000003</v>
      </c>
      <c r="E1160" s="6">
        <v>82889.2</v>
      </c>
      <c r="F1160" s="6">
        <v>82943.360000000001</v>
      </c>
      <c r="G1160" s="6">
        <v>82874.5</v>
      </c>
      <c r="H1160" s="6">
        <v>82926.63</v>
      </c>
      <c r="I1160" s="5">
        <v>45727</v>
      </c>
      <c r="J1160" s="7">
        <f t="shared" si="104"/>
        <v>-4.5136284930434969E-4</v>
      </c>
      <c r="K1160" s="5">
        <v>45727</v>
      </c>
      <c r="L1160" s="8">
        <f t="shared" si="105"/>
        <v>8.3089490735993078E-4</v>
      </c>
      <c r="M1160" s="5">
        <v>45727</v>
      </c>
      <c r="N1160" s="9">
        <f t="shared" ref="N1160:N1223" si="108">J1160+L1160</f>
        <v>3.7953205805558109E-4</v>
      </c>
      <c r="O1160" s="5">
        <v>45727</v>
      </c>
      <c r="P1160">
        <f t="shared" ref="P1160:P1223" si="109">(1/G1160)*H1160</f>
        <v>1.0006290234028563</v>
      </c>
      <c r="Q1160" s="6">
        <f t="shared" si="106"/>
        <v>1.000250062515629</v>
      </c>
      <c r="R1160">
        <f t="shared" si="107"/>
        <v>3.7879439534904469E-4</v>
      </c>
      <c r="T1160" s="5">
        <v>45727</v>
      </c>
      <c r="U1160" s="1">
        <v>3.7879439534904469E-4</v>
      </c>
    </row>
    <row r="1161" spans="3:21" x14ac:dyDescent="0.2">
      <c r="C1161" s="5">
        <v>45728</v>
      </c>
      <c r="D1161" s="6">
        <v>0.99972000000000005</v>
      </c>
      <c r="E1161" s="6">
        <v>83649.899999999994</v>
      </c>
      <c r="F1161" s="6">
        <v>83709.8</v>
      </c>
      <c r="G1161" s="6">
        <v>83617.5</v>
      </c>
      <c r="H1161" s="6">
        <v>83678.570000000007</v>
      </c>
      <c r="I1161" s="5">
        <v>45728</v>
      </c>
      <c r="J1161" s="7">
        <f t="shared" ref="J1161:J1224" si="110">(E1161-H1161)/H1161</f>
        <v>-3.426205777657625E-4</v>
      </c>
      <c r="K1161" s="5">
        <v>45728</v>
      </c>
      <c r="L1161" s="8">
        <f t="shared" ref="L1161:L1224" si="111">(F1161-G1161)/G1161</f>
        <v>1.1038359195144904E-3</v>
      </c>
      <c r="M1161" s="5">
        <v>45728</v>
      </c>
      <c r="N1161" s="9">
        <f t="shared" si="108"/>
        <v>7.6121534174872793E-4</v>
      </c>
      <c r="O1161" s="5">
        <v>45728</v>
      </c>
      <c r="P1161">
        <f t="shared" si="109"/>
        <v>1.0007303495081772</v>
      </c>
      <c r="Q1161" s="6">
        <f t="shared" ref="Q1161:Q1224" si="112">1/D1161</f>
        <v>1.0002800784219581</v>
      </c>
      <c r="R1161">
        <f t="shared" ref="R1161:R1224" si="113">LN(P1161/Q1161)</f>
        <v>4.5004372544388575E-4</v>
      </c>
      <c r="T1161" s="5">
        <v>45728</v>
      </c>
      <c r="U1161" s="1">
        <v>4.5004372544388575E-4</v>
      </c>
    </row>
    <row r="1162" spans="3:21" x14ac:dyDescent="0.2">
      <c r="C1162" s="5">
        <v>45729</v>
      </c>
      <c r="D1162" s="6">
        <v>0.99944999999999995</v>
      </c>
      <c r="E1162" s="6">
        <v>81072.3</v>
      </c>
      <c r="F1162" s="6">
        <v>81136.13</v>
      </c>
      <c r="G1162" s="6">
        <v>81041</v>
      </c>
      <c r="H1162" s="6">
        <v>81113.149999999994</v>
      </c>
      <c r="I1162" s="5">
        <v>45729</v>
      </c>
      <c r="J1162" s="7">
        <f t="shared" si="110"/>
        <v>-5.0361747756055917E-4</v>
      </c>
      <c r="K1162" s="5">
        <v>45729</v>
      </c>
      <c r="L1162" s="8">
        <f t="shared" si="111"/>
        <v>1.1738502733185012E-3</v>
      </c>
      <c r="M1162" s="5">
        <v>45729</v>
      </c>
      <c r="N1162" s="9">
        <f t="shared" si="108"/>
        <v>6.7023279575794206E-4</v>
      </c>
      <c r="O1162" s="5">
        <v>45729</v>
      </c>
      <c r="P1162">
        <f t="shared" si="109"/>
        <v>1.0008902901000727</v>
      </c>
      <c r="Q1162" s="6">
        <f t="shared" si="112"/>
        <v>1.0005503026664666</v>
      </c>
      <c r="R1162">
        <f t="shared" si="113"/>
        <v>3.3974272142277035E-4</v>
      </c>
      <c r="T1162" s="5">
        <v>45729</v>
      </c>
      <c r="U1162" s="1">
        <v>3.3974272142277035E-4</v>
      </c>
    </row>
    <row r="1163" spans="3:21" x14ac:dyDescent="0.2">
      <c r="C1163" s="5">
        <v>45730</v>
      </c>
      <c r="D1163" s="6">
        <v>1.00007</v>
      </c>
      <c r="E1163" s="6">
        <v>83948.3</v>
      </c>
      <c r="F1163" s="6">
        <v>84002.8</v>
      </c>
      <c r="G1163" s="6">
        <v>83947.3</v>
      </c>
      <c r="H1163" s="6">
        <v>83991.99</v>
      </c>
      <c r="I1163" s="5">
        <v>45730</v>
      </c>
      <c r="J1163" s="7">
        <f t="shared" si="110"/>
        <v>-5.2016864941528739E-4</v>
      </c>
      <c r="K1163" s="5">
        <v>45730</v>
      </c>
      <c r="L1163" s="8">
        <f t="shared" si="111"/>
        <v>6.6112906549704398E-4</v>
      </c>
      <c r="M1163" s="5">
        <v>45730</v>
      </c>
      <c r="N1163" s="9">
        <f t="shared" si="108"/>
        <v>1.4096041608175659E-4</v>
      </c>
      <c r="O1163" s="5">
        <v>45730</v>
      </c>
      <c r="P1163">
        <f t="shared" si="109"/>
        <v>1.0005323578006677</v>
      </c>
      <c r="Q1163" s="6">
        <f t="shared" si="112"/>
        <v>0.999930004899657</v>
      </c>
      <c r="R1163">
        <f t="shared" si="113"/>
        <v>6.022136986390793E-4</v>
      </c>
      <c r="T1163" s="5">
        <v>45730</v>
      </c>
      <c r="U1163" s="1">
        <v>6.022136986390793E-4</v>
      </c>
    </row>
    <row r="1164" spans="3:21" x14ac:dyDescent="0.2">
      <c r="C1164" s="5">
        <v>45731</v>
      </c>
      <c r="D1164" s="6">
        <v>1.0000599999999999</v>
      </c>
      <c r="E1164" s="6">
        <v>84308.4</v>
      </c>
      <c r="F1164" s="6">
        <v>84398.77</v>
      </c>
      <c r="G1164" s="6">
        <v>84315.199999999997</v>
      </c>
      <c r="H1164" s="6">
        <v>84337.42</v>
      </c>
      <c r="I1164" s="5">
        <v>45731</v>
      </c>
      <c r="J1164" s="7">
        <f t="shared" si="110"/>
        <v>-3.4409399765850172E-4</v>
      </c>
      <c r="K1164" s="5">
        <v>45731</v>
      </c>
      <c r="L1164" s="8">
        <f t="shared" si="111"/>
        <v>9.9116173596228195E-4</v>
      </c>
      <c r="M1164" s="5">
        <v>45731</v>
      </c>
      <c r="N1164" s="9">
        <f t="shared" si="108"/>
        <v>6.4706773830378018E-4</v>
      </c>
      <c r="O1164" s="5">
        <v>45731</v>
      </c>
      <c r="P1164">
        <f t="shared" si="109"/>
        <v>1.0002635349260869</v>
      </c>
      <c r="Q1164" s="6">
        <f t="shared" si="112"/>
        <v>0.99994000359978408</v>
      </c>
      <c r="R1164">
        <f t="shared" si="113"/>
        <v>3.234984069299488E-4</v>
      </c>
      <c r="T1164" s="5">
        <v>45731</v>
      </c>
      <c r="U1164" s="1">
        <v>3.234984069299488E-4</v>
      </c>
    </row>
    <row r="1165" spans="3:21" x14ac:dyDescent="0.2">
      <c r="C1165" s="5">
        <v>45732</v>
      </c>
      <c r="D1165" s="6">
        <v>0.99992999999999999</v>
      </c>
      <c r="E1165" s="6">
        <v>82528.5</v>
      </c>
      <c r="F1165" s="6">
        <v>82611.45</v>
      </c>
      <c r="G1165" s="6">
        <v>82520.100000000006</v>
      </c>
      <c r="H1165" s="6">
        <v>82573.8</v>
      </c>
      <c r="I1165" s="5">
        <v>45732</v>
      </c>
      <c r="J1165" s="7">
        <f t="shared" si="110"/>
        <v>-5.4860016131028132E-4</v>
      </c>
      <c r="K1165" s="5">
        <v>45732</v>
      </c>
      <c r="L1165" s="8">
        <f t="shared" si="111"/>
        <v>1.1070030210820305E-3</v>
      </c>
      <c r="M1165" s="5">
        <v>45732</v>
      </c>
      <c r="N1165" s="9">
        <f t="shared" si="108"/>
        <v>5.5840285977174918E-4</v>
      </c>
      <c r="O1165" s="5">
        <v>45732</v>
      </c>
      <c r="P1165">
        <f t="shared" si="109"/>
        <v>1.0006507505444129</v>
      </c>
      <c r="Q1165" s="6">
        <f t="shared" si="112"/>
        <v>1.000070004900343</v>
      </c>
      <c r="R1165">
        <f t="shared" si="113"/>
        <v>5.8053644797725196E-4</v>
      </c>
      <c r="T1165" s="5">
        <v>45732</v>
      </c>
      <c r="U1165" s="1">
        <v>5.8053644797725196E-4</v>
      </c>
    </row>
    <row r="1166" spans="3:21" x14ac:dyDescent="0.2">
      <c r="C1166" s="5">
        <v>45733</v>
      </c>
      <c r="D1166" s="6">
        <v>0.99988999999999995</v>
      </c>
      <c r="E1166" s="6">
        <v>83955.1</v>
      </c>
      <c r="F1166" s="6">
        <v>84016.28</v>
      </c>
      <c r="G1166" s="6">
        <v>83954.7</v>
      </c>
      <c r="H1166" s="6">
        <v>84004.03</v>
      </c>
      <c r="I1166" s="5">
        <v>45733</v>
      </c>
      <c r="J1166" s="7">
        <f t="shared" si="110"/>
        <v>-5.8247205520964903E-4</v>
      </c>
      <c r="K1166" s="5">
        <v>45733</v>
      </c>
      <c r="L1166" s="8">
        <f t="shared" si="111"/>
        <v>7.3349079920483008E-4</v>
      </c>
      <c r="M1166" s="5">
        <v>45733</v>
      </c>
      <c r="N1166" s="9">
        <f t="shared" si="108"/>
        <v>1.5101874399518105E-4</v>
      </c>
      <c r="O1166" s="5">
        <v>45733</v>
      </c>
      <c r="P1166">
        <f t="shared" si="109"/>
        <v>1.0005875787776028</v>
      </c>
      <c r="Q1166" s="6">
        <f t="shared" si="112"/>
        <v>1.0001100121013311</v>
      </c>
      <c r="R1166">
        <f t="shared" si="113"/>
        <v>4.7740017033965964E-4</v>
      </c>
      <c r="T1166" s="5">
        <v>45733</v>
      </c>
      <c r="U1166" s="1">
        <v>4.7740017033965964E-4</v>
      </c>
    </row>
    <row r="1167" spans="3:21" x14ac:dyDescent="0.2">
      <c r="C1167" s="5">
        <v>45734</v>
      </c>
      <c r="D1167" s="6">
        <v>0.99987999999999999</v>
      </c>
      <c r="E1167" s="6">
        <v>82675.7</v>
      </c>
      <c r="F1167" s="6">
        <v>82725.48</v>
      </c>
      <c r="G1167" s="6">
        <v>82659.600000000006</v>
      </c>
      <c r="H1167" s="6">
        <v>82713.429999999993</v>
      </c>
      <c r="I1167" s="5">
        <v>45734</v>
      </c>
      <c r="J1167" s="7">
        <f t="shared" si="110"/>
        <v>-4.5615325104999188E-4</v>
      </c>
      <c r="K1167" s="5">
        <v>45734</v>
      </c>
      <c r="L1167" s="8">
        <f t="shared" si="111"/>
        <v>7.9700361482501849E-4</v>
      </c>
      <c r="M1167" s="5">
        <v>45734</v>
      </c>
      <c r="N1167" s="9">
        <f t="shared" si="108"/>
        <v>3.4085036377502661E-4</v>
      </c>
      <c r="O1167" s="5">
        <v>45734</v>
      </c>
      <c r="P1167">
        <f t="shared" si="109"/>
        <v>1.0006512250240744</v>
      </c>
      <c r="Q1167" s="6">
        <f t="shared" si="112"/>
        <v>1.0001200144017282</v>
      </c>
      <c r="R1167">
        <f t="shared" si="113"/>
        <v>5.3100586849779688E-4</v>
      </c>
      <c r="T1167" s="5">
        <v>45734</v>
      </c>
      <c r="U1167" s="1">
        <v>5.3100586849779688E-4</v>
      </c>
    </row>
    <row r="1168" spans="3:21" x14ac:dyDescent="0.2">
      <c r="C1168" s="5">
        <v>45735</v>
      </c>
      <c r="D1168" s="6">
        <v>1.0002599999999999</v>
      </c>
      <c r="E1168" s="6">
        <v>86792.3</v>
      </c>
      <c r="F1168" s="6">
        <v>86878.55</v>
      </c>
      <c r="G1168" s="6">
        <v>86820.2</v>
      </c>
      <c r="H1168" s="6">
        <v>86831.27</v>
      </c>
      <c r="I1168" s="5">
        <v>45735</v>
      </c>
      <c r="J1168" s="7">
        <f t="shared" si="110"/>
        <v>-4.4880145136655451E-4</v>
      </c>
      <c r="K1168" s="5">
        <v>45735</v>
      </c>
      <c r="L1168" s="8">
        <f t="shared" si="111"/>
        <v>6.720786176489552E-4</v>
      </c>
      <c r="M1168" s="5">
        <v>45735</v>
      </c>
      <c r="N1168" s="9">
        <f t="shared" si="108"/>
        <v>2.2327716628240069E-4</v>
      </c>
      <c r="O1168" s="5">
        <v>45735</v>
      </c>
      <c r="P1168">
        <f t="shared" si="109"/>
        <v>1.0001275048894152</v>
      </c>
      <c r="Q1168" s="6">
        <f t="shared" si="112"/>
        <v>0.99974006758242862</v>
      </c>
      <c r="R1168">
        <f t="shared" si="113"/>
        <v>3.8746296721513197E-4</v>
      </c>
      <c r="T1168" s="5">
        <v>45735</v>
      </c>
      <c r="U1168" s="1">
        <v>3.8746296721513197E-4</v>
      </c>
    </row>
    <row r="1169" spans="3:21" x14ac:dyDescent="0.2">
      <c r="C1169" s="5">
        <v>45736</v>
      </c>
      <c r="D1169" s="6">
        <v>0.99939999999999996</v>
      </c>
      <c r="E1169" s="6">
        <v>84168.9</v>
      </c>
      <c r="F1169" s="6">
        <v>84215.96</v>
      </c>
      <c r="G1169" s="6">
        <v>84139</v>
      </c>
      <c r="H1169" s="6">
        <v>84218.18</v>
      </c>
      <c r="I1169" s="5">
        <v>45736</v>
      </c>
      <c r="J1169" s="7">
        <f t="shared" si="110"/>
        <v>-5.8514681746861356E-4</v>
      </c>
      <c r="K1169" s="5">
        <v>45736</v>
      </c>
      <c r="L1169" s="8">
        <f t="shared" si="111"/>
        <v>9.1467690369515214E-4</v>
      </c>
      <c r="M1169" s="5">
        <v>45736</v>
      </c>
      <c r="N1169" s="9">
        <f t="shared" si="108"/>
        <v>3.2953008622653858E-4</v>
      </c>
      <c r="O1169" s="5">
        <v>45736</v>
      </c>
      <c r="P1169">
        <f t="shared" si="109"/>
        <v>1.0009410618143786</v>
      </c>
      <c r="Q1169" s="6">
        <f t="shared" si="112"/>
        <v>1.0006003602161297</v>
      </c>
      <c r="R1169">
        <f t="shared" si="113"/>
        <v>3.4043922128144954E-4</v>
      </c>
      <c r="T1169" s="5">
        <v>45736</v>
      </c>
      <c r="U1169" s="1">
        <v>3.4043922128144954E-4</v>
      </c>
    </row>
    <row r="1170" spans="3:21" x14ac:dyDescent="0.2">
      <c r="C1170" s="5">
        <v>45737</v>
      </c>
      <c r="D1170" s="6">
        <v>0.99963000000000002</v>
      </c>
      <c r="E1170" s="6">
        <v>84054.6</v>
      </c>
      <c r="F1170" s="6">
        <v>84051.47</v>
      </c>
      <c r="G1170" s="6">
        <v>84028</v>
      </c>
      <c r="H1170" s="6">
        <v>84096.3</v>
      </c>
      <c r="I1170" s="5">
        <v>45737</v>
      </c>
      <c r="J1170" s="7">
        <f t="shared" si="110"/>
        <v>-4.9586010323875239E-4</v>
      </c>
      <c r="K1170" s="5">
        <v>45737</v>
      </c>
      <c r="L1170" s="8">
        <f t="shared" si="111"/>
        <v>2.7931165801876949E-4</v>
      </c>
      <c r="M1170" s="5">
        <v>45737</v>
      </c>
      <c r="N1170" s="9">
        <f t="shared" si="108"/>
        <v>-2.165484452199829E-4</v>
      </c>
      <c r="O1170" s="5">
        <v>45737</v>
      </c>
      <c r="P1170">
        <f t="shared" si="109"/>
        <v>1.000812824296663</v>
      </c>
      <c r="Q1170" s="6">
        <f t="shared" si="112"/>
        <v>1.0003701369506717</v>
      </c>
      <c r="R1170">
        <f t="shared" si="113"/>
        <v>4.4242566700273688E-4</v>
      </c>
      <c r="T1170" s="5">
        <v>45737</v>
      </c>
      <c r="U1170" s="1">
        <v>4.4242566700273688E-4</v>
      </c>
    </row>
    <row r="1171" spans="3:21" x14ac:dyDescent="0.2">
      <c r="C1171" s="5">
        <v>45738</v>
      </c>
      <c r="D1171" s="6">
        <v>0.99978999999999996</v>
      </c>
      <c r="E1171" s="6">
        <v>83805.899999999994</v>
      </c>
      <c r="F1171" s="6">
        <v>83822.880000000005</v>
      </c>
      <c r="G1171" s="6">
        <v>83794.600000000006</v>
      </c>
      <c r="H1171" s="6">
        <v>83843.5</v>
      </c>
      <c r="I1171" s="5">
        <v>45738</v>
      </c>
      <c r="J1171" s="7">
        <f t="shared" si="110"/>
        <v>-4.48454561176547E-4</v>
      </c>
      <c r="K1171" s="5">
        <v>45738</v>
      </c>
      <c r="L1171" s="8">
        <f t="shared" si="111"/>
        <v>3.3749191475344274E-4</v>
      </c>
      <c r="M1171" s="5">
        <v>45738</v>
      </c>
      <c r="N1171" s="9">
        <f t="shared" si="108"/>
        <v>-1.1096264642310427E-4</v>
      </c>
      <c r="O1171" s="5">
        <v>45738</v>
      </c>
      <c r="P1171">
        <f t="shared" si="109"/>
        <v>1.0005835698243084</v>
      </c>
      <c r="Q1171" s="6">
        <f t="shared" si="112"/>
        <v>1.000210044109263</v>
      </c>
      <c r="R1171">
        <f t="shared" si="113"/>
        <v>3.7337756056762258E-4</v>
      </c>
      <c r="T1171" s="5">
        <v>45738</v>
      </c>
      <c r="U1171" s="1">
        <v>3.7337756056762258E-4</v>
      </c>
    </row>
    <row r="1172" spans="3:21" x14ac:dyDescent="0.2">
      <c r="C1172" s="5">
        <v>45739</v>
      </c>
      <c r="D1172" s="6">
        <v>0.99997000000000003</v>
      </c>
      <c r="E1172" s="6">
        <v>86037.8</v>
      </c>
      <c r="F1172" s="6">
        <v>86116.86</v>
      </c>
      <c r="G1172" s="6">
        <v>86038</v>
      </c>
      <c r="H1172" s="6">
        <v>86085</v>
      </c>
      <c r="I1172" s="5">
        <v>45739</v>
      </c>
      <c r="J1172" s="7">
        <f t="shared" si="110"/>
        <v>-5.4829528953937487E-4</v>
      </c>
      <c r="K1172" s="5">
        <v>45739</v>
      </c>
      <c r="L1172" s="8">
        <f t="shared" si="111"/>
        <v>9.165717473674491E-4</v>
      </c>
      <c r="M1172" s="5">
        <v>45739</v>
      </c>
      <c r="N1172" s="9">
        <f t="shared" si="108"/>
        <v>3.6827645782807423E-4</v>
      </c>
      <c r="O1172" s="5">
        <v>45739</v>
      </c>
      <c r="P1172">
        <f t="shared" si="109"/>
        <v>1.0005462702526791</v>
      </c>
      <c r="Q1172" s="6">
        <f t="shared" si="112"/>
        <v>1.0000300009000269</v>
      </c>
      <c r="R1172">
        <f t="shared" si="113"/>
        <v>5.1612065139111261E-4</v>
      </c>
      <c r="T1172" s="5">
        <v>45739</v>
      </c>
      <c r="U1172" s="1">
        <v>5.1612065139111261E-4</v>
      </c>
    </row>
    <row r="1173" spans="3:21" x14ac:dyDescent="0.2">
      <c r="C1173" s="5">
        <v>45740</v>
      </c>
      <c r="D1173" s="6">
        <v>1.00017</v>
      </c>
      <c r="E1173" s="6">
        <v>87459.9</v>
      </c>
      <c r="F1173" s="6">
        <v>87523.45</v>
      </c>
      <c r="G1173" s="6">
        <v>87479.9</v>
      </c>
      <c r="H1173" s="6">
        <v>87491.1</v>
      </c>
      <c r="I1173" s="5">
        <v>45740</v>
      </c>
      <c r="J1173" s="7">
        <f t="shared" si="110"/>
        <v>-3.5660770066911539E-4</v>
      </c>
      <c r="K1173" s="5">
        <v>45740</v>
      </c>
      <c r="L1173" s="8">
        <f t="shared" si="111"/>
        <v>4.9782864406569863E-4</v>
      </c>
      <c r="M1173" s="5">
        <v>45740</v>
      </c>
      <c r="N1173" s="9">
        <f t="shared" si="108"/>
        <v>1.4122094339658324E-4</v>
      </c>
      <c r="O1173" s="5">
        <v>45740</v>
      </c>
      <c r="P1173">
        <f t="shared" si="109"/>
        <v>1.0001280294101846</v>
      </c>
      <c r="Q1173" s="6">
        <f t="shared" si="112"/>
        <v>0.99983002889508787</v>
      </c>
      <c r="R1173">
        <f t="shared" si="113"/>
        <v>2.9800676675647777E-4</v>
      </c>
      <c r="T1173" s="5">
        <v>45740</v>
      </c>
      <c r="U1173" s="1">
        <v>2.9800676675647777E-4</v>
      </c>
    </row>
    <row r="1174" spans="3:21" x14ac:dyDescent="0.2">
      <c r="C1174" s="5">
        <v>45741</v>
      </c>
      <c r="D1174" s="6">
        <v>1.00027</v>
      </c>
      <c r="E1174" s="6">
        <v>87362.4</v>
      </c>
      <c r="F1174" s="6">
        <v>87417.01</v>
      </c>
      <c r="G1174" s="6">
        <v>87403.5</v>
      </c>
      <c r="H1174" s="6">
        <v>87401.9</v>
      </c>
      <c r="I1174" s="5">
        <v>45741</v>
      </c>
      <c r="J1174" s="7">
        <f t="shared" si="110"/>
        <v>-4.5193525541206773E-4</v>
      </c>
      <c r="K1174" s="5">
        <v>45741</v>
      </c>
      <c r="L1174" s="8">
        <f t="shared" si="111"/>
        <v>1.5457046914591247E-4</v>
      </c>
      <c r="M1174" s="5">
        <v>45741</v>
      </c>
      <c r="N1174" s="9">
        <f t="shared" si="108"/>
        <v>-2.9736478626615526E-4</v>
      </c>
      <c r="O1174" s="5">
        <v>45741</v>
      </c>
      <c r="P1174">
        <f t="shared" si="109"/>
        <v>0.99998169409691828</v>
      </c>
      <c r="Q1174" s="6">
        <f t="shared" si="112"/>
        <v>0.99973007288032234</v>
      </c>
      <c r="R1174">
        <f t="shared" si="113"/>
        <v>2.5165748592291212E-4</v>
      </c>
      <c r="T1174" s="5">
        <v>45741</v>
      </c>
      <c r="U1174" s="1">
        <v>2.5165748592291212E-4</v>
      </c>
    </row>
    <row r="1175" spans="3:21" x14ac:dyDescent="0.2">
      <c r="C1175" s="5">
        <v>45742</v>
      </c>
      <c r="D1175" s="6">
        <v>1.0000599999999999</v>
      </c>
      <c r="E1175" s="6">
        <v>86860.800000000003</v>
      </c>
      <c r="F1175" s="6">
        <v>86945.33</v>
      </c>
      <c r="G1175" s="6">
        <v>86878</v>
      </c>
      <c r="H1175" s="6">
        <v>86907.1</v>
      </c>
      <c r="I1175" s="5">
        <v>45742</v>
      </c>
      <c r="J1175" s="7">
        <f t="shared" si="110"/>
        <v>-5.3275279004825734E-4</v>
      </c>
      <c r="K1175" s="5">
        <v>45742</v>
      </c>
      <c r="L1175" s="8">
        <f t="shared" si="111"/>
        <v>7.749948203227715E-4</v>
      </c>
      <c r="M1175" s="5">
        <v>45742</v>
      </c>
      <c r="N1175" s="9">
        <f t="shared" si="108"/>
        <v>2.4224203027451417E-4</v>
      </c>
      <c r="O1175" s="5">
        <v>45742</v>
      </c>
      <c r="P1175">
        <f t="shared" si="109"/>
        <v>1.0003349524620733</v>
      </c>
      <c r="Q1175" s="6">
        <f t="shared" si="112"/>
        <v>0.99994000359978408</v>
      </c>
      <c r="R1175">
        <f t="shared" si="113"/>
        <v>3.9489457809260017E-4</v>
      </c>
      <c r="T1175" s="5">
        <v>45742</v>
      </c>
      <c r="U1175" s="1">
        <v>3.9489457809260017E-4</v>
      </c>
    </row>
    <row r="1176" spans="3:21" x14ac:dyDescent="0.2">
      <c r="C1176" s="5">
        <v>45743</v>
      </c>
      <c r="D1176" s="6">
        <v>0.99975999999999998</v>
      </c>
      <c r="E1176" s="6">
        <v>87181.7</v>
      </c>
      <c r="F1176" s="6">
        <v>87236.15</v>
      </c>
      <c r="G1176" s="6">
        <v>87178.3</v>
      </c>
      <c r="H1176" s="6">
        <v>87217.8</v>
      </c>
      <c r="I1176" s="5">
        <v>45743</v>
      </c>
      <c r="J1176" s="7">
        <f t="shared" si="110"/>
        <v>-4.1390633563338926E-4</v>
      </c>
      <c r="K1176" s="5">
        <v>45743</v>
      </c>
      <c r="L1176" s="8">
        <f t="shared" si="111"/>
        <v>6.6358256584484062E-4</v>
      </c>
      <c r="M1176" s="5">
        <v>45743</v>
      </c>
      <c r="N1176" s="9">
        <f t="shared" si="108"/>
        <v>2.4967623021145136E-4</v>
      </c>
      <c r="O1176" s="5">
        <v>45743</v>
      </c>
      <c r="P1176">
        <f t="shared" si="109"/>
        <v>1.0004530944053738</v>
      </c>
      <c r="Q1176" s="6">
        <f t="shared" si="112"/>
        <v>1.0002400576138273</v>
      </c>
      <c r="R1176">
        <f t="shared" si="113"/>
        <v>2.12962984490209E-4</v>
      </c>
      <c r="T1176" s="5">
        <v>45743</v>
      </c>
      <c r="U1176" s="1">
        <v>2.12962984490209E-4</v>
      </c>
    </row>
    <row r="1177" spans="3:21" x14ac:dyDescent="0.2">
      <c r="C1177" s="5">
        <v>45744</v>
      </c>
      <c r="D1177" s="6">
        <v>0.99953000000000003</v>
      </c>
      <c r="E1177" s="6">
        <v>84375</v>
      </c>
      <c r="F1177" s="6">
        <v>84422.51</v>
      </c>
      <c r="G1177" s="6">
        <v>84346.3</v>
      </c>
      <c r="H1177" s="6">
        <v>84421.3</v>
      </c>
      <c r="I1177" s="5">
        <v>45744</v>
      </c>
      <c r="J1177" s="7">
        <f t="shared" si="110"/>
        <v>-5.4843978948444186E-4</v>
      </c>
      <c r="K1177" s="5">
        <v>45744</v>
      </c>
      <c r="L1177" s="8">
        <f t="shared" si="111"/>
        <v>9.0353696605532008E-4</v>
      </c>
      <c r="M1177" s="5">
        <v>45744</v>
      </c>
      <c r="N1177" s="9">
        <f t="shared" si="108"/>
        <v>3.5509717657087822E-4</v>
      </c>
      <c r="O1177" s="5">
        <v>45744</v>
      </c>
      <c r="P1177">
        <f t="shared" si="109"/>
        <v>1.0008891913456786</v>
      </c>
      <c r="Q1177" s="6">
        <f t="shared" si="112"/>
        <v>1.0004702210038718</v>
      </c>
      <c r="R1177">
        <f t="shared" si="113"/>
        <v>4.1868576462766578E-4</v>
      </c>
      <c r="T1177" s="5">
        <v>45744</v>
      </c>
      <c r="U1177" s="1">
        <v>4.1868576462766578E-4</v>
      </c>
    </row>
    <row r="1178" spans="3:21" x14ac:dyDescent="0.2">
      <c r="C1178" s="5">
        <v>45745</v>
      </c>
      <c r="D1178" s="6">
        <v>0.99965999999999999</v>
      </c>
      <c r="E1178" s="6">
        <v>82603.899999999994</v>
      </c>
      <c r="F1178" s="6">
        <v>82704.61</v>
      </c>
      <c r="G1178" s="6">
        <v>82581.5</v>
      </c>
      <c r="H1178" s="6">
        <v>82638.5</v>
      </c>
      <c r="I1178" s="5">
        <v>45745</v>
      </c>
      <c r="J1178" s="7">
        <f t="shared" si="110"/>
        <v>-4.1869104594112694E-4</v>
      </c>
      <c r="K1178" s="5">
        <v>45745</v>
      </c>
      <c r="L1178" s="8">
        <f t="shared" si="111"/>
        <v>1.4907697244540313E-3</v>
      </c>
      <c r="M1178" s="5">
        <v>45745</v>
      </c>
      <c r="N1178" s="9">
        <f t="shared" si="108"/>
        <v>1.0720786785129045E-3</v>
      </c>
      <c r="O1178" s="5">
        <v>45745</v>
      </c>
      <c r="P1178">
        <f t="shared" si="109"/>
        <v>1.0006902272300697</v>
      </c>
      <c r="Q1178" s="6">
        <f t="shared" si="112"/>
        <v>1.0003401156393175</v>
      </c>
      <c r="R1178">
        <f t="shared" si="113"/>
        <v>3.4993131970492144E-4</v>
      </c>
      <c r="T1178" s="5">
        <v>45745</v>
      </c>
      <c r="U1178" s="1">
        <v>3.4993131970492144E-4</v>
      </c>
    </row>
    <row r="1179" spans="3:21" x14ac:dyDescent="0.2">
      <c r="C1179" s="5">
        <v>45746</v>
      </c>
      <c r="D1179" s="6">
        <v>0.99982000000000004</v>
      </c>
      <c r="E1179" s="6">
        <v>82347.899999999994</v>
      </c>
      <c r="F1179" s="6">
        <v>82404.61</v>
      </c>
      <c r="G1179" s="6">
        <v>82338.899999999994</v>
      </c>
      <c r="H1179" s="6">
        <v>82386.399999999994</v>
      </c>
      <c r="I1179" s="5">
        <v>45746</v>
      </c>
      <c r="J1179" s="7">
        <f t="shared" si="110"/>
        <v>-4.6731013856655956E-4</v>
      </c>
      <c r="K1179" s="5">
        <v>45746</v>
      </c>
      <c r="L1179" s="8">
        <f t="shared" si="111"/>
        <v>7.9804320922439347E-4</v>
      </c>
      <c r="M1179" s="5">
        <v>45746</v>
      </c>
      <c r="N1179" s="9">
        <f t="shared" si="108"/>
        <v>3.3073307065783391E-4</v>
      </c>
      <c r="O1179" s="5">
        <v>45746</v>
      </c>
      <c r="P1179">
        <f t="shared" si="109"/>
        <v>1.0005768840730203</v>
      </c>
      <c r="Q1179" s="6">
        <f t="shared" si="112"/>
        <v>1.000180032405833</v>
      </c>
      <c r="R1179">
        <f t="shared" si="113"/>
        <v>3.9670153742622755E-4</v>
      </c>
      <c r="T1179" s="5">
        <v>45746</v>
      </c>
      <c r="U1179" s="1">
        <v>3.9670153742622755E-4</v>
      </c>
    </row>
    <row r="1180" spans="3:21" x14ac:dyDescent="0.2">
      <c r="C1180" s="5">
        <v>45747</v>
      </c>
      <c r="D1180" s="6">
        <v>0.99982000000000004</v>
      </c>
      <c r="E1180" s="6">
        <v>82504.399999999994</v>
      </c>
      <c r="F1180" s="6">
        <v>82511.47</v>
      </c>
      <c r="G1180" s="6">
        <v>82500.100000000006</v>
      </c>
      <c r="H1180" s="6">
        <v>82543</v>
      </c>
      <c r="I1180" s="5">
        <v>45747</v>
      </c>
      <c r="J1180" s="7">
        <f t="shared" si="110"/>
        <v>-4.6763505082206633E-4</v>
      </c>
      <c r="K1180" s="5">
        <v>45747</v>
      </c>
      <c r="L1180" s="8">
        <f t="shared" si="111"/>
        <v>1.3781801476598626E-4</v>
      </c>
      <c r="M1180" s="5">
        <v>45747</v>
      </c>
      <c r="N1180" s="9">
        <f t="shared" si="108"/>
        <v>-3.2981703605608004E-4</v>
      </c>
      <c r="O1180" s="5">
        <v>45747</v>
      </c>
      <c r="P1180">
        <f t="shared" si="109"/>
        <v>1.0005199993696976</v>
      </c>
      <c r="Q1180" s="6">
        <f t="shared" si="112"/>
        <v>1.000180032405833</v>
      </c>
      <c r="R1180">
        <f t="shared" si="113"/>
        <v>3.3984801493195364E-4</v>
      </c>
      <c r="T1180" s="5">
        <v>45747</v>
      </c>
      <c r="U1180" s="1">
        <v>3.3984801493195364E-4</v>
      </c>
    </row>
    <row r="1181" spans="3:21" x14ac:dyDescent="0.2">
      <c r="C1181" s="5">
        <v>45748</v>
      </c>
      <c r="D1181" s="6">
        <v>1.0000599999999999</v>
      </c>
      <c r="E1181" s="6">
        <v>85130.5</v>
      </c>
      <c r="F1181" s="6">
        <v>85152.5</v>
      </c>
      <c r="G1181" s="6">
        <v>85124.1</v>
      </c>
      <c r="H1181" s="6">
        <v>85162.3</v>
      </c>
      <c r="I1181" s="5">
        <v>45748</v>
      </c>
      <c r="J1181" s="7">
        <f t="shared" si="110"/>
        <v>-3.7340466380080044E-4</v>
      </c>
      <c r="K1181" s="5">
        <v>45748</v>
      </c>
      <c r="L1181" s="8">
        <f t="shared" si="111"/>
        <v>3.336305464609221E-4</v>
      </c>
      <c r="M1181" s="5">
        <v>45748</v>
      </c>
      <c r="N1181" s="9">
        <f t="shared" si="108"/>
        <v>-3.9774117339878335E-5</v>
      </c>
      <c r="O1181" s="5">
        <v>45748</v>
      </c>
      <c r="P1181">
        <f t="shared" si="109"/>
        <v>1.000448756580099</v>
      </c>
      <c r="Q1181" s="6">
        <f t="shared" si="112"/>
        <v>0.99994000359978408</v>
      </c>
      <c r="R1181">
        <f t="shared" si="113"/>
        <v>5.0865411905063782E-4</v>
      </c>
      <c r="T1181" s="5">
        <v>45748</v>
      </c>
      <c r="U1181" s="1">
        <v>5.0865411905063782E-4</v>
      </c>
    </row>
    <row r="1182" spans="3:21" x14ac:dyDescent="0.2">
      <c r="C1182" s="5">
        <v>45749</v>
      </c>
      <c r="D1182" s="6">
        <v>0.99975999999999998</v>
      </c>
      <c r="E1182" s="6">
        <v>82468.100000000006</v>
      </c>
      <c r="F1182" s="6">
        <v>82525.279999999999</v>
      </c>
      <c r="G1182" s="6">
        <v>82459.3</v>
      </c>
      <c r="H1182" s="6">
        <v>82501.5</v>
      </c>
      <c r="I1182" s="5">
        <v>45749</v>
      </c>
      <c r="J1182" s="7">
        <f t="shared" si="110"/>
        <v>-4.0484112410070337E-4</v>
      </c>
      <c r="K1182" s="5">
        <v>45749</v>
      </c>
      <c r="L1182" s="8">
        <f t="shared" si="111"/>
        <v>8.0015231756752636E-4</v>
      </c>
      <c r="M1182" s="5">
        <v>45749</v>
      </c>
      <c r="N1182" s="9">
        <f t="shared" si="108"/>
        <v>3.9531119346682299E-4</v>
      </c>
      <c r="O1182" s="5">
        <v>45749</v>
      </c>
      <c r="P1182">
        <f t="shared" si="109"/>
        <v>1.0005117676235427</v>
      </c>
      <c r="Q1182" s="6">
        <f t="shared" si="112"/>
        <v>1.0002400576138273</v>
      </c>
      <c r="R1182">
        <f t="shared" si="113"/>
        <v>2.7160791054474441E-4</v>
      </c>
      <c r="T1182" s="5">
        <v>45749</v>
      </c>
      <c r="U1182" s="1">
        <v>2.7160791054474441E-4</v>
      </c>
    </row>
    <row r="1183" spans="3:21" x14ac:dyDescent="0.2">
      <c r="C1183" s="5">
        <v>45750</v>
      </c>
      <c r="D1183" s="6">
        <v>0.99953999999999998</v>
      </c>
      <c r="E1183" s="6">
        <v>83175.199999999997</v>
      </c>
      <c r="F1183" s="6">
        <v>83199.13</v>
      </c>
      <c r="G1183" s="6">
        <v>83136.3</v>
      </c>
      <c r="H1183" s="6">
        <v>83210.2</v>
      </c>
      <c r="I1183" s="5">
        <v>45750</v>
      </c>
      <c r="J1183" s="7">
        <f t="shared" si="110"/>
        <v>-4.2062151034368385E-4</v>
      </c>
      <c r="K1183" s="5">
        <v>45750</v>
      </c>
      <c r="L1183" s="8">
        <f t="shared" si="111"/>
        <v>7.557468879418707E-4</v>
      </c>
      <c r="M1183" s="5">
        <v>45750</v>
      </c>
      <c r="N1183" s="9">
        <f t="shared" si="108"/>
        <v>3.3512537759818685E-4</v>
      </c>
      <c r="O1183" s="5">
        <v>45750</v>
      </c>
      <c r="P1183">
        <f t="shared" si="109"/>
        <v>1.0008889017192248</v>
      </c>
      <c r="Q1183" s="6">
        <f t="shared" si="112"/>
        <v>1.0004602116973809</v>
      </c>
      <c r="R1183">
        <f t="shared" si="113"/>
        <v>4.2840104759993514E-4</v>
      </c>
      <c r="T1183" s="5">
        <v>45750</v>
      </c>
      <c r="U1183" s="1">
        <v>4.2840104759993514E-4</v>
      </c>
    </row>
    <row r="1184" spans="3:21" x14ac:dyDescent="0.2">
      <c r="C1184" s="5">
        <v>45751</v>
      </c>
      <c r="D1184" s="6">
        <v>0.99965999999999999</v>
      </c>
      <c r="E1184" s="6">
        <v>83862.100000000006</v>
      </c>
      <c r="F1184" s="6">
        <v>83828</v>
      </c>
      <c r="G1184" s="6">
        <v>83821.100000000006</v>
      </c>
      <c r="H1184" s="6">
        <v>83893</v>
      </c>
      <c r="I1184" s="5">
        <v>45751</v>
      </c>
      <c r="J1184" s="7">
        <f t="shared" si="110"/>
        <v>-3.6832632043190945E-4</v>
      </c>
      <c r="K1184" s="5">
        <v>45751</v>
      </c>
      <c r="L1184" s="8">
        <f t="shared" si="111"/>
        <v>8.2318175256518696E-5</v>
      </c>
      <c r="M1184" s="5">
        <v>45751</v>
      </c>
      <c r="N1184" s="9">
        <f t="shared" si="108"/>
        <v>-2.8600814517539073E-4</v>
      </c>
      <c r="O1184" s="5">
        <v>45751</v>
      </c>
      <c r="P1184">
        <f t="shared" si="109"/>
        <v>1.0008577792465143</v>
      </c>
      <c r="Q1184" s="6">
        <f t="shared" si="112"/>
        <v>1.0003401156393175</v>
      </c>
      <c r="R1184">
        <f t="shared" si="113"/>
        <v>5.1735375103677966E-4</v>
      </c>
      <c r="T1184" s="5">
        <v>45751</v>
      </c>
      <c r="U1184" s="1">
        <v>5.1735375103677966E-4</v>
      </c>
    </row>
    <row r="1185" spans="3:21" x14ac:dyDescent="0.2">
      <c r="C1185" s="5">
        <v>45752</v>
      </c>
      <c r="D1185" s="6">
        <v>0.99960000000000004</v>
      </c>
      <c r="E1185" s="6">
        <v>83496.7</v>
      </c>
      <c r="F1185" s="6">
        <v>83423.710000000006</v>
      </c>
      <c r="G1185" s="6">
        <v>83461.899999999994</v>
      </c>
      <c r="H1185" s="6">
        <v>83534.3</v>
      </c>
      <c r="I1185" s="5">
        <v>45752</v>
      </c>
      <c r="J1185" s="7">
        <f t="shared" si="110"/>
        <v>-4.5011450386255492E-4</v>
      </c>
      <c r="K1185" s="5">
        <v>45752</v>
      </c>
      <c r="L1185" s="8">
        <f t="shared" si="111"/>
        <v>-4.5757405474818784E-4</v>
      </c>
      <c r="M1185" s="5">
        <v>45752</v>
      </c>
      <c r="N1185" s="9">
        <f t="shared" si="108"/>
        <v>-9.0768855861074276E-4</v>
      </c>
      <c r="O1185" s="5">
        <v>45752</v>
      </c>
      <c r="P1185">
        <f t="shared" si="109"/>
        <v>1.0008674616801201</v>
      </c>
      <c r="Q1185" s="6">
        <f t="shared" si="112"/>
        <v>1.0004001600640255</v>
      </c>
      <c r="R1185">
        <f t="shared" si="113"/>
        <v>4.6700563134098111E-4</v>
      </c>
      <c r="T1185" s="5">
        <v>45752</v>
      </c>
      <c r="U1185" s="1">
        <v>4.6700563134098111E-4</v>
      </c>
    </row>
    <row r="1186" spans="3:21" x14ac:dyDescent="0.2">
      <c r="C1186" s="5">
        <v>45753</v>
      </c>
      <c r="D1186" s="6">
        <v>0.99926000000000004</v>
      </c>
      <c r="E1186" s="6">
        <v>78376.100000000006</v>
      </c>
      <c r="F1186" s="6">
        <v>78301.149999999994</v>
      </c>
      <c r="G1186" s="6">
        <v>78322.8</v>
      </c>
      <c r="H1186" s="6">
        <v>78417.600000000006</v>
      </c>
      <c r="I1186" s="5">
        <v>45753</v>
      </c>
      <c r="J1186" s="7">
        <f t="shared" si="110"/>
        <v>-5.292179306686254E-4</v>
      </c>
      <c r="K1186" s="5">
        <v>45753</v>
      </c>
      <c r="L1186" s="8">
        <f t="shared" si="111"/>
        <v>-2.7642014841155744E-4</v>
      </c>
      <c r="M1186" s="5">
        <v>45753</v>
      </c>
      <c r="N1186" s="9">
        <f t="shared" si="108"/>
        <v>-8.0563807908018285E-4</v>
      </c>
      <c r="O1186" s="5">
        <v>45753</v>
      </c>
      <c r="P1186">
        <f t="shared" si="109"/>
        <v>1.0012103755228363</v>
      </c>
      <c r="Q1186" s="6">
        <f t="shared" si="112"/>
        <v>1.000740548005524</v>
      </c>
      <c r="R1186">
        <f t="shared" si="113"/>
        <v>4.6936967376772707E-4</v>
      </c>
      <c r="T1186" s="5">
        <v>45753</v>
      </c>
      <c r="U1186" s="1">
        <v>4.6936967376772707E-4</v>
      </c>
    </row>
    <row r="1187" spans="3:21" x14ac:dyDescent="0.2">
      <c r="C1187" s="5">
        <v>45754</v>
      </c>
      <c r="D1187" s="6">
        <v>0.99955000000000005</v>
      </c>
      <c r="E1187" s="6">
        <v>79144.100000000006</v>
      </c>
      <c r="F1187" s="6">
        <v>79165.710000000006</v>
      </c>
      <c r="G1187" s="6">
        <v>79096</v>
      </c>
      <c r="H1187" s="6">
        <v>79178</v>
      </c>
      <c r="I1187" s="5">
        <v>45754</v>
      </c>
      <c r="J1187" s="7">
        <f t="shared" si="110"/>
        <v>-4.2814923337283311E-4</v>
      </c>
      <c r="K1187" s="5">
        <v>45754</v>
      </c>
      <c r="L1187" s="8">
        <f t="shared" si="111"/>
        <v>8.8133407504812386E-4</v>
      </c>
      <c r="M1187" s="5">
        <v>45754</v>
      </c>
      <c r="N1187" s="9">
        <f t="shared" si="108"/>
        <v>4.5318484167529075E-4</v>
      </c>
      <c r="O1187" s="5">
        <v>45754</v>
      </c>
      <c r="P1187">
        <f t="shared" si="109"/>
        <v>1.0010367148781227</v>
      </c>
      <c r="Q1187" s="6">
        <f t="shared" si="112"/>
        <v>1.0004502025911659</v>
      </c>
      <c r="R1187">
        <f t="shared" si="113"/>
        <v>5.8607657999240376E-4</v>
      </c>
      <c r="T1187" s="5">
        <v>45754</v>
      </c>
      <c r="U1187" s="1">
        <v>5.8607657999240376E-4</v>
      </c>
    </row>
    <row r="1188" spans="3:21" x14ac:dyDescent="0.2">
      <c r="C1188" s="5">
        <v>45755</v>
      </c>
      <c r="D1188" s="6">
        <v>0.99912999999999996</v>
      </c>
      <c r="E1188" s="6">
        <v>76286.899999999994</v>
      </c>
      <c r="F1188" s="6">
        <v>76279.570000000007</v>
      </c>
      <c r="G1188" s="6">
        <v>76232.7</v>
      </c>
      <c r="H1188" s="6">
        <v>76322.100000000006</v>
      </c>
      <c r="I1188" s="5">
        <v>45755</v>
      </c>
      <c r="J1188" s="7">
        <f t="shared" si="110"/>
        <v>-4.6120324257340454E-4</v>
      </c>
      <c r="K1188" s="5">
        <v>45755</v>
      </c>
      <c r="L1188" s="8">
        <f t="shared" si="111"/>
        <v>6.1482801999679793E-4</v>
      </c>
      <c r="M1188" s="5">
        <v>45755</v>
      </c>
      <c r="N1188" s="9">
        <f t="shared" si="108"/>
        <v>1.5362477742339339E-4</v>
      </c>
      <c r="O1188" s="5">
        <v>45755</v>
      </c>
      <c r="P1188">
        <f t="shared" si="109"/>
        <v>1.0011727250904141</v>
      </c>
      <c r="Q1188" s="6">
        <f t="shared" si="112"/>
        <v>1.0008707575590765</v>
      </c>
      <c r="R1188">
        <f t="shared" si="113"/>
        <v>3.0165931583840271E-4</v>
      </c>
      <c r="T1188" s="5">
        <v>45755</v>
      </c>
      <c r="U1188" s="1">
        <v>3.0165931583840271E-4</v>
      </c>
    </row>
    <row r="1189" spans="3:21" x14ac:dyDescent="0.2">
      <c r="C1189" s="5">
        <v>45756</v>
      </c>
      <c r="D1189" s="6">
        <v>0.99982000000000004</v>
      </c>
      <c r="E1189" s="6">
        <v>82593.899999999994</v>
      </c>
      <c r="F1189" s="6">
        <v>82600.59</v>
      </c>
      <c r="G1189" s="6">
        <v>82561.7</v>
      </c>
      <c r="H1189" s="6">
        <v>82617.899999999994</v>
      </c>
      <c r="I1189" s="5">
        <v>45756</v>
      </c>
      <c r="J1189" s="7">
        <f t="shared" si="110"/>
        <v>-2.9049394864793225E-4</v>
      </c>
      <c r="K1189" s="5">
        <v>45756</v>
      </c>
      <c r="L1189" s="8">
        <f t="shared" si="111"/>
        <v>4.7104165733020785E-4</v>
      </c>
      <c r="M1189" s="5">
        <v>45756</v>
      </c>
      <c r="N1189" s="9">
        <f t="shared" si="108"/>
        <v>1.805477086822756E-4</v>
      </c>
      <c r="O1189" s="5">
        <v>45756</v>
      </c>
      <c r="P1189">
        <f t="shared" si="109"/>
        <v>1.0006807030378493</v>
      </c>
      <c r="Q1189" s="6">
        <f t="shared" si="112"/>
        <v>1.000180032405833</v>
      </c>
      <c r="R1189">
        <f t="shared" si="113"/>
        <v>5.0045526267465223E-4</v>
      </c>
      <c r="T1189" s="5">
        <v>45756</v>
      </c>
      <c r="U1189" s="1">
        <v>5.0045526267465223E-4</v>
      </c>
    </row>
    <row r="1190" spans="3:21" x14ac:dyDescent="0.2">
      <c r="C1190" s="5">
        <v>45757</v>
      </c>
      <c r="D1190" s="6">
        <v>0.99938000000000005</v>
      </c>
      <c r="E1190" s="6">
        <v>79557.5</v>
      </c>
      <c r="F1190" s="6">
        <v>79592.88</v>
      </c>
      <c r="G1190" s="6">
        <v>79520</v>
      </c>
      <c r="H1190" s="6">
        <v>79597.8</v>
      </c>
      <c r="I1190" s="5">
        <v>45757</v>
      </c>
      <c r="J1190" s="7">
        <f t="shared" si="110"/>
        <v>-5.0629540012416061E-4</v>
      </c>
      <c r="K1190" s="5">
        <v>45757</v>
      </c>
      <c r="L1190" s="8">
        <f t="shared" si="111"/>
        <v>9.1649899396384121E-4</v>
      </c>
      <c r="M1190" s="5">
        <v>45757</v>
      </c>
      <c r="N1190" s="9">
        <f t="shared" si="108"/>
        <v>4.102035938396806E-4</v>
      </c>
      <c r="O1190" s="5">
        <v>45757</v>
      </c>
      <c r="P1190">
        <f t="shared" si="109"/>
        <v>1.000978370221328</v>
      </c>
      <c r="Q1190" s="6">
        <f t="shared" si="112"/>
        <v>1.0006203846384758</v>
      </c>
      <c r="R1190">
        <f t="shared" si="113"/>
        <v>3.5769964964260567E-4</v>
      </c>
      <c r="T1190" s="5">
        <v>45757</v>
      </c>
      <c r="U1190" s="1">
        <v>3.5769964964260567E-4</v>
      </c>
    </row>
    <row r="1191" spans="3:21" x14ac:dyDescent="0.2">
      <c r="C1191" s="5">
        <v>45758</v>
      </c>
      <c r="D1191" s="6">
        <v>0.99958000000000002</v>
      </c>
      <c r="E1191" s="6">
        <v>83382.8</v>
      </c>
      <c r="F1191" s="6">
        <v>83370.69</v>
      </c>
      <c r="G1191" s="6">
        <v>83344</v>
      </c>
      <c r="H1191" s="6">
        <v>83418.3</v>
      </c>
      <c r="I1191" s="5">
        <v>45758</v>
      </c>
      <c r="J1191" s="7">
        <f t="shared" si="110"/>
        <v>-4.2556609281176912E-4</v>
      </c>
      <c r="K1191" s="5">
        <v>45758</v>
      </c>
      <c r="L1191" s="8">
        <f t="shared" si="111"/>
        <v>3.2023900940682389E-4</v>
      </c>
      <c r="M1191" s="5">
        <v>45758</v>
      </c>
      <c r="N1191" s="9">
        <f t="shared" si="108"/>
        <v>-1.0532708340494523E-4</v>
      </c>
      <c r="O1191" s="5">
        <v>45758</v>
      </c>
      <c r="P1191">
        <f t="shared" si="109"/>
        <v>1.0008914858898061</v>
      </c>
      <c r="Q1191" s="6">
        <f t="shared" si="112"/>
        <v>1.0004201764741192</v>
      </c>
      <c r="R1191">
        <f t="shared" si="113"/>
        <v>4.7100052756719805E-4</v>
      </c>
      <c r="T1191" s="5">
        <v>45758</v>
      </c>
      <c r="U1191" s="1">
        <v>4.7100052756719805E-4</v>
      </c>
    </row>
    <row r="1192" spans="3:21" x14ac:dyDescent="0.2">
      <c r="C1192" s="5">
        <v>45759</v>
      </c>
      <c r="D1192" s="6">
        <v>0.99983999999999995</v>
      </c>
      <c r="E1192" s="6">
        <v>85238.399999999994</v>
      </c>
      <c r="F1192" s="6">
        <v>85378.92</v>
      </c>
      <c r="G1192" s="6">
        <v>85228</v>
      </c>
      <c r="H1192" s="6">
        <v>85280</v>
      </c>
      <c r="I1192" s="5">
        <v>45759</v>
      </c>
      <c r="J1192" s="7">
        <f t="shared" si="110"/>
        <v>-4.8780487804884874E-4</v>
      </c>
      <c r="K1192" s="5">
        <v>45759</v>
      </c>
      <c r="L1192" s="8">
        <f t="shared" si="111"/>
        <v>1.7707795560144349E-3</v>
      </c>
      <c r="M1192" s="5">
        <v>45759</v>
      </c>
      <c r="N1192" s="9">
        <f t="shared" si="108"/>
        <v>1.2829746779655861E-3</v>
      </c>
      <c r="O1192" s="5">
        <v>45759</v>
      </c>
      <c r="P1192">
        <f t="shared" si="109"/>
        <v>1.0006101281269066</v>
      </c>
      <c r="Q1192" s="6">
        <f t="shared" si="112"/>
        <v>1.0001600256040968</v>
      </c>
      <c r="R1192">
        <f t="shared" si="113"/>
        <v>4.4992927304870865E-4</v>
      </c>
      <c r="T1192" s="5">
        <v>45759</v>
      </c>
      <c r="U1192" s="1">
        <v>4.4992927304870865E-4</v>
      </c>
    </row>
    <row r="1193" spans="3:21" x14ac:dyDescent="0.2">
      <c r="C1193" s="5">
        <v>45760</v>
      </c>
      <c r="D1193" s="6">
        <v>0.99973999999999996</v>
      </c>
      <c r="E1193" s="6">
        <v>83716.800000000003</v>
      </c>
      <c r="F1193" s="6">
        <v>83776.539999999994</v>
      </c>
      <c r="G1193" s="6">
        <v>83691.3</v>
      </c>
      <c r="H1193" s="6">
        <v>83753.5</v>
      </c>
      <c r="I1193" s="5">
        <v>45760</v>
      </c>
      <c r="J1193" s="7">
        <f t="shared" si="110"/>
        <v>-4.38190642779073E-4</v>
      </c>
      <c r="K1193" s="5">
        <v>45760</v>
      </c>
      <c r="L1193" s="8">
        <f t="shared" si="111"/>
        <v>1.0185049103071727E-3</v>
      </c>
      <c r="M1193" s="5">
        <v>45760</v>
      </c>
      <c r="N1193" s="9">
        <f t="shared" si="108"/>
        <v>5.8031426752809968E-4</v>
      </c>
      <c r="O1193" s="5">
        <v>45760</v>
      </c>
      <c r="P1193">
        <f t="shared" si="109"/>
        <v>1.0007432074779576</v>
      </c>
      <c r="Q1193" s="6">
        <f t="shared" si="112"/>
        <v>1.0002600676175806</v>
      </c>
      <c r="R1193">
        <f t="shared" si="113"/>
        <v>4.8289763018260329E-4</v>
      </c>
      <c r="T1193" s="5">
        <v>45760</v>
      </c>
      <c r="U1193" s="1">
        <v>4.8289763018260329E-4</v>
      </c>
    </row>
    <row r="1194" spans="3:21" x14ac:dyDescent="0.2">
      <c r="C1194" s="5">
        <v>45761</v>
      </c>
      <c r="D1194" s="6">
        <v>0.99994000000000005</v>
      </c>
      <c r="E1194" s="6">
        <v>84547.4</v>
      </c>
      <c r="F1194" s="6">
        <v>84619.72</v>
      </c>
      <c r="G1194" s="6">
        <v>84538</v>
      </c>
      <c r="H1194" s="6">
        <v>84592.1</v>
      </c>
      <c r="I1194" s="5">
        <v>45761</v>
      </c>
      <c r="J1194" s="7">
        <f t="shared" si="110"/>
        <v>-5.2841813833693263E-4</v>
      </c>
      <c r="K1194" s="5">
        <v>45761</v>
      </c>
      <c r="L1194" s="8">
        <f t="shared" si="111"/>
        <v>9.6666587806668199E-4</v>
      </c>
      <c r="M1194" s="5">
        <v>45761</v>
      </c>
      <c r="N1194" s="9">
        <f t="shared" si="108"/>
        <v>4.3824773972974936E-4</v>
      </c>
      <c r="O1194" s="5">
        <v>45761</v>
      </c>
      <c r="P1194">
        <f t="shared" si="109"/>
        <v>1.0006399488987201</v>
      </c>
      <c r="Q1194" s="6">
        <f t="shared" si="112"/>
        <v>1.0000600036002159</v>
      </c>
      <c r="R1194">
        <f t="shared" si="113"/>
        <v>5.7974241867022507E-4</v>
      </c>
      <c r="T1194" s="5">
        <v>45761</v>
      </c>
      <c r="U1194" s="1">
        <v>5.7974241867022507E-4</v>
      </c>
    </row>
    <row r="1195" spans="3:21" x14ac:dyDescent="0.2">
      <c r="C1195" s="5">
        <v>45762</v>
      </c>
      <c r="D1195" s="6">
        <v>0.99988999999999995</v>
      </c>
      <c r="E1195" s="6">
        <v>83603.7</v>
      </c>
      <c r="F1195" s="6">
        <v>83703.210000000006</v>
      </c>
      <c r="G1195" s="6">
        <v>83608.2</v>
      </c>
      <c r="H1195" s="6">
        <v>83645.8</v>
      </c>
      <c r="I1195" s="5">
        <v>45762</v>
      </c>
      <c r="J1195" s="7">
        <f t="shared" si="110"/>
        <v>-5.0331277840615812E-4</v>
      </c>
      <c r="K1195" s="5">
        <v>45762</v>
      </c>
      <c r="L1195" s="8">
        <f t="shared" si="111"/>
        <v>1.1363717912837416E-3</v>
      </c>
      <c r="M1195" s="5">
        <v>45762</v>
      </c>
      <c r="N1195" s="9">
        <f t="shared" si="108"/>
        <v>6.3305901287758349E-4</v>
      </c>
      <c r="O1195" s="5">
        <v>45762</v>
      </c>
      <c r="P1195">
        <f t="shared" si="109"/>
        <v>1.0004497166545867</v>
      </c>
      <c r="Q1195" s="6">
        <f t="shared" si="112"/>
        <v>1.0001100121013311</v>
      </c>
      <c r="R1195">
        <f t="shared" si="113"/>
        <v>3.3960951191576438E-4</v>
      </c>
      <c r="T1195" s="5">
        <v>45762</v>
      </c>
      <c r="U1195" s="1">
        <v>3.3960951191576438E-4</v>
      </c>
    </row>
    <row r="1196" spans="3:21" x14ac:dyDescent="0.2">
      <c r="C1196" s="5">
        <v>45763</v>
      </c>
      <c r="D1196" s="6">
        <v>1.0000199999999999</v>
      </c>
      <c r="E1196" s="6">
        <v>83986</v>
      </c>
      <c r="F1196" s="6">
        <v>84034.71</v>
      </c>
      <c r="G1196" s="6">
        <v>84003</v>
      </c>
      <c r="H1196" s="6">
        <v>84033.4</v>
      </c>
      <c r="I1196" s="5">
        <v>45763</v>
      </c>
      <c r="J1196" s="7">
        <f t="shared" si="110"/>
        <v>-5.6406143271596986E-4</v>
      </c>
      <c r="K1196" s="5">
        <v>45763</v>
      </c>
      <c r="L1196" s="8">
        <f t="shared" si="111"/>
        <v>3.7748651833870698E-4</v>
      </c>
      <c r="M1196" s="5">
        <v>45763</v>
      </c>
      <c r="N1196" s="9">
        <f t="shared" si="108"/>
        <v>-1.8657491437726288E-4</v>
      </c>
      <c r="O1196" s="5">
        <v>45763</v>
      </c>
      <c r="P1196">
        <f t="shared" si="109"/>
        <v>1.0003618918371961</v>
      </c>
      <c r="Q1196" s="6">
        <f t="shared" si="112"/>
        <v>0.99998000039999213</v>
      </c>
      <c r="R1196">
        <f t="shared" si="113"/>
        <v>3.8182617014202632E-4</v>
      </c>
      <c r="T1196" s="5">
        <v>45763</v>
      </c>
      <c r="U1196" s="1">
        <v>3.8182617014202632E-4</v>
      </c>
    </row>
    <row r="1197" spans="3:21" x14ac:dyDescent="0.2">
      <c r="C1197" s="5">
        <v>45764</v>
      </c>
      <c r="D1197" s="6">
        <v>1.00007</v>
      </c>
      <c r="E1197" s="6">
        <v>84906.5</v>
      </c>
      <c r="F1197" s="6">
        <v>84956.87</v>
      </c>
      <c r="G1197" s="6">
        <v>84911.6</v>
      </c>
      <c r="H1197" s="6">
        <v>84950.3</v>
      </c>
      <c r="I1197" s="5">
        <v>45764</v>
      </c>
      <c r="J1197" s="7">
        <f t="shared" si="110"/>
        <v>-5.1559558942114285E-4</v>
      </c>
      <c r="K1197" s="5">
        <v>45764</v>
      </c>
      <c r="L1197" s="8">
        <f t="shared" si="111"/>
        <v>5.3314270370584838E-4</v>
      </c>
      <c r="M1197" s="5">
        <v>45764</v>
      </c>
      <c r="N1197" s="9">
        <f t="shared" si="108"/>
        <v>1.7547114284705533E-5</v>
      </c>
      <c r="O1197" s="5">
        <v>45764</v>
      </c>
      <c r="P1197">
        <f t="shared" si="109"/>
        <v>1.0004557681164881</v>
      </c>
      <c r="Q1197" s="6">
        <f t="shared" si="112"/>
        <v>0.999930004899657</v>
      </c>
      <c r="R1197">
        <f t="shared" si="113"/>
        <v>5.2566183586161665E-4</v>
      </c>
      <c r="T1197" s="5">
        <v>45764</v>
      </c>
      <c r="U1197" s="1">
        <v>5.2566183586161665E-4</v>
      </c>
    </row>
    <row r="1198" spans="3:21" x14ac:dyDescent="0.2">
      <c r="C1198" s="5">
        <v>45765</v>
      </c>
      <c r="D1198" s="6">
        <v>0.99985999999999997</v>
      </c>
      <c r="E1198" s="6">
        <v>84419.6</v>
      </c>
      <c r="F1198" s="6">
        <v>84518.67</v>
      </c>
      <c r="G1198" s="6">
        <v>84416</v>
      </c>
      <c r="H1198" s="6">
        <v>84461.7</v>
      </c>
      <c r="I1198" s="5">
        <v>45765</v>
      </c>
      <c r="J1198" s="7">
        <f t="shared" si="110"/>
        <v>-4.9845077709768178E-4</v>
      </c>
      <c r="K1198" s="5">
        <v>45765</v>
      </c>
      <c r="L1198" s="8">
        <f t="shared" si="111"/>
        <v>1.2162386277482734E-3</v>
      </c>
      <c r="M1198" s="5">
        <v>45765</v>
      </c>
      <c r="N1198" s="9">
        <f t="shared" si="108"/>
        <v>7.1778785065059164E-4</v>
      </c>
      <c r="O1198" s="5">
        <v>45765</v>
      </c>
      <c r="P1198">
        <f t="shared" si="109"/>
        <v>1.00054136656558</v>
      </c>
      <c r="Q1198" s="6">
        <f t="shared" si="112"/>
        <v>1.0001400196027443</v>
      </c>
      <c r="R1198">
        <f t="shared" si="113"/>
        <v>4.0121027865205525E-4</v>
      </c>
      <c r="T1198" s="5">
        <v>45765</v>
      </c>
      <c r="U1198" s="1">
        <v>4.0121027865205525E-4</v>
      </c>
    </row>
    <row r="1199" spans="3:21" x14ac:dyDescent="0.2">
      <c r="C1199" s="5">
        <v>45766</v>
      </c>
      <c r="D1199" s="6">
        <v>0.99992999999999999</v>
      </c>
      <c r="E1199" s="6">
        <v>85048.5</v>
      </c>
      <c r="F1199" s="6">
        <v>85033.07</v>
      </c>
      <c r="G1199" s="6">
        <v>85028.1</v>
      </c>
      <c r="H1199" s="6">
        <v>85086.8</v>
      </c>
      <c r="I1199" s="5">
        <v>45766</v>
      </c>
      <c r="J1199" s="7">
        <f t="shared" si="110"/>
        <v>-4.5012857458504621E-4</v>
      </c>
      <c r="K1199" s="5">
        <v>45766</v>
      </c>
      <c r="L1199" s="8">
        <f t="shared" si="111"/>
        <v>5.845126493478231E-5</v>
      </c>
      <c r="M1199" s="5">
        <v>45766</v>
      </c>
      <c r="N1199" s="9">
        <f t="shared" si="108"/>
        <v>-3.9167730965026387E-4</v>
      </c>
      <c r="O1199" s="5">
        <v>45766</v>
      </c>
      <c r="P1199">
        <f t="shared" si="109"/>
        <v>1.0006903600103965</v>
      </c>
      <c r="Q1199" s="6">
        <f t="shared" si="112"/>
        <v>1.000070004900343</v>
      </c>
      <c r="R1199">
        <f t="shared" si="113"/>
        <v>6.2011937142786473E-4</v>
      </c>
      <c r="T1199" s="5">
        <v>45766</v>
      </c>
      <c r="U1199" s="1">
        <v>6.2011937142786473E-4</v>
      </c>
    </row>
    <row r="1200" spans="3:21" x14ac:dyDescent="0.2">
      <c r="C1200" s="5">
        <v>45767</v>
      </c>
      <c r="D1200" s="6">
        <v>0.99995000000000001</v>
      </c>
      <c r="E1200" s="6">
        <v>85145.5</v>
      </c>
      <c r="F1200" s="6">
        <v>85224.26</v>
      </c>
      <c r="G1200" s="6">
        <v>85141</v>
      </c>
      <c r="H1200" s="6">
        <v>85184.4</v>
      </c>
      <c r="I1200" s="5">
        <v>45767</v>
      </c>
      <c r="J1200" s="7">
        <f t="shared" si="110"/>
        <v>-4.5665638309354978E-4</v>
      </c>
      <c r="K1200" s="5">
        <v>45767</v>
      </c>
      <c r="L1200" s="8">
        <f t="shared" si="111"/>
        <v>9.779072362316012E-4</v>
      </c>
      <c r="M1200" s="5">
        <v>45767</v>
      </c>
      <c r="N1200" s="9">
        <f t="shared" si="108"/>
        <v>5.2125085313805143E-4</v>
      </c>
      <c r="O1200" s="5">
        <v>45767</v>
      </c>
      <c r="P1200">
        <f t="shared" si="109"/>
        <v>1.0005097426621721</v>
      </c>
      <c r="Q1200" s="6">
        <f t="shared" si="112"/>
        <v>1.0000500025001251</v>
      </c>
      <c r="R1200">
        <f t="shared" si="113"/>
        <v>4.5961153747274785E-4</v>
      </c>
      <c r="T1200" s="5">
        <v>45767</v>
      </c>
      <c r="U1200" s="1">
        <v>4.5961153747274785E-4</v>
      </c>
    </row>
    <row r="1201" spans="3:21" x14ac:dyDescent="0.2">
      <c r="C1201" s="5">
        <v>45768</v>
      </c>
      <c r="D1201" s="6">
        <v>1.00007</v>
      </c>
      <c r="E1201" s="6">
        <v>87471.1</v>
      </c>
      <c r="F1201" s="6">
        <v>87508.46</v>
      </c>
      <c r="G1201" s="6">
        <v>87469.1</v>
      </c>
      <c r="H1201" s="6">
        <v>87514.4</v>
      </c>
      <c r="I1201" s="5">
        <v>45768</v>
      </c>
      <c r="J1201" s="7">
        <f t="shared" si="110"/>
        <v>-4.947757169104554E-4</v>
      </c>
      <c r="K1201" s="5">
        <v>45768</v>
      </c>
      <c r="L1201" s="8">
        <f t="shared" si="111"/>
        <v>4.4998748129340053E-4</v>
      </c>
      <c r="M1201" s="5">
        <v>45768</v>
      </c>
      <c r="N1201" s="9">
        <f t="shared" si="108"/>
        <v>-4.4788235617054871E-5</v>
      </c>
      <c r="O1201" s="5">
        <v>45768</v>
      </c>
      <c r="P1201">
        <f t="shared" si="109"/>
        <v>1.0005178971774031</v>
      </c>
      <c r="Q1201" s="6">
        <f t="shared" si="112"/>
        <v>0.999930004899657</v>
      </c>
      <c r="R1201">
        <f t="shared" si="113"/>
        <v>5.8776066505946594E-4</v>
      </c>
      <c r="T1201" s="5">
        <v>45768</v>
      </c>
      <c r="U1201" s="1">
        <v>5.8776066505946594E-4</v>
      </c>
    </row>
    <row r="1202" spans="3:21" x14ac:dyDescent="0.2">
      <c r="C1202" s="5">
        <v>45769</v>
      </c>
      <c r="D1202" s="6">
        <v>1.00044</v>
      </c>
      <c r="E1202" s="6">
        <v>93400</v>
      </c>
      <c r="F1202" s="6">
        <v>93373.52</v>
      </c>
      <c r="G1202" s="6">
        <v>93463.1</v>
      </c>
      <c r="H1202" s="6">
        <v>93444.2</v>
      </c>
      <c r="I1202" s="5">
        <v>45769</v>
      </c>
      <c r="J1202" s="7">
        <f t="shared" si="110"/>
        <v>-4.7300956078597808E-4</v>
      </c>
      <c r="K1202" s="5">
        <v>45769</v>
      </c>
      <c r="L1202" s="8">
        <f t="shared" si="111"/>
        <v>-9.5845312214127014E-4</v>
      </c>
      <c r="M1202" s="5">
        <v>45769</v>
      </c>
      <c r="N1202" s="9">
        <f t="shared" si="108"/>
        <v>-1.4314626829272483E-3</v>
      </c>
      <c r="O1202" s="5">
        <v>45769</v>
      </c>
      <c r="P1202">
        <f t="shared" si="109"/>
        <v>0.99979778115641349</v>
      </c>
      <c r="Q1202" s="6">
        <f t="shared" si="112"/>
        <v>0.99956019351485348</v>
      </c>
      <c r="R1202">
        <f t="shared" si="113"/>
        <v>2.3766393581167326E-4</v>
      </c>
      <c r="T1202" s="5">
        <v>45769</v>
      </c>
      <c r="U1202" s="1">
        <v>2.3766393581167326E-4</v>
      </c>
    </row>
    <row r="1203" spans="3:21" x14ac:dyDescent="0.2">
      <c r="C1203" s="5">
        <v>45770</v>
      </c>
      <c r="D1203" s="6">
        <v>1.00037</v>
      </c>
      <c r="E1203" s="6">
        <v>93635.199999999997</v>
      </c>
      <c r="F1203" s="6">
        <v>93749.45</v>
      </c>
      <c r="G1203" s="6">
        <v>93684.1</v>
      </c>
      <c r="H1203" s="6">
        <v>93682.5</v>
      </c>
      <c r="I1203" s="5">
        <v>45770</v>
      </c>
      <c r="J1203" s="7">
        <f t="shared" si="110"/>
        <v>-5.048968590718961E-4</v>
      </c>
      <c r="K1203" s="5">
        <v>45770</v>
      </c>
      <c r="L1203" s="8">
        <f t="shared" si="111"/>
        <v>6.9755700273569645E-4</v>
      </c>
      <c r="M1203" s="5">
        <v>45770</v>
      </c>
      <c r="N1203" s="9">
        <f t="shared" si="108"/>
        <v>1.9266014366380035E-4</v>
      </c>
      <c r="O1203" s="5">
        <v>45770</v>
      </c>
      <c r="P1203">
        <f t="shared" si="109"/>
        <v>0.99998292132816557</v>
      </c>
      <c r="Q1203" s="6">
        <f t="shared" si="112"/>
        <v>0.99963013684936575</v>
      </c>
      <c r="R1203">
        <f t="shared" si="113"/>
        <v>3.5285274920292731E-4</v>
      </c>
      <c r="T1203" s="5">
        <v>45770</v>
      </c>
      <c r="U1203" s="1">
        <v>3.5285274920292731E-4</v>
      </c>
    </row>
    <row r="1204" spans="3:21" x14ac:dyDescent="0.2">
      <c r="C1204" s="5">
        <v>45771</v>
      </c>
      <c r="D1204" s="6">
        <v>1.00031</v>
      </c>
      <c r="E1204" s="6">
        <v>93945.5</v>
      </c>
      <c r="F1204" s="6">
        <v>94009.82</v>
      </c>
      <c r="G1204" s="6">
        <v>93984</v>
      </c>
      <c r="H1204" s="6">
        <v>93983.8</v>
      </c>
      <c r="I1204" s="5">
        <v>45771</v>
      </c>
      <c r="J1204" s="7">
        <f t="shared" si="110"/>
        <v>-4.0751704017078378E-4</v>
      </c>
      <c r="K1204" s="5">
        <v>45771</v>
      </c>
      <c r="L1204" s="8">
        <f t="shared" si="111"/>
        <v>2.7472761321083362E-4</v>
      </c>
      <c r="M1204" s="5">
        <v>45771</v>
      </c>
      <c r="N1204" s="9">
        <f t="shared" si="108"/>
        <v>-1.3278942695995016E-4</v>
      </c>
      <c r="O1204" s="5">
        <v>45771</v>
      </c>
      <c r="P1204">
        <f t="shared" si="109"/>
        <v>0.999997871978209</v>
      </c>
      <c r="Q1204" s="6">
        <f t="shared" si="112"/>
        <v>0.99969009607021819</v>
      </c>
      <c r="R1204">
        <f t="shared" si="113"/>
        <v>3.0782393587281792E-4</v>
      </c>
      <c r="T1204" s="5">
        <v>45771</v>
      </c>
      <c r="U1204" s="1">
        <v>3.0782393587281792E-4</v>
      </c>
    </row>
    <row r="1205" spans="3:21" x14ac:dyDescent="0.2">
      <c r="C1205" s="5">
        <v>45772</v>
      </c>
      <c r="D1205" s="6">
        <v>1.0006299999999999</v>
      </c>
      <c r="E1205" s="6">
        <v>94596.2</v>
      </c>
      <c r="F1205" s="6">
        <v>94776.67</v>
      </c>
      <c r="G1205" s="6">
        <v>94675</v>
      </c>
      <c r="H1205" s="6">
        <v>94643.6</v>
      </c>
      <c r="I1205" s="5">
        <v>45772</v>
      </c>
      <c r="J1205" s="7">
        <f t="shared" si="110"/>
        <v>-5.0082625766569239E-4</v>
      </c>
      <c r="K1205" s="5">
        <v>45772</v>
      </c>
      <c r="L1205" s="8">
        <f t="shared" si="111"/>
        <v>1.0738843411671323E-3</v>
      </c>
      <c r="M1205" s="5">
        <v>45772</v>
      </c>
      <c r="N1205" s="9">
        <f t="shared" si="108"/>
        <v>5.7305808350143991E-4</v>
      </c>
      <c r="O1205" s="5">
        <v>45772</v>
      </c>
      <c r="P1205">
        <f t="shared" si="109"/>
        <v>0.99966833905466079</v>
      </c>
      <c r="Q1205" s="6">
        <f t="shared" si="112"/>
        <v>0.99937039665011052</v>
      </c>
      <c r="R1205">
        <f t="shared" si="113"/>
        <v>2.9808567631523707E-4</v>
      </c>
      <c r="T1205" s="5">
        <v>45772</v>
      </c>
      <c r="U1205" s="1">
        <v>2.9808567631523707E-4</v>
      </c>
    </row>
    <row r="1206" spans="3:21" x14ac:dyDescent="0.2">
      <c r="C1206" s="5">
        <v>45773</v>
      </c>
      <c r="D1206" s="6">
        <v>1.0003500000000001</v>
      </c>
      <c r="E1206" s="6">
        <v>94578.3</v>
      </c>
      <c r="F1206" s="6">
        <v>94735.47</v>
      </c>
      <c r="G1206" s="6">
        <v>94612.1</v>
      </c>
      <c r="H1206" s="6">
        <v>94626.3</v>
      </c>
      <c r="I1206" s="5">
        <v>45773</v>
      </c>
      <c r="J1206" s="7">
        <f t="shared" si="110"/>
        <v>-5.0725855285475602E-4</v>
      </c>
      <c r="K1206" s="5">
        <v>45773</v>
      </c>
      <c r="L1206" s="8">
        <f t="shared" si="111"/>
        <v>1.3039558365155761E-3</v>
      </c>
      <c r="M1206" s="5">
        <v>45773</v>
      </c>
      <c r="N1206" s="9">
        <f t="shared" si="108"/>
        <v>7.9669728366082006E-4</v>
      </c>
      <c r="O1206" s="5">
        <v>45773</v>
      </c>
      <c r="P1206">
        <f t="shared" si="109"/>
        <v>1.0001500865111332</v>
      </c>
      <c r="Q1206" s="6">
        <f t="shared" si="112"/>
        <v>0.99965012245713991</v>
      </c>
      <c r="R1206">
        <f t="shared" si="113"/>
        <v>5.0001401356775674E-4</v>
      </c>
      <c r="T1206" s="5">
        <v>45773</v>
      </c>
      <c r="U1206" s="1">
        <v>5.0001401356775674E-4</v>
      </c>
    </row>
    <row r="1207" spans="3:21" x14ac:dyDescent="0.2">
      <c r="C1207" s="5">
        <v>45774</v>
      </c>
      <c r="D1207" s="6">
        <v>1.00034</v>
      </c>
      <c r="E1207" s="6">
        <v>93700</v>
      </c>
      <c r="F1207" s="6">
        <v>93803.9</v>
      </c>
      <c r="G1207" s="6">
        <v>93722.4</v>
      </c>
      <c r="H1207" s="6">
        <v>93741.6</v>
      </c>
      <c r="I1207" s="5">
        <v>45774</v>
      </c>
      <c r="J1207" s="7">
        <f t="shared" si="110"/>
        <v>-4.4377309540274349E-4</v>
      </c>
      <c r="K1207" s="5">
        <v>45774</v>
      </c>
      <c r="L1207" s="8">
        <f t="shared" si="111"/>
        <v>8.6958934043515753E-4</v>
      </c>
      <c r="M1207" s="5">
        <v>45774</v>
      </c>
      <c r="N1207" s="9">
        <f t="shared" si="108"/>
        <v>4.2581624503241404E-4</v>
      </c>
      <c r="O1207" s="5">
        <v>45774</v>
      </c>
      <c r="P1207">
        <f t="shared" si="109"/>
        <v>1.0002048603108755</v>
      </c>
      <c r="Q1207" s="6">
        <f t="shared" si="112"/>
        <v>0.99966011556070933</v>
      </c>
      <c r="R1207">
        <f t="shared" si="113"/>
        <v>5.4478154296550224E-4</v>
      </c>
      <c r="T1207" s="5">
        <v>45774</v>
      </c>
      <c r="U1207" s="1">
        <v>5.4478154296550224E-4</v>
      </c>
    </row>
    <row r="1208" spans="3:21" x14ac:dyDescent="0.2">
      <c r="C1208" s="5">
        <v>45775</v>
      </c>
      <c r="D1208" s="6">
        <v>1.0002500000000001</v>
      </c>
      <c r="E1208" s="6">
        <v>94969.7</v>
      </c>
      <c r="F1208" s="6">
        <v>95002.96</v>
      </c>
      <c r="G1208" s="6">
        <v>94977.4</v>
      </c>
      <c r="H1208" s="6">
        <v>95009.9</v>
      </c>
      <c r="I1208" s="5">
        <v>45775</v>
      </c>
      <c r="J1208" s="7">
        <f t="shared" si="110"/>
        <v>-4.2311380182483187E-4</v>
      </c>
      <c r="K1208" s="5">
        <v>45775</v>
      </c>
      <c r="L1208" s="8">
        <f t="shared" si="111"/>
        <v>2.6911665301442472E-4</v>
      </c>
      <c r="M1208" s="5">
        <v>45775</v>
      </c>
      <c r="N1208" s="9">
        <f t="shared" si="108"/>
        <v>-1.5399714881040715E-4</v>
      </c>
      <c r="O1208" s="5">
        <v>45775</v>
      </c>
      <c r="P1208">
        <f t="shared" si="109"/>
        <v>1.000342186667565</v>
      </c>
      <c r="Q1208" s="6">
        <f t="shared" si="112"/>
        <v>0.99975006248437881</v>
      </c>
      <c r="R1208">
        <f t="shared" si="113"/>
        <v>5.9209689026702098E-4</v>
      </c>
      <c r="T1208" s="5">
        <v>45775</v>
      </c>
      <c r="U1208" s="1">
        <v>5.9209689026702098E-4</v>
      </c>
    </row>
    <row r="1209" spans="3:21" x14ac:dyDescent="0.2">
      <c r="C1209" s="5">
        <v>45776</v>
      </c>
      <c r="D1209" s="6">
        <v>1.00017</v>
      </c>
      <c r="E1209" s="6">
        <v>94200</v>
      </c>
      <c r="F1209" s="6">
        <v>94342.46</v>
      </c>
      <c r="G1209" s="6">
        <v>94238.1</v>
      </c>
      <c r="H1209" s="6">
        <v>94243.199999999997</v>
      </c>
      <c r="I1209" s="5">
        <v>45776</v>
      </c>
      <c r="J1209" s="7">
        <f t="shared" si="110"/>
        <v>-4.5838850972799197E-4</v>
      </c>
      <c r="K1209" s="5">
        <v>45776</v>
      </c>
      <c r="L1209" s="8">
        <f t="shared" si="111"/>
        <v>1.1074077257499947E-3</v>
      </c>
      <c r="M1209" s="5">
        <v>45776</v>
      </c>
      <c r="N1209" s="9">
        <f t="shared" si="108"/>
        <v>6.4901921602200283E-4</v>
      </c>
      <c r="O1209" s="5">
        <v>45776</v>
      </c>
      <c r="P1209">
        <f t="shared" si="109"/>
        <v>1.0000541182388014</v>
      </c>
      <c r="Q1209" s="6">
        <f t="shared" si="112"/>
        <v>0.99983002889508787</v>
      </c>
      <c r="R1209">
        <f t="shared" si="113"/>
        <v>2.2410232609968529E-4</v>
      </c>
      <c r="T1209" s="5">
        <v>45776</v>
      </c>
      <c r="U1209" s="1">
        <v>2.2410232609968529E-4</v>
      </c>
    </row>
    <row r="1210" spans="3:21" x14ac:dyDescent="0.2">
      <c r="C1210" s="5">
        <v>45777</v>
      </c>
      <c r="D1210" s="6">
        <v>1.0001100000000001</v>
      </c>
      <c r="E1210" s="6">
        <v>94118</v>
      </c>
      <c r="F1210" s="6">
        <v>94155.08</v>
      </c>
      <c r="G1210" s="6">
        <v>94133.6</v>
      </c>
      <c r="H1210" s="6">
        <v>94165.9</v>
      </c>
      <c r="I1210" s="5">
        <v>45777</v>
      </c>
      <c r="J1210" s="7">
        <f t="shared" si="110"/>
        <v>-5.0867670781030267E-4</v>
      </c>
      <c r="K1210" s="5">
        <v>45777</v>
      </c>
      <c r="L1210" s="8">
        <f t="shared" si="111"/>
        <v>2.281863224183068E-4</v>
      </c>
      <c r="M1210" s="5">
        <v>45777</v>
      </c>
      <c r="N1210" s="9">
        <f t="shared" si="108"/>
        <v>-2.8049038539199587E-4</v>
      </c>
      <c r="O1210" s="5">
        <v>45777</v>
      </c>
      <c r="P1210">
        <f t="shared" si="109"/>
        <v>1.0003431293395768</v>
      </c>
      <c r="Q1210" s="6">
        <f t="shared" si="112"/>
        <v>0.99989001209866912</v>
      </c>
      <c r="R1210">
        <f t="shared" si="113"/>
        <v>4.5306443461155994E-4</v>
      </c>
      <c r="T1210" s="5">
        <v>45777</v>
      </c>
      <c r="U1210" s="1">
        <v>4.5306443461155994E-4</v>
      </c>
    </row>
    <row r="1211" spans="3:21" x14ac:dyDescent="0.2">
      <c r="C1211" s="5">
        <v>45778</v>
      </c>
      <c r="D1211" s="6">
        <v>1.00037</v>
      </c>
      <c r="E1211" s="6">
        <v>96430.9</v>
      </c>
      <c r="F1211" s="6">
        <v>96458.59</v>
      </c>
      <c r="G1211" s="6">
        <v>96474.2</v>
      </c>
      <c r="H1211" s="6">
        <v>96477.3</v>
      </c>
      <c r="I1211" s="5">
        <v>45778</v>
      </c>
      <c r="J1211" s="7">
        <f t="shared" si="110"/>
        <v>-4.809421490859376E-4</v>
      </c>
      <c r="K1211" s="5">
        <v>45778</v>
      </c>
      <c r="L1211" s="8">
        <f t="shared" si="111"/>
        <v>-1.6180491779149849E-4</v>
      </c>
      <c r="M1211" s="5">
        <v>45778</v>
      </c>
      <c r="N1211" s="9">
        <f t="shared" si="108"/>
        <v>-6.4274706687743603E-4</v>
      </c>
      <c r="O1211" s="5">
        <v>45778</v>
      </c>
      <c r="P1211">
        <f t="shared" si="109"/>
        <v>1.0000321329433155</v>
      </c>
      <c r="Q1211" s="6">
        <f t="shared" si="112"/>
        <v>0.99963013684936575</v>
      </c>
      <c r="R1211">
        <f t="shared" si="113"/>
        <v>4.0206399394310607E-4</v>
      </c>
      <c r="T1211" s="5">
        <v>45778</v>
      </c>
      <c r="U1211" s="1">
        <v>4.0206399394310607E-4</v>
      </c>
    </row>
    <row r="1212" spans="3:21" x14ac:dyDescent="0.2">
      <c r="C1212" s="5">
        <v>45779</v>
      </c>
      <c r="D1212" s="6">
        <v>1.0003599999999999</v>
      </c>
      <c r="E1212" s="6">
        <v>96833.5</v>
      </c>
      <c r="F1212" s="6">
        <v>96939.18</v>
      </c>
      <c r="G1212" s="6">
        <v>96880</v>
      </c>
      <c r="H1212" s="6">
        <v>96876.3</v>
      </c>
      <c r="I1212" s="5">
        <v>45779</v>
      </c>
      <c r="J1212" s="7">
        <f t="shared" si="110"/>
        <v>-4.4180052293494806E-4</v>
      </c>
      <c r="K1212" s="5">
        <v>45779</v>
      </c>
      <c r="L1212" s="8">
        <f t="shared" si="111"/>
        <v>6.1085879438473381E-4</v>
      </c>
      <c r="M1212" s="5">
        <v>45779</v>
      </c>
      <c r="N1212" s="9">
        <f t="shared" si="108"/>
        <v>1.6905827144978575E-4</v>
      </c>
      <c r="O1212" s="5">
        <v>45779</v>
      </c>
      <c r="P1212">
        <f t="shared" si="109"/>
        <v>0.99996180842279114</v>
      </c>
      <c r="Q1212" s="6">
        <f t="shared" si="112"/>
        <v>0.9996401295533609</v>
      </c>
      <c r="R1212">
        <f t="shared" si="113"/>
        <v>3.2174290902194915E-4</v>
      </c>
      <c r="T1212" s="5">
        <v>45779</v>
      </c>
      <c r="U1212" s="1">
        <v>3.2174290902194915E-4</v>
      </c>
    </row>
    <row r="1213" spans="3:21" x14ac:dyDescent="0.2">
      <c r="C1213" s="5">
        <v>45780</v>
      </c>
      <c r="D1213" s="6">
        <v>1.00021</v>
      </c>
      <c r="E1213" s="6">
        <v>95815.5</v>
      </c>
      <c r="F1213" s="6">
        <v>95988.34</v>
      </c>
      <c r="G1213" s="6">
        <v>95855.4</v>
      </c>
      <c r="H1213" s="6">
        <v>95855.9</v>
      </c>
      <c r="I1213" s="5">
        <v>45780</v>
      </c>
      <c r="J1213" s="7">
        <f t="shared" si="110"/>
        <v>-4.2146597131730213E-4</v>
      </c>
      <c r="K1213" s="5">
        <v>45780</v>
      </c>
      <c r="L1213" s="8">
        <f t="shared" si="111"/>
        <v>1.3868806556542703E-3</v>
      </c>
      <c r="M1213" s="5">
        <v>45780</v>
      </c>
      <c r="N1213" s="9">
        <f t="shared" si="108"/>
        <v>9.6541468433696811E-4</v>
      </c>
      <c r="O1213" s="5">
        <v>45780</v>
      </c>
      <c r="P1213">
        <f t="shared" si="109"/>
        <v>1.00000521619022</v>
      </c>
      <c r="Q1213" s="6">
        <f t="shared" si="112"/>
        <v>0.9997900440907409</v>
      </c>
      <c r="R1213">
        <f t="shared" si="113"/>
        <v>2.1519412970231216E-4</v>
      </c>
      <c r="T1213" s="5">
        <v>45780</v>
      </c>
      <c r="U1213" s="1">
        <v>2.1519412970231216E-4</v>
      </c>
    </row>
    <row r="1214" spans="3:21" x14ac:dyDescent="0.2">
      <c r="C1214" s="5">
        <v>45781</v>
      </c>
      <c r="D1214" s="6">
        <v>1.0000500000000001</v>
      </c>
      <c r="E1214" s="6">
        <v>94224.1</v>
      </c>
      <c r="F1214" s="6">
        <v>94390.62</v>
      </c>
      <c r="G1214" s="6">
        <v>94243</v>
      </c>
      <c r="H1214" s="6">
        <v>94273.2</v>
      </c>
      <c r="I1214" s="5">
        <v>45781</v>
      </c>
      <c r="J1214" s="7">
        <f t="shared" si="110"/>
        <v>-5.2082670366542416E-4</v>
      </c>
      <c r="K1214" s="5">
        <v>45781</v>
      </c>
      <c r="L1214" s="8">
        <f t="shared" si="111"/>
        <v>1.5663762825885779E-3</v>
      </c>
      <c r="M1214" s="5">
        <v>45781</v>
      </c>
      <c r="N1214" s="9">
        <f t="shared" si="108"/>
        <v>1.0455495789231538E-3</v>
      </c>
      <c r="O1214" s="5">
        <v>45781</v>
      </c>
      <c r="P1214">
        <f t="shared" si="109"/>
        <v>1.0003204482030494</v>
      </c>
      <c r="Q1214" s="6">
        <f t="shared" si="112"/>
        <v>0.99995000249987487</v>
      </c>
      <c r="R1214">
        <f t="shared" si="113"/>
        <v>3.703956205319175E-4</v>
      </c>
      <c r="T1214" s="5">
        <v>45781</v>
      </c>
      <c r="U1214" s="1">
        <v>3.703956205319175E-4</v>
      </c>
    </row>
    <row r="1215" spans="3:21" x14ac:dyDescent="0.2">
      <c r="C1215" s="5">
        <v>45782</v>
      </c>
      <c r="D1215" s="6">
        <v>0.99994000000000005</v>
      </c>
      <c r="E1215" s="6">
        <v>94698.7</v>
      </c>
      <c r="F1215" s="6">
        <v>94770.64</v>
      </c>
      <c r="G1215" s="6">
        <v>94690</v>
      </c>
      <c r="H1215" s="6">
        <v>94742.1</v>
      </c>
      <c r="I1215" s="5">
        <v>45782</v>
      </c>
      <c r="J1215" s="7">
        <f t="shared" si="110"/>
        <v>-4.5808568735555502E-4</v>
      </c>
      <c r="K1215" s="5">
        <v>45782</v>
      </c>
      <c r="L1215" s="8">
        <f t="shared" si="111"/>
        <v>8.5162107931143123E-4</v>
      </c>
      <c r="M1215" s="5">
        <v>45782</v>
      </c>
      <c r="N1215" s="9">
        <f t="shared" si="108"/>
        <v>3.9353539195587621E-4</v>
      </c>
      <c r="O1215" s="5">
        <v>45782</v>
      </c>
      <c r="P1215">
        <f t="shared" si="109"/>
        <v>1.0005502164959341</v>
      </c>
      <c r="Q1215" s="6">
        <f t="shared" si="112"/>
        <v>1.0000600036002159</v>
      </c>
      <c r="R1215">
        <f t="shared" si="113"/>
        <v>4.900633822669954E-4</v>
      </c>
      <c r="T1215" s="5">
        <v>45782</v>
      </c>
      <c r="U1215" s="1">
        <v>4.900633822669954E-4</v>
      </c>
    </row>
    <row r="1216" spans="3:21" x14ac:dyDescent="0.2">
      <c r="C1216" s="5">
        <v>45783</v>
      </c>
      <c r="D1216" s="6">
        <v>1</v>
      </c>
      <c r="E1216" s="6">
        <v>96799</v>
      </c>
      <c r="F1216" s="6">
        <v>96845.34</v>
      </c>
      <c r="G1216" s="6">
        <v>96786.1</v>
      </c>
      <c r="H1216" s="6">
        <v>96840.1</v>
      </c>
      <c r="I1216" s="5">
        <v>45783</v>
      </c>
      <c r="J1216" s="7">
        <f t="shared" si="110"/>
        <v>-4.2441096198791431E-4</v>
      </c>
      <c r="K1216" s="5">
        <v>45783</v>
      </c>
      <c r="L1216" s="8">
        <f t="shared" si="111"/>
        <v>6.1207136148672884E-4</v>
      </c>
      <c r="M1216" s="5">
        <v>45783</v>
      </c>
      <c r="N1216" s="9">
        <f t="shared" si="108"/>
        <v>1.8766039949881454E-4</v>
      </c>
      <c r="O1216" s="5">
        <v>45783</v>
      </c>
      <c r="P1216">
        <f t="shared" si="109"/>
        <v>1.0005579313558455</v>
      </c>
      <c r="Q1216" s="6">
        <f t="shared" si="112"/>
        <v>1</v>
      </c>
      <c r="R1216">
        <f t="shared" si="113"/>
        <v>5.5777577001467707E-4</v>
      </c>
      <c r="T1216" s="5">
        <v>45783</v>
      </c>
      <c r="U1216" s="1">
        <v>5.5777577001467707E-4</v>
      </c>
    </row>
    <row r="1217" spans="3:21" x14ac:dyDescent="0.2">
      <c r="C1217" s="5">
        <v>45784</v>
      </c>
      <c r="D1217" s="6">
        <v>1.0001800000000001</v>
      </c>
      <c r="E1217" s="6">
        <v>96988.1</v>
      </c>
      <c r="F1217" s="6">
        <v>97005.42</v>
      </c>
      <c r="G1217" s="6">
        <v>97006.1</v>
      </c>
      <c r="H1217" s="6">
        <v>97033.5</v>
      </c>
      <c r="I1217" s="5">
        <v>45784</v>
      </c>
      <c r="J1217" s="7">
        <f t="shared" si="110"/>
        <v>-4.67879649811603E-4</v>
      </c>
      <c r="K1217" s="5">
        <v>45784</v>
      </c>
      <c r="L1217" s="8">
        <f t="shared" si="111"/>
        <v>-7.0098684516496069E-6</v>
      </c>
      <c r="M1217" s="5">
        <v>45784</v>
      </c>
      <c r="N1217" s="9">
        <f t="shared" si="108"/>
        <v>-4.7488951826325261E-4</v>
      </c>
      <c r="O1217" s="5">
        <v>45784</v>
      </c>
      <c r="P1217">
        <f t="shared" si="109"/>
        <v>1.000282456464078</v>
      </c>
      <c r="Q1217" s="6">
        <f t="shared" si="112"/>
        <v>0.99982003239416894</v>
      </c>
      <c r="R1217">
        <f t="shared" si="113"/>
        <v>4.6240038270482157E-4</v>
      </c>
      <c r="T1217" s="5">
        <v>45784</v>
      </c>
      <c r="U1217" s="1">
        <v>4.6240038270482157E-4</v>
      </c>
    </row>
    <row r="1218" spans="3:21" x14ac:dyDescent="0.2">
      <c r="C1218" s="5">
        <v>45785</v>
      </c>
      <c r="D1218" s="6">
        <v>0.99992000000000003</v>
      </c>
      <c r="E1218" s="6">
        <v>103240</v>
      </c>
      <c r="F1218" s="6">
        <v>103093.95</v>
      </c>
      <c r="G1218" s="6">
        <v>103231.2</v>
      </c>
      <c r="H1218" s="6">
        <v>103264.9</v>
      </c>
      <c r="I1218" s="5">
        <v>45785</v>
      </c>
      <c r="J1218" s="7">
        <f t="shared" si="110"/>
        <v>-2.4112743052086605E-4</v>
      </c>
      <c r="K1218" s="5">
        <v>45785</v>
      </c>
      <c r="L1218" s="8">
        <f t="shared" si="111"/>
        <v>-1.3295399065398833E-3</v>
      </c>
      <c r="M1218" s="5">
        <v>45785</v>
      </c>
      <c r="N1218" s="9">
        <f t="shared" si="108"/>
        <v>-1.5706673370607493E-3</v>
      </c>
      <c r="O1218" s="5">
        <v>45785</v>
      </c>
      <c r="P1218">
        <f t="shared" si="109"/>
        <v>1.0003264516928989</v>
      </c>
      <c r="Q1218" s="6">
        <f t="shared" si="112"/>
        <v>1.000080006400512</v>
      </c>
      <c r="R1218">
        <f t="shared" si="113"/>
        <v>2.4639521896832335E-4</v>
      </c>
      <c r="T1218" s="5">
        <v>45785</v>
      </c>
      <c r="U1218" s="1">
        <v>2.4639521896832335E-4</v>
      </c>
    </row>
    <row r="1219" spans="3:21" x14ac:dyDescent="0.2">
      <c r="C1219" s="5">
        <v>45786</v>
      </c>
      <c r="D1219" s="6">
        <v>1.00014</v>
      </c>
      <c r="E1219" s="6">
        <v>102931.2</v>
      </c>
      <c r="F1219" s="6">
        <v>102851.78</v>
      </c>
      <c r="G1219" s="6">
        <v>102936</v>
      </c>
      <c r="H1219" s="6">
        <v>102978.1</v>
      </c>
      <c r="I1219" s="5">
        <v>45786</v>
      </c>
      <c r="J1219" s="7">
        <f t="shared" si="110"/>
        <v>-4.5543664138305841E-4</v>
      </c>
      <c r="K1219" s="5">
        <v>45786</v>
      </c>
      <c r="L1219" s="8">
        <f t="shared" si="111"/>
        <v>-8.1817828553665544E-4</v>
      </c>
      <c r="M1219" s="5">
        <v>45786</v>
      </c>
      <c r="N1219" s="9">
        <f t="shared" si="108"/>
        <v>-1.2736149269197139E-3</v>
      </c>
      <c r="O1219" s="5">
        <v>45786</v>
      </c>
      <c r="P1219">
        <f t="shared" si="109"/>
        <v>1.0004089919950261</v>
      </c>
      <c r="Q1219" s="6">
        <f t="shared" si="112"/>
        <v>0.99986001959725634</v>
      </c>
      <c r="R1219">
        <f t="shared" si="113"/>
        <v>5.48898581512445E-4</v>
      </c>
      <c r="T1219" s="5">
        <v>45786</v>
      </c>
      <c r="U1219" s="1">
        <v>5.48898581512445E-4</v>
      </c>
    </row>
    <row r="1220" spans="3:21" x14ac:dyDescent="0.2">
      <c r="C1220" s="5">
        <v>45787</v>
      </c>
      <c r="D1220" s="6">
        <v>1.0001</v>
      </c>
      <c r="E1220" s="6">
        <v>104782.3</v>
      </c>
      <c r="F1220" s="6">
        <v>104617.03</v>
      </c>
      <c r="G1220" s="6">
        <v>104771.5</v>
      </c>
      <c r="H1220" s="6">
        <v>104799.9</v>
      </c>
      <c r="I1220" s="5">
        <v>45787</v>
      </c>
      <c r="J1220" s="7">
        <f t="shared" si="110"/>
        <v>-1.6793909154485138E-4</v>
      </c>
      <c r="K1220" s="5">
        <v>45787</v>
      </c>
      <c r="L1220" s="8">
        <f t="shared" si="111"/>
        <v>-1.4743513264580651E-3</v>
      </c>
      <c r="M1220" s="5">
        <v>45787</v>
      </c>
      <c r="N1220" s="9">
        <f t="shared" si="108"/>
        <v>-1.6422904180029164E-3</v>
      </c>
      <c r="O1220" s="5">
        <v>45787</v>
      </c>
      <c r="P1220">
        <f t="shared" si="109"/>
        <v>1.0002710660819021</v>
      </c>
      <c r="Q1220" s="6">
        <f t="shared" si="112"/>
        <v>0.99990000999900008</v>
      </c>
      <c r="R1220">
        <f t="shared" si="113"/>
        <v>3.7102435046277741E-4</v>
      </c>
      <c r="T1220" s="5">
        <v>45787</v>
      </c>
      <c r="U1220" s="1">
        <v>3.7102435046277741E-4</v>
      </c>
    </row>
    <row r="1221" spans="3:21" x14ac:dyDescent="0.2">
      <c r="C1221" s="5">
        <v>45788</v>
      </c>
      <c r="D1221" s="6">
        <v>1.0002</v>
      </c>
      <c r="E1221" s="6">
        <v>104080</v>
      </c>
      <c r="F1221" s="6">
        <v>103802.69</v>
      </c>
      <c r="G1221" s="6">
        <v>104115.1</v>
      </c>
      <c r="H1221" s="6">
        <v>104114</v>
      </c>
      <c r="I1221" s="5">
        <v>45788</v>
      </c>
      <c r="J1221" s="7">
        <f t="shared" si="110"/>
        <v>-3.2656511132028352E-4</v>
      </c>
      <c r="K1221" s="5">
        <v>45788</v>
      </c>
      <c r="L1221" s="8">
        <f t="shared" si="111"/>
        <v>-3.0006214276315679E-3</v>
      </c>
      <c r="M1221" s="5">
        <v>45788</v>
      </c>
      <c r="N1221" s="9">
        <f t="shared" si="108"/>
        <v>-3.3271865389518512E-3</v>
      </c>
      <c r="O1221" s="5">
        <v>45788</v>
      </c>
      <c r="P1221">
        <f t="shared" si="109"/>
        <v>0.99998943476978841</v>
      </c>
      <c r="Q1221" s="6">
        <f t="shared" si="112"/>
        <v>0.99980003999200162</v>
      </c>
      <c r="R1221">
        <f t="shared" si="113"/>
        <v>1.8941471664229881E-4</v>
      </c>
      <c r="T1221" s="5">
        <v>45788</v>
      </c>
      <c r="U1221" s="1">
        <v>1.8941471664229881E-4</v>
      </c>
    </row>
    <row r="1222" spans="3:21" x14ac:dyDescent="0.2">
      <c r="C1222" s="5">
        <v>45789</v>
      </c>
      <c r="D1222" s="6">
        <v>1.0000500000000001</v>
      </c>
      <c r="E1222" s="6">
        <v>102746</v>
      </c>
      <c r="F1222" s="6">
        <v>102728.29</v>
      </c>
      <c r="G1222" s="6">
        <v>102774</v>
      </c>
      <c r="H1222" s="6">
        <v>102787.8</v>
      </c>
      <c r="I1222" s="5">
        <v>45789</v>
      </c>
      <c r="J1222" s="7">
        <f t="shared" si="110"/>
        <v>-4.0666304756014731E-4</v>
      </c>
      <c r="K1222" s="5">
        <v>45789</v>
      </c>
      <c r="L1222" s="8">
        <f t="shared" si="111"/>
        <v>-4.4476229396546213E-4</v>
      </c>
      <c r="M1222" s="5">
        <v>45789</v>
      </c>
      <c r="N1222" s="9">
        <f t="shared" si="108"/>
        <v>-8.514253415256095E-4</v>
      </c>
      <c r="O1222" s="5">
        <v>45789</v>
      </c>
      <c r="P1222">
        <f t="shared" si="109"/>
        <v>1.0001342752057913</v>
      </c>
      <c r="Q1222" s="6">
        <f t="shared" si="112"/>
        <v>0.99995000249987487</v>
      </c>
      <c r="R1222">
        <f t="shared" si="113"/>
        <v>1.8426494172450093E-4</v>
      </c>
      <c r="T1222" s="5">
        <v>45789</v>
      </c>
      <c r="U1222" s="1">
        <v>1.8426494172450093E-4</v>
      </c>
    </row>
    <row r="1223" spans="3:21" x14ac:dyDescent="0.2">
      <c r="C1223" s="5">
        <v>45790</v>
      </c>
      <c r="D1223" s="6">
        <v>1.00014</v>
      </c>
      <c r="E1223" s="6">
        <v>104070.6</v>
      </c>
      <c r="F1223" s="6">
        <v>104123.1</v>
      </c>
      <c r="G1223" s="6">
        <v>104100</v>
      </c>
      <c r="H1223" s="6">
        <v>104123.6</v>
      </c>
      <c r="I1223" s="5">
        <v>45790</v>
      </c>
      <c r="J1223" s="7">
        <f t="shared" si="110"/>
        <v>-5.0901044527849589E-4</v>
      </c>
      <c r="K1223" s="5">
        <v>45790</v>
      </c>
      <c r="L1223" s="8">
        <f t="shared" si="111"/>
        <v>2.2190201729112221E-4</v>
      </c>
      <c r="M1223" s="5">
        <v>45790</v>
      </c>
      <c r="N1223" s="9">
        <f t="shared" si="108"/>
        <v>-2.8710842798737368E-4</v>
      </c>
      <c r="O1223" s="5">
        <v>45790</v>
      </c>
      <c r="P1223">
        <f t="shared" si="109"/>
        <v>1.0002267050912583</v>
      </c>
      <c r="Q1223" s="6">
        <f t="shared" si="112"/>
        <v>0.99986001959725634</v>
      </c>
      <c r="R1223">
        <f t="shared" si="113"/>
        <v>3.6666959845691003E-4</v>
      </c>
      <c r="T1223" s="5">
        <v>45790</v>
      </c>
      <c r="U1223" s="1">
        <v>3.6666959845691003E-4</v>
      </c>
    </row>
    <row r="1224" spans="3:21" x14ac:dyDescent="0.2">
      <c r="C1224" s="5">
        <v>45791</v>
      </c>
      <c r="D1224" s="6">
        <v>1.00024</v>
      </c>
      <c r="E1224" s="6">
        <v>103445</v>
      </c>
      <c r="F1224" s="6">
        <v>103568.49</v>
      </c>
      <c r="G1224" s="6">
        <v>103482.2</v>
      </c>
      <c r="H1224" s="6">
        <v>103502.39999999999</v>
      </c>
      <c r="I1224" s="5">
        <v>45791</v>
      </c>
      <c r="J1224" s="7">
        <f t="shared" si="110"/>
        <v>-5.5457651223540891E-4</v>
      </c>
      <c r="K1224" s="5">
        <v>45791</v>
      </c>
      <c r="L1224" s="8">
        <f t="shared" si="111"/>
        <v>8.3386321512306607E-4</v>
      </c>
      <c r="M1224" s="5">
        <v>45791</v>
      </c>
      <c r="N1224" s="9">
        <f t="shared" ref="N1224:N1287" si="114">J1224+L1224</f>
        <v>2.7928670288765716E-4</v>
      </c>
      <c r="O1224" s="5">
        <v>45791</v>
      </c>
      <c r="P1224">
        <f t="shared" ref="P1224:P1287" si="115">(1/G1224)*H1224</f>
        <v>1.0001952026532099</v>
      </c>
      <c r="Q1224" s="6">
        <f t="shared" si="112"/>
        <v>0.99976005758617925</v>
      </c>
      <c r="R1224">
        <f t="shared" si="113"/>
        <v>4.3515480825816796E-4</v>
      </c>
      <c r="T1224" s="5">
        <v>45791</v>
      </c>
      <c r="U1224" s="1">
        <v>4.3515480825816796E-4</v>
      </c>
    </row>
    <row r="1225" spans="3:21" x14ac:dyDescent="0.2">
      <c r="C1225" s="5">
        <v>45792</v>
      </c>
      <c r="D1225" s="6">
        <v>1.00021</v>
      </c>
      <c r="E1225" s="6">
        <v>103710</v>
      </c>
      <c r="F1225" s="6">
        <v>103816.46</v>
      </c>
      <c r="G1225" s="6">
        <v>103750.39999999999</v>
      </c>
      <c r="H1225" s="6">
        <v>103759.2</v>
      </c>
      <c r="I1225" s="5">
        <v>45792</v>
      </c>
      <c r="J1225" s="7">
        <f t="shared" ref="J1225:J1288" si="116">(E1225-H1225)/H1225</f>
        <v>-4.7417482016049746E-4</v>
      </c>
      <c r="K1225" s="5">
        <v>45792</v>
      </c>
      <c r="L1225" s="8">
        <f t="shared" ref="L1225:L1288" si="117">(F1225-G1225)/G1225</f>
        <v>6.3672043674060268E-4</v>
      </c>
      <c r="M1225" s="5">
        <v>45792</v>
      </c>
      <c r="N1225" s="9">
        <f t="shared" si="114"/>
        <v>1.6254561658010522E-4</v>
      </c>
      <c r="O1225" s="5">
        <v>45792</v>
      </c>
      <c r="P1225">
        <f t="shared" si="115"/>
        <v>1.0000848189500957</v>
      </c>
      <c r="Q1225" s="6">
        <f t="shared" ref="Q1225:Q1288" si="118">1/D1225</f>
        <v>0.9997900440907409</v>
      </c>
      <c r="R1225">
        <f t="shared" ref="R1225:R1288" si="119">LN(P1225/Q1225)</f>
        <v>2.9479330625843746E-4</v>
      </c>
      <c r="T1225" s="5">
        <v>45792</v>
      </c>
      <c r="U1225" s="1">
        <v>2.9479330625843746E-4</v>
      </c>
    </row>
    <row r="1226" spans="3:21" x14ac:dyDescent="0.2">
      <c r="C1226" s="5">
        <v>45793</v>
      </c>
      <c r="D1226" s="6">
        <v>1.0003299999999999</v>
      </c>
      <c r="E1226" s="6">
        <v>103410.2</v>
      </c>
      <c r="F1226" s="6">
        <v>103545.32</v>
      </c>
      <c r="G1226" s="6">
        <v>103448.4</v>
      </c>
      <c r="H1226" s="6">
        <v>103463.5</v>
      </c>
      <c r="I1226" s="5">
        <v>45793</v>
      </c>
      <c r="J1226" s="7">
        <f t="shared" si="116"/>
        <v>-5.1515751931843507E-4</v>
      </c>
      <c r="K1226" s="5">
        <v>45793</v>
      </c>
      <c r="L1226" s="8">
        <f t="shared" si="117"/>
        <v>9.3689220906280628E-4</v>
      </c>
      <c r="M1226" s="5">
        <v>45793</v>
      </c>
      <c r="N1226" s="9">
        <f t="shared" si="114"/>
        <v>4.2173468974437121E-4</v>
      </c>
      <c r="O1226" s="5">
        <v>45793</v>
      </c>
      <c r="P1226">
        <f t="shared" si="115"/>
        <v>1.0001459664915069</v>
      </c>
      <c r="Q1226" s="6">
        <f t="shared" si="118"/>
        <v>0.99967010886407492</v>
      </c>
      <c r="R1226">
        <f t="shared" si="119"/>
        <v>4.7590140141106632E-4</v>
      </c>
      <c r="T1226" s="5">
        <v>45793</v>
      </c>
      <c r="U1226" s="1">
        <v>4.7590140141106632E-4</v>
      </c>
    </row>
    <row r="1227" spans="3:21" x14ac:dyDescent="0.2">
      <c r="C1227" s="5">
        <v>45794</v>
      </c>
      <c r="D1227" s="6">
        <v>1.0003500000000001</v>
      </c>
      <c r="E1227" s="6">
        <v>103081.2</v>
      </c>
      <c r="F1227" s="6">
        <v>103235.58</v>
      </c>
      <c r="G1227" s="6">
        <v>103118.3</v>
      </c>
      <c r="H1227" s="6">
        <v>103130.1</v>
      </c>
      <c r="I1227" s="5">
        <v>45794</v>
      </c>
      <c r="J1227" s="7">
        <f t="shared" si="116"/>
        <v>-4.7415836889529563E-4</v>
      </c>
      <c r="K1227" s="5">
        <v>45794</v>
      </c>
      <c r="L1227" s="8">
        <f t="shared" si="117"/>
        <v>1.1373344983383049E-3</v>
      </c>
      <c r="M1227" s="5">
        <v>45794</v>
      </c>
      <c r="N1227" s="9">
        <f t="shared" si="114"/>
        <v>6.6317612944300928E-4</v>
      </c>
      <c r="O1227" s="5">
        <v>45794</v>
      </c>
      <c r="P1227">
        <f t="shared" si="115"/>
        <v>1.0001144316770156</v>
      </c>
      <c r="Q1227" s="6">
        <f t="shared" si="118"/>
        <v>0.99965012245713991</v>
      </c>
      <c r="R1227">
        <f t="shared" si="119"/>
        <v>4.6436389449864494E-4</v>
      </c>
      <c r="T1227" s="5">
        <v>45794</v>
      </c>
      <c r="U1227" s="1">
        <v>4.6436389449864494E-4</v>
      </c>
    </row>
    <row r="1228" spans="3:21" x14ac:dyDescent="0.2">
      <c r="C1228" s="5">
        <v>45795</v>
      </c>
      <c r="D1228" s="6">
        <v>1.0003599999999999</v>
      </c>
      <c r="E1228" s="6">
        <v>106428.1</v>
      </c>
      <c r="F1228" s="6">
        <v>106489.72</v>
      </c>
      <c r="G1228" s="6">
        <v>106451.9</v>
      </c>
      <c r="H1228" s="6">
        <v>106450</v>
      </c>
      <c r="I1228" s="5">
        <v>45795</v>
      </c>
      <c r="J1228" s="7">
        <f t="shared" si="116"/>
        <v>-2.0573038985433704E-4</v>
      </c>
      <c r="K1228" s="5">
        <v>45795</v>
      </c>
      <c r="L1228" s="8">
        <f t="shared" si="117"/>
        <v>3.5527782970531279E-4</v>
      </c>
      <c r="M1228" s="5">
        <v>45795</v>
      </c>
      <c r="N1228" s="9">
        <f t="shared" si="114"/>
        <v>1.4954743985097575E-4</v>
      </c>
      <c r="O1228" s="5">
        <v>45795</v>
      </c>
      <c r="P1228">
        <f t="shared" si="115"/>
        <v>0.99998215156328829</v>
      </c>
      <c r="Q1228" s="6">
        <f t="shared" si="118"/>
        <v>0.9996401295533609</v>
      </c>
      <c r="R1228">
        <f t="shared" si="119"/>
        <v>3.4208661955068985E-4</v>
      </c>
      <c r="T1228" s="5">
        <v>45795</v>
      </c>
      <c r="U1228" s="1">
        <v>3.4208661955068985E-4</v>
      </c>
    </row>
    <row r="1229" spans="3:21" x14ac:dyDescent="0.2">
      <c r="C1229" s="5">
        <v>45796</v>
      </c>
      <c r="D1229" s="6">
        <v>1.0002800000000001</v>
      </c>
      <c r="E1229" s="6">
        <v>105538</v>
      </c>
      <c r="F1229" s="6">
        <v>105572.5</v>
      </c>
      <c r="G1229" s="6">
        <v>105564.9</v>
      </c>
      <c r="H1229" s="6">
        <v>105580.5</v>
      </c>
      <c r="I1229" s="5">
        <v>45796</v>
      </c>
      <c r="J1229" s="7">
        <f t="shared" si="116"/>
        <v>-4.0253645322763202E-4</v>
      </c>
      <c r="K1229" s="5">
        <v>45796</v>
      </c>
      <c r="L1229" s="8">
        <f t="shared" si="117"/>
        <v>7.1993626669525774E-5</v>
      </c>
      <c r="M1229" s="5">
        <v>45796</v>
      </c>
      <c r="N1229" s="9">
        <f t="shared" si="114"/>
        <v>-3.3054282655810621E-4</v>
      </c>
      <c r="O1229" s="5">
        <v>45796</v>
      </c>
      <c r="P1229">
        <f t="shared" si="115"/>
        <v>1.0001477763915847</v>
      </c>
      <c r="Q1229" s="6">
        <f t="shared" si="118"/>
        <v>0.9997200783780541</v>
      </c>
      <c r="R1229">
        <f t="shared" si="119"/>
        <v>4.2772628104527816E-4</v>
      </c>
      <c r="T1229" s="5">
        <v>45796</v>
      </c>
      <c r="U1229" s="1">
        <v>4.2772628104527816E-4</v>
      </c>
    </row>
    <row r="1230" spans="3:21" x14ac:dyDescent="0.2">
      <c r="C1230" s="5">
        <v>45797</v>
      </c>
      <c r="D1230" s="6">
        <v>1.00034</v>
      </c>
      <c r="E1230" s="6">
        <v>106808.2</v>
      </c>
      <c r="F1230" s="6">
        <v>106854.52</v>
      </c>
      <c r="G1230" s="6">
        <v>106834.8</v>
      </c>
      <c r="H1230" s="6">
        <v>106855.3</v>
      </c>
      <c r="I1230" s="5">
        <v>45797</v>
      </c>
      <c r="J1230" s="7">
        <f t="shared" si="116"/>
        <v>-4.4078300280852537E-4</v>
      </c>
      <c r="K1230" s="5">
        <v>45797</v>
      </c>
      <c r="L1230" s="8">
        <f t="shared" si="117"/>
        <v>1.8458404939215652E-4</v>
      </c>
      <c r="M1230" s="5">
        <v>45797</v>
      </c>
      <c r="N1230" s="9">
        <f t="shared" si="114"/>
        <v>-2.5619895341636887E-4</v>
      </c>
      <c r="O1230" s="5">
        <v>45797</v>
      </c>
      <c r="P1230">
        <f t="shared" si="115"/>
        <v>1.0001918850412037</v>
      </c>
      <c r="Q1230" s="6">
        <f t="shared" si="118"/>
        <v>0.99966011556070933</v>
      </c>
      <c r="R1230">
        <f t="shared" si="119"/>
        <v>5.3180884672190845E-4</v>
      </c>
      <c r="T1230" s="5">
        <v>45797</v>
      </c>
      <c r="U1230" s="1">
        <v>5.3180884672190845E-4</v>
      </c>
    </row>
    <row r="1231" spans="3:21" x14ac:dyDescent="0.2">
      <c r="C1231" s="5">
        <v>45798</v>
      </c>
      <c r="D1231" s="6">
        <v>1.0004299999999999</v>
      </c>
      <c r="E1231" s="6">
        <v>109608.7</v>
      </c>
      <c r="F1231" s="6">
        <v>109603.97</v>
      </c>
      <c r="G1231" s="6">
        <v>109644.1</v>
      </c>
      <c r="H1231" s="6">
        <v>109640</v>
      </c>
      <c r="I1231" s="5">
        <v>45798</v>
      </c>
      <c r="J1231" s="7">
        <f t="shared" si="116"/>
        <v>-2.8547975191538591E-4</v>
      </c>
      <c r="K1231" s="5">
        <v>45798</v>
      </c>
      <c r="L1231" s="8">
        <f t="shared" si="117"/>
        <v>-3.660023658364167E-4</v>
      </c>
      <c r="M1231" s="5">
        <v>45798</v>
      </c>
      <c r="N1231" s="9">
        <f t="shared" si="114"/>
        <v>-6.5148211775180255E-4</v>
      </c>
      <c r="O1231" s="5">
        <v>45798</v>
      </c>
      <c r="P1231">
        <f t="shared" si="115"/>
        <v>0.99996260628706868</v>
      </c>
      <c r="Q1231" s="6">
        <f t="shared" si="118"/>
        <v>0.99957018482052729</v>
      </c>
      <c r="R1231">
        <f t="shared" si="119"/>
        <v>3.925131643999736E-4</v>
      </c>
      <c r="T1231" s="5">
        <v>45798</v>
      </c>
      <c r="U1231" s="1">
        <v>3.925131643999736E-4</v>
      </c>
    </row>
    <row r="1232" spans="3:21" x14ac:dyDescent="0.2">
      <c r="C1232" s="5">
        <v>45799</v>
      </c>
      <c r="D1232" s="6">
        <v>1.0002200000000001</v>
      </c>
      <c r="E1232" s="6">
        <v>111646.5</v>
      </c>
      <c r="F1232" s="6">
        <v>111589.52</v>
      </c>
      <c r="G1232" s="6">
        <v>111687.9</v>
      </c>
      <c r="H1232" s="6">
        <v>111698.4</v>
      </c>
      <c r="I1232" s="5">
        <v>45799</v>
      </c>
      <c r="J1232" s="7">
        <f t="shared" si="116"/>
        <v>-4.6464407726515495E-4</v>
      </c>
      <c r="K1232" s="5">
        <v>45799</v>
      </c>
      <c r="L1232" s="8">
        <f t="shared" si="117"/>
        <v>-8.8084743289103035E-4</v>
      </c>
      <c r="M1232" s="5">
        <v>45799</v>
      </c>
      <c r="N1232" s="9">
        <f t="shared" si="114"/>
        <v>-1.3454915101561854E-3</v>
      </c>
      <c r="O1232" s="5">
        <v>45799</v>
      </c>
      <c r="P1232">
        <f t="shared" si="115"/>
        <v>1.0000940119744395</v>
      </c>
      <c r="Q1232" s="6">
        <f t="shared" si="118"/>
        <v>0.99978004838935419</v>
      </c>
      <c r="R1232">
        <f t="shared" si="119"/>
        <v>3.1398335913973113E-4</v>
      </c>
      <c r="T1232" s="5">
        <v>45799</v>
      </c>
      <c r="U1232" s="1">
        <v>3.1398335913973113E-4</v>
      </c>
    </row>
    <row r="1233" spans="3:21" x14ac:dyDescent="0.2">
      <c r="C1233" s="5">
        <v>45800</v>
      </c>
      <c r="D1233" s="6">
        <v>1.0002</v>
      </c>
      <c r="E1233" s="6">
        <v>107275.9</v>
      </c>
      <c r="F1233" s="6">
        <v>107356.62</v>
      </c>
      <c r="G1233" s="6">
        <v>107291.9</v>
      </c>
      <c r="H1233" s="6">
        <v>107312.7</v>
      </c>
      <c r="I1233" s="5">
        <v>45800</v>
      </c>
      <c r="J1233" s="7">
        <f t="shared" si="116"/>
        <v>-3.4292306502401777E-4</v>
      </c>
      <c r="K1233" s="5">
        <v>45800</v>
      </c>
      <c r="L1233" s="8">
        <f t="shared" si="117"/>
        <v>6.032142221360715E-4</v>
      </c>
      <c r="M1233" s="5">
        <v>45800</v>
      </c>
      <c r="N1233" s="9">
        <f t="shared" si="114"/>
        <v>2.6029115711205373E-4</v>
      </c>
      <c r="O1233" s="5">
        <v>45800</v>
      </c>
      <c r="P1233">
        <f t="shared" si="115"/>
        <v>1.0001938636560634</v>
      </c>
      <c r="Q1233" s="6">
        <f t="shared" si="118"/>
        <v>0.99980003999200162</v>
      </c>
      <c r="R1233">
        <f t="shared" si="119"/>
        <v>3.9382486959946462E-4</v>
      </c>
      <c r="T1233" s="5">
        <v>45800</v>
      </c>
      <c r="U1233" s="1">
        <v>3.9382486959946462E-4</v>
      </c>
    </row>
    <row r="1234" spans="3:21" x14ac:dyDescent="0.2">
      <c r="C1234" s="5">
        <v>45801</v>
      </c>
      <c r="D1234" s="6">
        <v>1.0003</v>
      </c>
      <c r="E1234" s="6">
        <v>107716</v>
      </c>
      <c r="F1234" s="6">
        <v>107855.09</v>
      </c>
      <c r="G1234" s="6">
        <v>107753.9</v>
      </c>
      <c r="H1234" s="6">
        <v>107763.1</v>
      </c>
      <c r="I1234" s="5">
        <v>45801</v>
      </c>
      <c r="J1234" s="7">
        <f t="shared" si="116"/>
        <v>-4.3706983188128234E-4</v>
      </c>
      <c r="K1234" s="5">
        <v>45801</v>
      </c>
      <c r="L1234" s="8">
        <f t="shared" si="117"/>
        <v>9.3908433940676243E-4</v>
      </c>
      <c r="M1234" s="5">
        <v>45801</v>
      </c>
      <c r="N1234" s="9">
        <f t="shared" si="114"/>
        <v>5.0201450752548004E-4</v>
      </c>
      <c r="O1234" s="5">
        <v>45801</v>
      </c>
      <c r="P1234">
        <f t="shared" si="115"/>
        <v>1.0000853797403157</v>
      </c>
      <c r="Q1234" s="6">
        <f t="shared" si="118"/>
        <v>0.99970008997300808</v>
      </c>
      <c r="R1234">
        <f t="shared" si="119"/>
        <v>3.8533110467111459E-4</v>
      </c>
      <c r="T1234" s="5">
        <v>45801</v>
      </c>
      <c r="U1234" s="1">
        <v>3.8533110467111459E-4</v>
      </c>
    </row>
    <row r="1235" spans="3:21" x14ac:dyDescent="0.2">
      <c r="C1235" s="5">
        <v>45802</v>
      </c>
      <c r="D1235" s="6">
        <v>1.0003599999999999</v>
      </c>
      <c r="E1235" s="6">
        <v>108976.2</v>
      </c>
      <c r="F1235" s="6">
        <v>109103.43</v>
      </c>
      <c r="G1235" s="6">
        <v>108996.2</v>
      </c>
      <c r="H1235" s="6">
        <v>109001.3</v>
      </c>
      <c r="I1235" s="5">
        <v>45802</v>
      </c>
      <c r="J1235" s="7">
        <f t="shared" si="116"/>
        <v>-2.302724829887884E-4</v>
      </c>
      <c r="K1235" s="5">
        <v>45802</v>
      </c>
      <c r="L1235" s="8">
        <f t="shared" si="117"/>
        <v>9.8379576535691997E-4</v>
      </c>
      <c r="M1235" s="5">
        <v>45802</v>
      </c>
      <c r="N1235" s="9">
        <f t="shared" si="114"/>
        <v>7.5352328236813156E-4</v>
      </c>
      <c r="O1235" s="5">
        <v>45802</v>
      </c>
      <c r="P1235">
        <f t="shared" si="115"/>
        <v>1.0000467906220585</v>
      </c>
      <c r="Q1235" s="6">
        <f t="shared" si="118"/>
        <v>0.9996401295533609</v>
      </c>
      <c r="R1235">
        <f t="shared" si="119"/>
        <v>4.0672474295916377E-4</v>
      </c>
      <c r="T1235" s="5">
        <v>45802</v>
      </c>
      <c r="U1235" s="1">
        <v>4.0672474295916377E-4</v>
      </c>
    </row>
    <row r="1236" spans="3:21" x14ac:dyDescent="0.2">
      <c r="C1236" s="5">
        <v>45803</v>
      </c>
      <c r="D1236" s="6">
        <v>1.0002599999999999</v>
      </c>
      <c r="E1236" s="6">
        <v>109382.3</v>
      </c>
      <c r="F1236" s="6">
        <v>109453.01</v>
      </c>
      <c r="G1236" s="6">
        <v>109442.1</v>
      </c>
      <c r="H1236" s="6">
        <v>109440</v>
      </c>
      <c r="I1236" s="5">
        <v>45803</v>
      </c>
      <c r="J1236" s="7">
        <f t="shared" si="116"/>
        <v>-5.2722953216371613E-4</v>
      </c>
      <c r="K1236" s="5">
        <v>45803</v>
      </c>
      <c r="L1236" s="8">
        <f t="shared" si="117"/>
        <v>9.9687414623704588E-5</v>
      </c>
      <c r="M1236" s="5">
        <v>45803</v>
      </c>
      <c r="N1236" s="9">
        <f t="shared" si="114"/>
        <v>-4.2754211754001152E-4</v>
      </c>
      <c r="O1236" s="5">
        <v>45803</v>
      </c>
      <c r="P1236">
        <f t="shared" si="115"/>
        <v>0.99998081177170395</v>
      </c>
      <c r="Q1236" s="6">
        <f t="shared" si="118"/>
        <v>0.99974006758242862</v>
      </c>
      <c r="R1236">
        <f t="shared" si="119"/>
        <v>2.4077779346508708E-4</v>
      </c>
      <c r="T1236" s="5">
        <v>45803</v>
      </c>
      <c r="U1236" s="1">
        <v>2.4077779346508708E-4</v>
      </c>
    </row>
    <row r="1237" spans="3:21" x14ac:dyDescent="0.2">
      <c r="C1237" s="5">
        <v>45804</v>
      </c>
      <c r="D1237" s="6">
        <v>1.0004299999999999</v>
      </c>
      <c r="E1237" s="6">
        <v>108864</v>
      </c>
      <c r="F1237" s="6">
        <v>108954.83</v>
      </c>
      <c r="G1237" s="6">
        <v>108944.5</v>
      </c>
      <c r="H1237" s="6">
        <v>108925.8</v>
      </c>
      <c r="I1237" s="5">
        <v>45804</v>
      </c>
      <c r="J1237" s="7">
        <f t="shared" si="116"/>
        <v>-5.6735869738852422E-4</v>
      </c>
      <c r="K1237" s="5">
        <v>45804</v>
      </c>
      <c r="L1237" s="8">
        <f t="shared" si="117"/>
        <v>9.4818921560994331E-5</v>
      </c>
      <c r="M1237" s="5">
        <v>45804</v>
      </c>
      <c r="N1237" s="9">
        <f t="shared" si="114"/>
        <v>-4.7253977582752989E-4</v>
      </c>
      <c r="O1237" s="5">
        <v>45804</v>
      </c>
      <c r="P1237">
        <f t="shared" si="115"/>
        <v>0.99982835296871342</v>
      </c>
      <c r="Q1237" s="6">
        <f t="shared" si="118"/>
        <v>0.99957018482052729</v>
      </c>
      <c r="R1237">
        <f t="shared" si="119"/>
        <v>2.5824581216954927E-4</v>
      </c>
      <c r="T1237" s="5">
        <v>45804</v>
      </c>
      <c r="U1237" s="1">
        <v>2.5824581216954927E-4</v>
      </c>
    </row>
    <row r="1238" spans="3:21" x14ac:dyDescent="0.2">
      <c r="C1238" s="5">
        <v>45805</v>
      </c>
      <c r="D1238" s="6">
        <v>1.0002800000000001</v>
      </c>
      <c r="E1238" s="6">
        <v>107738.9</v>
      </c>
      <c r="F1238" s="6">
        <v>107834.58</v>
      </c>
      <c r="G1238" s="6">
        <v>107771.2</v>
      </c>
      <c r="H1238" s="6">
        <v>107789.9</v>
      </c>
      <c r="I1238" s="5">
        <v>45805</v>
      </c>
      <c r="J1238" s="7">
        <f t="shared" si="116"/>
        <v>-4.7314265993381573E-4</v>
      </c>
      <c r="K1238" s="5">
        <v>45805</v>
      </c>
      <c r="L1238" s="8">
        <f t="shared" si="117"/>
        <v>5.8809774782135355E-4</v>
      </c>
      <c r="M1238" s="5">
        <v>45805</v>
      </c>
      <c r="N1238" s="9">
        <f t="shared" si="114"/>
        <v>1.1495508788753782E-4</v>
      </c>
      <c r="O1238" s="5">
        <v>45805</v>
      </c>
      <c r="P1238">
        <f t="shared" si="115"/>
        <v>1.000173515744466</v>
      </c>
      <c r="Q1238" s="6">
        <f t="shared" si="118"/>
        <v>0.9997200783780541</v>
      </c>
      <c r="R1238">
        <f t="shared" si="119"/>
        <v>4.5346149966627467E-4</v>
      </c>
      <c r="T1238" s="5">
        <v>45805</v>
      </c>
      <c r="U1238" s="1">
        <v>4.5346149966627467E-4</v>
      </c>
    </row>
    <row r="1239" spans="3:21" x14ac:dyDescent="0.2">
      <c r="C1239" s="5">
        <v>45806</v>
      </c>
      <c r="D1239" s="6">
        <v>1.00004</v>
      </c>
      <c r="E1239" s="6">
        <v>105550</v>
      </c>
      <c r="F1239" s="6">
        <v>105662.12</v>
      </c>
      <c r="G1239" s="6">
        <v>105525.9</v>
      </c>
      <c r="H1239" s="6">
        <v>105596.3</v>
      </c>
      <c r="I1239" s="5">
        <v>45806</v>
      </c>
      <c r="J1239" s="7">
        <f t="shared" si="116"/>
        <v>-4.3846233248705599E-4</v>
      </c>
      <c r="K1239" s="5">
        <v>45806</v>
      </c>
      <c r="L1239" s="8">
        <f t="shared" si="117"/>
        <v>1.2908679291055672E-3</v>
      </c>
      <c r="M1239" s="5">
        <v>45806</v>
      </c>
      <c r="N1239" s="9">
        <f t="shared" si="114"/>
        <v>8.524055966185112E-4</v>
      </c>
      <c r="O1239" s="5">
        <v>45806</v>
      </c>
      <c r="P1239">
        <f t="shared" si="115"/>
        <v>1.000667134798187</v>
      </c>
      <c r="Q1239" s="6">
        <f t="shared" si="118"/>
        <v>0.99996000159993592</v>
      </c>
      <c r="R1239">
        <f t="shared" si="119"/>
        <v>7.0691156271303704E-4</v>
      </c>
      <c r="T1239" s="5">
        <v>45806</v>
      </c>
      <c r="U1239" s="1">
        <v>7.0691156271303704E-4</v>
      </c>
    </row>
    <row r="1240" spans="3:21" x14ac:dyDescent="0.2">
      <c r="C1240" s="5">
        <v>45807</v>
      </c>
      <c r="D1240" s="6">
        <v>1.0003200000000001</v>
      </c>
      <c r="E1240" s="6">
        <v>103976.6</v>
      </c>
      <c r="F1240" s="6">
        <v>104067.57</v>
      </c>
      <c r="G1240" s="6">
        <v>103995.4</v>
      </c>
      <c r="H1240" s="6">
        <v>104004.9</v>
      </c>
      <c r="I1240" s="5">
        <v>45807</v>
      </c>
      <c r="J1240" s="7">
        <f t="shared" si="116"/>
        <v>-2.7210256439829625E-4</v>
      </c>
      <c r="K1240" s="5">
        <v>45807</v>
      </c>
      <c r="L1240" s="8">
        <f t="shared" si="117"/>
        <v>6.939730026521635E-4</v>
      </c>
      <c r="M1240" s="5">
        <v>45807</v>
      </c>
      <c r="N1240" s="9">
        <f t="shared" si="114"/>
        <v>4.2187043825386725E-4</v>
      </c>
      <c r="O1240" s="5">
        <v>45807</v>
      </c>
      <c r="P1240">
        <f t="shared" si="115"/>
        <v>1.0000913501943354</v>
      </c>
      <c r="Q1240" s="6">
        <f t="shared" si="118"/>
        <v>0.99968010236724236</v>
      </c>
      <c r="R1240">
        <f t="shared" si="119"/>
        <v>4.1129483308051346E-4</v>
      </c>
      <c r="T1240" s="5">
        <v>45807</v>
      </c>
      <c r="U1240" s="1">
        <v>4.1129483308051346E-4</v>
      </c>
    </row>
    <row r="1241" spans="3:21" x14ac:dyDescent="0.2">
      <c r="C1241" s="5">
        <v>45808</v>
      </c>
      <c r="D1241" s="6">
        <v>1.0004999999999999</v>
      </c>
      <c r="E1241" s="6">
        <v>104566.1</v>
      </c>
      <c r="F1241" s="6">
        <v>104784.18</v>
      </c>
      <c r="G1241" s="6">
        <v>104617.3</v>
      </c>
      <c r="H1241" s="6">
        <v>104607.1</v>
      </c>
      <c r="I1241" s="5">
        <v>45808</v>
      </c>
      <c r="J1241" s="7">
        <f t="shared" si="116"/>
        <v>-3.9194280311757038E-4</v>
      </c>
      <c r="K1241" s="5">
        <v>45808</v>
      </c>
      <c r="L1241" s="8">
        <f t="shared" si="117"/>
        <v>1.5951472653183566E-3</v>
      </c>
      <c r="M1241" s="5">
        <v>45808</v>
      </c>
      <c r="N1241" s="9">
        <f t="shared" si="114"/>
        <v>1.2032044622007861E-3</v>
      </c>
      <c r="O1241" s="5">
        <v>45808</v>
      </c>
      <c r="P1241">
        <f t="shared" si="115"/>
        <v>0.99990250178507756</v>
      </c>
      <c r="Q1241" s="6">
        <f t="shared" si="118"/>
        <v>0.99950024987506247</v>
      </c>
      <c r="R1241">
        <f t="shared" si="119"/>
        <v>4.0237207346867896E-4</v>
      </c>
      <c r="T1241" s="5">
        <v>45808</v>
      </c>
      <c r="U1241" s="1">
        <v>4.0237207346867896E-4</v>
      </c>
    </row>
    <row r="1242" spans="3:21" x14ac:dyDescent="0.2">
      <c r="C1242" s="5">
        <v>45809</v>
      </c>
      <c r="D1242" s="6">
        <v>1.00048</v>
      </c>
      <c r="E1242" s="6">
        <v>105614.39999999999</v>
      </c>
      <c r="F1242" s="6">
        <v>105779.41</v>
      </c>
      <c r="G1242" s="6">
        <v>105639.9</v>
      </c>
      <c r="H1242" s="6">
        <v>105650.8</v>
      </c>
      <c r="I1242" s="5">
        <v>45809</v>
      </c>
      <c r="J1242" s="7">
        <f t="shared" si="116"/>
        <v>-3.4453122929508089E-4</v>
      </c>
      <c r="K1242" s="5">
        <v>45809</v>
      </c>
      <c r="L1242" s="8">
        <f t="shared" si="117"/>
        <v>1.3206184405703651E-3</v>
      </c>
      <c r="M1242" s="5">
        <v>45809</v>
      </c>
      <c r="N1242" s="9">
        <f t="shared" si="114"/>
        <v>9.7608721127528421E-4</v>
      </c>
      <c r="O1242" s="5">
        <v>45809</v>
      </c>
      <c r="P1242">
        <f t="shared" si="115"/>
        <v>1.0001031807110761</v>
      </c>
      <c r="Q1242" s="6">
        <f t="shared" si="118"/>
        <v>0.99952023028946102</v>
      </c>
      <c r="R1242">
        <f t="shared" si="119"/>
        <v>5.8306022516346106E-4</v>
      </c>
      <c r="T1242" s="5">
        <v>45809</v>
      </c>
      <c r="U1242" s="1">
        <v>5.8306022516346106E-4</v>
      </c>
    </row>
    <row r="1243" spans="3:21" x14ac:dyDescent="0.2">
      <c r="C1243" s="5">
        <v>45810</v>
      </c>
      <c r="D1243" s="6">
        <v>1.00058</v>
      </c>
      <c r="E1243" s="6">
        <v>105827.2</v>
      </c>
      <c r="F1243" s="6">
        <v>105902.22</v>
      </c>
      <c r="G1243" s="6">
        <v>105859.6</v>
      </c>
      <c r="H1243" s="6">
        <v>105866.2</v>
      </c>
      <c r="I1243" s="5">
        <v>45810</v>
      </c>
      <c r="J1243" s="7">
        <f t="shared" si="116"/>
        <v>-3.68389533203232E-4</v>
      </c>
      <c r="K1243" s="5">
        <v>45810</v>
      </c>
      <c r="L1243" s="8">
        <f t="shared" si="117"/>
        <v>4.0260873836662277E-4</v>
      </c>
      <c r="M1243" s="5">
        <v>45810</v>
      </c>
      <c r="N1243" s="9">
        <f t="shared" si="114"/>
        <v>3.4219205163390771E-5</v>
      </c>
      <c r="O1243" s="5">
        <v>45810</v>
      </c>
      <c r="P1243">
        <f t="shared" si="115"/>
        <v>1.0000623467309528</v>
      </c>
      <c r="Q1243" s="6">
        <f t="shared" si="118"/>
        <v>0.99942033620500104</v>
      </c>
      <c r="R1243">
        <f t="shared" si="119"/>
        <v>6.4217665248521023E-4</v>
      </c>
      <c r="T1243" s="5">
        <v>45810</v>
      </c>
      <c r="U1243" s="1">
        <v>6.4217665248521023E-4</v>
      </c>
    </row>
    <row r="1244" spans="3:21" x14ac:dyDescent="0.2">
      <c r="C1244" s="5">
        <v>45811</v>
      </c>
      <c r="D1244" s="6">
        <v>1.0006600000000001</v>
      </c>
      <c r="E1244" s="6">
        <v>105324.7</v>
      </c>
      <c r="F1244" s="6">
        <v>105436.82</v>
      </c>
      <c r="G1244" s="6">
        <v>105411.9</v>
      </c>
      <c r="H1244" s="6">
        <v>105375.9</v>
      </c>
      <c r="I1244" s="5">
        <v>45811</v>
      </c>
      <c r="J1244" s="7">
        <f t="shared" si="116"/>
        <v>-4.8587959865583203E-4</v>
      </c>
      <c r="K1244" s="5">
        <v>45811</v>
      </c>
      <c r="L1244" s="8">
        <f t="shared" si="117"/>
        <v>2.3640594657731059E-4</v>
      </c>
      <c r="M1244" s="5">
        <v>45811</v>
      </c>
      <c r="N1244" s="9">
        <f t="shared" si="114"/>
        <v>-2.4947365207852144E-4</v>
      </c>
      <c r="O1244" s="5">
        <v>45811</v>
      </c>
      <c r="P1244">
        <f t="shared" si="115"/>
        <v>0.99965848258118861</v>
      </c>
      <c r="Q1244" s="6">
        <f t="shared" si="118"/>
        <v>0.99934043531269356</v>
      </c>
      <c r="R1244">
        <f t="shared" si="119"/>
        <v>3.1820654661864463E-4</v>
      </c>
      <c r="T1244" s="5">
        <v>45811</v>
      </c>
      <c r="U1244" s="1">
        <v>3.1820654661864463E-4</v>
      </c>
    </row>
    <row r="1245" spans="3:21" x14ac:dyDescent="0.2">
      <c r="C1245" s="5">
        <v>45812</v>
      </c>
      <c r="D1245" s="6">
        <v>1.00057</v>
      </c>
      <c r="E1245" s="6">
        <v>104630</v>
      </c>
      <c r="F1245" s="6">
        <v>104752.64</v>
      </c>
      <c r="G1245" s="6">
        <v>104693.3</v>
      </c>
      <c r="H1245" s="6">
        <v>104688.4</v>
      </c>
      <c r="I1245" s="5">
        <v>45812</v>
      </c>
      <c r="J1245" s="7">
        <f t="shared" si="116"/>
        <v>-5.5784595045863894E-4</v>
      </c>
      <c r="K1245" s="5">
        <v>45812</v>
      </c>
      <c r="L1245" s="8">
        <f t="shared" si="117"/>
        <v>5.6679844842025717E-4</v>
      </c>
      <c r="M1245" s="5">
        <v>45812</v>
      </c>
      <c r="N1245" s="9">
        <f t="shared" si="114"/>
        <v>8.9524979616182341E-6</v>
      </c>
      <c r="O1245" s="5">
        <v>45812</v>
      </c>
      <c r="P1245">
        <f t="shared" si="115"/>
        <v>0.9999531966228975</v>
      </c>
      <c r="Q1245" s="6">
        <f t="shared" si="118"/>
        <v>0.99943032471491255</v>
      </c>
      <c r="R1245">
        <f t="shared" si="119"/>
        <v>5.2303313928993018E-4</v>
      </c>
      <c r="T1245" s="5">
        <v>45812</v>
      </c>
      <c r="U1245" s="1">
        <v>5.2303313928993018E-4</v>
      </c>
    </row>
    <row r="1246" spans="3:21" x14ac:dyDescent="0.2">
      <c r="C1246" s="5">
        <v>45813</v>
      </c>
      <c r="D1246" s="6">
        <v>1.00047</v>
      </c>
      <c r="E1246" s="6">
        <v>101455.2</v>
      </c>
      <c r="F1246" s="6">
        <v>101614.91</v>
      </c>
      <c r="G1246" s="6">
        <v>101508.1</v>
      </c>
      <c r="H1246" s="6">
        <v>101505.2</v>
      </c>
      <c r="I1246" s="5">
        <v>45813</v>
      </c>
      <c r="J1246" s="7">
        <f t="shared" si="116"/>
        <v>-4.9258560152583319E-4</v>
      </c>
      <c r="K1246" s="5">
        <v>45813</v>
      </c>
      <c r="L1246" s="8">
        <f t="shared" si="117"/>
        <v>1.0522312997681728E-3</v>
      </c>
      <c r="M1246" s="5">
        <v>45813</v>
      </c>
      <c r="N1246" s="9">
        <f t="shared" si="114"/>
        <v>5.596456982423396E-4</v>
      </c>
      <c r="O1246" s="5">
        <v>45813</v>
      </c>
      <c r="P1246">
        <f t="shared" si="115"/>
        <v>0.999971430851331</v>
      </c>
      <c r="Q1246" s="6">
        <f t="shared" si="118"/>
        <v>0.99953022079622578</v>
      </c>
      <c r="R1246">
        <f t="shared" si="119"/>
        <v>4.4132002782063765E-4</v>
      </c>
      <c r="T1246" s="5">
        <v>45813</v>
      </c>
      <c r="U1246" s="1">
        <v>4.4132002782063765E-4</v>
      </c>
    </row>
    <row r="1247" spans="3:21" x14ac:dyDescent="0.2">
      <c r="C1247" s="5">
        <v>45814</v>
      </c>
      <c r="D1247" s="6">
        <v>1.00078</v>
      </c>
      <c r="E1247" s="6">
        <v>104227.5</v>
      </c>
      <c r="F1247" s="6">
        <v>104378</v>
      </c>
      <c r="G1247" s="6">
        <v>104324.1</v>
      </c>
      <c r="H1247" s="6">
        <v>104287</v>
      </c>
      <c r="I1247" s="5">
        <v>45814</v>
      </c>
      <c r="J1247" s="7">
        <f t="shared" si="116"/>
        <v>-5.7054091113945167E-4</v>
      </c>
      <c r="K1247" s="5">
        <v>45814</v>
      </c>
      <c r="L1247" s="8">
        <f t="shared" si="117"/>
        <v>5.1665914203903195E-4</v>
      </c>
      <c r="M1247" s="5">
        <v>45814</v>
      </c>
      <c r="N1247" s="9">
        <f t="shared" si="114"/>
        <v>-5.3881769100419725E-5</v>
      </c>
      <c r="O1247" s="5">
        <v>45814</v>
      </c>
      <c r="P1247">
        <f t="shared" si="115"/>
        <v>0.99964437747366131</v>
      </c>
      <c r="Q1247" s="6">
        <f t="shared" si="118"/>
        <v>0.99922060792581791</v>
      </c>
      <c r="R1247">
        <f t="shared" si="119"/>
        <v>4.2401018306657926E-4</v>
      </c>
      <c r="T1247" s="5">
        <v>45814</v>
      </c>
      <c r="U1247" s="1">
        <v>4.2401018306657926E-4</v>
      </c>
    </row>
    <row r="1248" spans="3:21" x14ac:dyDescent="0.2">
      <c r="C1248" s="5">
        <v>45815</v>
      </c>
      <c r="D1248" s="6">
        <v>1.00065</v>
      </c>
      <c r="E1248" s="6">
        <v>105499.9</v>
      </c>
      <c r="F1248" s="6">
        <v>105575.89</v>
      </c>
      <c r="G1248" s="6">
        <v>105578.1</v>
      </c>
      <c r="H1248" s="6">
        <v>105552</v>
      </c>
      <c r="I1248" s="5">
        <v>45815</v>
      </c>
      <c r="J1248" s="7">
        <f t="shared" si="116"/>
        <v>-4.935955737456971E-4</v>
      </c>
      <c r="K1248" s="5">
        <v>45815</v>
      </c>
      <c r="L1248" s="8">
        <f t="shared" si="117"/>
        <v>-2.0932371391476098E-5</v>
      </c>
      <c r="M1248" s="5">
        <v>45815</v>
      </c>
      <c r="N1248" s="9">
        <f t="shared" si="114"/>
        <v>-5.1452794513717325E-4</v>
      </c>
      <c r="O1248" s="5">
        <v>45815</v>
      </c>
      <c r="P1248">
        <f t="shared" si="115"/>
        <v>0.99975278964103342</v>
      </c>
      <c r="Q1248" s="6">
        <f t="shared" si="118"/>
        <v>0.99935042222555337</v>
      </c>
      <c r="R1248">
        <f t="shared" si="119"/>
        <v>4.0254792101295878E-4</v>
      </c>
      <c r="T1248" s="5">
        <v>45815</v>
      </c>
      <c r="U1248" s="1">
        <v>4.0254792101295878E-4</v>
      </c>
    </row>
    <row r="1249" spans="3:21" x14ac:dyDescent="0.2">
      <c r="C1249" s="5">
        <v>45816</v>
      </c>
      <c r="D1249" s="6">
        <v>1.0004599999999999</v>
      </c>
      <c r="E1249" s="6">
        <v>105670.8</v>
      </c>
      <c r="F1249" s="6">
        <v>105791.41</v>
      </c>
      <c r="G1249" s="6">
        <v>105740</v>
      </c>
      <c r="H1249" s="6">
        <v>105724.9</v>
      </c>
      <c r="I1249" s="5">
        <v>45816</v>
      </c>
      <c r="J1249" s="7">
        <f t="shared" si="116"/>
        <v>-5.1170537877067064E-4</v>
      </c>
      <c r="K1249" s="5">
        <v>45816</v>
      </c>
      <c r="L1249" s="8">
        <f t="shared" si="117"/>
        <v>4.8619254775868632E-4</v>
      </c>
      <c r="M1249" s="5">
        <v>45816</v>
      </c>
      <c r="N1249" s="9">
        <f t="shared" si="114"/>
        <v>-2.5512831011984319E-5</v>
      </c>
      <c r="O1249" s="5">
        <v>45816</v>
      </c>
      <c r="P1249">
        <f t="shared" si="115"/>
        <v>0.99985719689805175</v>
      </c>
      <c r="Q1249" s="6">
        <f t="shared" si="118"/>
        <v>0.99954021150270889</v>
      </c>
      <c r="R1249">
        <f t="shared" si="119"/>
        <v>3.1708093315201282E-4</v>
      </c>
      <c r="T1249" s="5">
        <v>45816</v>
      </c>
      <c r="U1249" s="1">
        <v>3.1708093315201282E-4</v>
      </c>
    </row>
    <row r="1250" spans="3:21" x14ac:dyDescent="0.2">
      <c r="C1250" s="5">
        <v>45817</v>
      </c>
      <c r="D1250" s="6">
        <v>1.0004299999999999</v>
      </c>
      <c r="E1250" s="6">
        <v>110219.9</v>
      </c>
      <c r="F1250" s="6">
        <v>110247.69</v>
      </c>
      <c r="G1250" s="6">
        <v>110252</v>
      </c>
      <c r="H1250" s="6">
        <v>110271.9</v>
      </c>
      <c r="I1250" s="5">
        <v>45817</v>
      </c>
      <c r="J1250" s="7">
        <f t="shared" si="116"/>
        <v>-4.7156165804706368E-4</v>
      </c>
      <c r="K1250" s="5">
        <v>45817</v>
      </c>
      <c r="L1250" s="8">
        <f t="shared" si="117"/>
        <v>-3.9092261364852081E-5</v>
      </c>
      <c r="M1250" s="5">
        <v>45817</v>
      </c>
      <c r="N1250" s="9">
        <f t="shared" si="114"/>
        <v>-5.1065391941191576E-4</v>
      </c>
      <c r="O1250" s="5">
        <v>45817</v>
      </c>
      <c r="P1250">
        <f t="shared" si="115"/>
        <v>1.0001804955919167</v>
      </c>
      <c r="Q1250" s="6">
        <f t="shared" si="118"/>
        <v>0.99957018482052729</v>
      </c>
      <c r="R1250">
        <f t="shared" si="119"/>
        <v>6.10386881040754E-4</v>
      </c>
      <c r="T1250" s="5">
        <v>45817</v>
      </c>
      <c r="U1250" s="1">
        <v>6.10386881040754E-4</v>
      </c>
    </row>
    <row r="1251" spans="3:21" x14ac:dyDescent="0.2">
      <c r="C1251" s="5">
        <v>45818</v>
      </c>
      <c r="D1251" s="6">
        <v>1.00017</v>
      </c>
      <c r="E1251" s="6">
        <v>110227.5</v>
      </c>
      <c r="F1251" s="6">
        <v>110258.32</v>
      </c>
      <c r="G1251" s="6">
        <v>110229.5</v>
      </c>
      <c r="H1251" s="6">
        <v>110280.5</v>
      </c>
      <c r="I1251" s="5">
        <v>45818</v>
      </c>
      <c r="J1251" s="7">
        <f t="shared" si="116"/>
        <v>-4.8059267050838542E-4</v>
      </c>
      <c r="K1251" s="5">
        <v>45818</v>
      </c>
      <c r="L1251" s="8">
        <f t="shared" si="117"/>
        <v>2.6145451081613347E-4</v>
      </c>
      <c r="M1251" s="5">
        <v>45818</v>
      </c>
      <c r="N1251" s="9">
        <f t="shared" si="114"/>
        <v>-2.1913815969225195E-4</v>
      </c>
      <c r="O1251" s="5">
        <v>45818</v>
      </c>
      <c r="P1251">
        <f t="shared" si="115"/>
        <v>1.0004626710635538</v>
      </c>
      <c r="Q1251" s="6">
        <f t="shared" si="118"/>
        <v>0.99983002889508787</v>
      </c>
      <c r="R1251">
        <f t="shared" si="119"/>
        <v>6.3254961593710215E-4</v>
      </c>
      <c r="T1251" s="5">
        <v>45818</v>
      </c>
      <c r="U1251" s="1">
        <v>6.3254961593710215E-4</v>
      </c>
    </row>
    <row r="1252" spans="3:21" x14ac:dyDescent="0.2">
      <c r="C1252" s="5">
        <v>45819</v>
      </c>
      <c r="D1252" s="6">
        <v>1.0002599999999999</v>
      </c>
      <c r="E1252" s="6">
        <v>108611.1</v>
      </c>
      <c r="F1252" s="6">
        <v>108686.05</v>
      </c>
      <c r="G1252" s="6">
        <v>108628.2</v>
      </c>
      <c r="H1252" s="6">
        <v>108640.5</v>
      </c>
      <c r="I1252" s="5">
        <v>45819</v>
      </c>
      <c r="J1252" s="7">
        <f t="shared" si="116"/>
        <v>-2.7061731122366133E-4</v>
      </c>
      <c r="K1252" s="5">
        <v>45819</v>
      </c>
      <c r="L1252" s="8">
        <f t="shared" si="117"/>
        <v>5.3255047952562799E-4</v>
      </c>
      <c r="M1252" s="5">
        <v>45819</v>
      </c>
      <c r="N1252" s="9">
        <f t="shared" si="114"/>
        <v>2.6193316830196666E-4</v>
      </c>
      <c r="O1252" s="5">
        <v>45819</v>
      </c>
      <c r="P1252">
        <f t="shared" si="115"/>
        <v>1.0001132302661739</v>
      </c>
      <c r="Q1252" s="6">
        <f t="shared" si="118"/>
        <v>0.99974006758242862</v>
      </c>
      <c r="R1252">
        <f t="shared" si="119"/>
        <v>3.7319006196867322E-4</v>
      </c>
      <c r="T1252" s="5">
        <v>45819</v>
      </c>
      <c r="U1252" s="1">
        <v>3.7319006196867322E-4</v>
      </c>
    </row>
    <row r="1253" spans="3:21" x14ac:dyDescent="0.2">
      <c r="C1253" s="5">
        <v>45820</v>
      </c>
      <c r="D1253" s="6">
        <v>1.00044</v>
      </c>
      <c r="E1253" s="6">
        <v>105600.9</v>
      </c>
      <c r="F1253" s="6">
        <v>105826.57</v>
      </c>
      <c r="G1253" s="6">
        <v>105644.2</v>
      </c>
      <c r="H1253" s="6">
        <v>105660.2</v>
      </c>
      <c r="I1253" s="5">
        <v>45820</v>
      </c>
      <c r="J1253" s="7">
        <f t="shared" si="116"/>
        <v>-5.612330849269915E-4</v>
      </c>
      <c r="K1253" s="5">
        <v>45820</v>
      </c>
      <c r="L1253" s="8">
        <f t="shared" si="117"/>
        <v>1.726266089383136E-3</v>
      </c>
      <c r="M1253" s="5">
        <v>45820</v>
      </c>
      <c r="N1253" s="9">
        <f t="shared" si="114"/>
        <v>1.1650330044561444E-3</v>
      </c>
      <c r="O1253" s="5">
        <v>45820</v>
      </c>
      <c r="P1253">
        <f t="shared" si="115"/>
        <v>1.0001514517597747</v>
      </c>
      <c r="Q1253" s="6">
        <f t="shared" si="118"/>
        <v>0.99956019351485348</v>
      </c>
      <c r="R1253">
        <f t="shared" si="119"/>
        <v>5.9134352050006442E-4</v>
      </c>
      <c r="T1253" s="5">
        <v>45820</v>
      </c>
      <c r="U1253" s="1">
        <v>5.9134352050006442E-4</v>
      </c>
    </row>
    <row r="1254" spans="3:21" x14ac:dyDescent="0.2">
      <c r="C1254" s="5">
        <v>45821</v>
      </c>
      <c r="D1254" s="6">
        <v>1.0004200000000001</v>
      </c>
      <c r="E1254" s="6">
        <v>106023.1</v>
      </c>
      <c r="F1254" s="6">
        <v>106106.51</v>
      </c>
      <c r="G1254" s="6">
        <v>106068</v>
      </c>
      <c r="H1254" s="6">
        <v>106070.39999999999</v>
      </c>
      <c r="I1254" s="5">
        <v>45821</v>
      </c>
      <c r="J1254" s="7">
        <f t="shared" si="116"/>
        <v>-4.4593025009793838E-4</v>
      </c>
      <c r="K1254" s="5">
        <v>45821</v>
      </c>
      <c r="L1254" s="8">
        <f t="shared" si="117"/>
        <v>3.6306897462000566E-4</v>
      </c>
      <c r="M1254" s="5">
        <v>45821</v>
      </c>
      <c r="N1254" s="9">
        <f t="shared" si="114"/>
        <v>-8.286127547793272E-5</v>
      </c>
      <c r="O1254" s="5">
        <v>45821</v>
      </c>
      <c r="P1254">
        <f t="shared" si="115"/>
        <v>1.0000226269940038</v>
      </c>
      <c r="Q1254" s="6">
        <f t="shared" si="118"/>
        <v>0.99958017632594298</v>
      </c>
      <c r="R1254">
        <f t="shared" si="119"/>
        <v>4.4253856270550543E-4</v>
      </c>
      <c r="T1254" s="5">
        <v>45821</v>
      </c>
      <c r="U1254" s="1">
        <v>4.4253856270550543E-4</v>
      </c>
    </row>
    <row r="1255" spans="3:21" x14ac:dyDescent="0.2">
      <c r="C1255" s="5">
        <v>45822</v>
      </c>
      <c r="D1255" s="6">
        <v>1.00041</v>
      </c>
      <c r="E1255" s="6">
        <v>105356.7</v>
      </c>
      <c r="F1255" s="6">
        <v>105482.22</v>
      </c>
      <c r="G1255" s="6">
        <v>105402.1</v>
      </c>
      <c r="H1255" s="6">
        <v>105417.7</v>
      </c>
      <c r="I1255" s="5">
        <v>45822</v>
      </c>
      <c r="J1255" s="7">
        <f t="shared" si="116"/>
        <v>-5.7865045433546736E-4</v>
      </c>
      <c r="K1255" s="5">
        <v>45822</v>
      </c>
      <c r="L1255" s="8">
        <f t="shared" si="117"/>
        <v>7.6013665761873184E-4</v>
      </c>
      <c r="M1255" s="5">
        <v>45822</v>
      </c>
      <c r="N1255" s="9">
        <f t="shared" si="114"/>
        <v>1.8148620328326448E-4</v>
      </c>
      <c r="O1255" s="5">
        <v>45822</v>
      </c>
      <c r="P1255">
        <f t="shared" si="115"/>
        <v>1.0001480046412738</v>
      </c>
      <c r="Q1255" s="6">
        <f t="shared" si="118"/>
        <v>0.99959016803110723</v>
      </c>
      <c r="R1255">
        <f t="shared" si="119"/>
        <v>5.5790966263404615E-4</v>
      </c>
      <c r="T1255" s="5">
        <v>45822</v>
      </c>
      <c r="U1255" s="1">
        <v>5.5790966263404615E-4</v>
      </c>
    </row>
    <row r="1256" spans="3:21" x14ac:dyDescent="0.2">
      <c r="C1256" s="5">
        <v>45823</v>
      </c>
      <c r="D1256" s="6">
        <v>1.0001800000000001</v>
      </c>
      <c r="E1256" s="6">
        <v>105547.8</v>
      </c>
      <c r="F1256" s="6">
        <v>105561.61</v>
      </c>
      <c r="G1256" s="6">
        <v>105558.2</v>
      </c>
      <c r="H1256" s="6">
        <v>105588.2</v>
      </c>
      <c r="I1256" s="5">
        <v>45823</v>
      </c>
      <c r="J1256" s="7">
        <f t="shared" si="116"/>
        <v>-3.8261851229582641E-4</v>
      </c>
      <c r="K1256" s="5">
        <v>45823</v>
      </c>
      <c r="L1256" s="8">
        <f t="shared" si="117"/>
        <v>3.2304453846347251E-5</v>
      </c>
      <c r="M1256" s="5">
        <v>45823</v>
      </c>
      <c r="N1256" s="9">
        <f t="shared" si="114"/>
        <v>-3.5031405844947915E-4</v>
      </c>
      <c r="O1256" s="5">
        <v>45823</v>
      </c>
      <c r="P1256">
        <f t="shared" si="115"/>
        <v>1.0002842034062727</v>
      </c>
      <c r="Q1256" s="6">
        <f t="shared" si="118"/>
        <v>0.99982003239416894</v>
      </c>
      <c r="R1256">
        <f t="shared" si="119"/>
        <v>4.6414683007866354E-4</v>
      </c>
      <c r="T1256" s="5">
        <v>45823</v>
      </c>
      <c r="U1256" s="1">
        <v>4.6414683007866354E-4</v>
      </c>
    </row>
    <row r="1257" spans="3:21" x14ac:dyDescent="0.2">
      <c r="C1257" s="5">
        <v>45824</v>
      </c>
      <c r="D1257" s="6">
        <v>1.0004900000000001</v>
      </c>
      <c r="E1257" s="6">
        <v>106749.3</v>
      </c>
      <c r="F1257" s="6">
        <v>106808.24</v>
      </c>
      <c r="G1257" s="6">
        <v>106785.9</v>
      </c>
      <c r="H1257" s="6">
        <v>106799.9</v>
      </c>
      <c r="I1257" s="5">
        <v>45824</v>
      </c>
      <c r="J1257" s="7">
        <f t="shared" si="116"/>
        <v>-4.7378321515274146E-4</v>
      </c>
      <c r="K1257" s="5">
        <v>45824</v>
      </c>
      <c r="L1257" s="8">
        <f t="shared" si="117"/>
        <v>2.09203649545596E-4</v>
      </c>
      <c r="M1257" s="5">
        <v>45824</v>
      </c>
      <c r="N1257" s="9">
        <f t="shared" si="114"/>
        <v>-2.6457956560714546E-4</v>
      </c>
      <c r="O1257" s="5">
        <v>45824</v>
      </c>
      <c r="P1257">
        <f t="shared" si="115"/>
        <v>1.0001311034509237</v>
      </c>
      <c r="Q1257" s="6">
        <f t="shared" si="118"/>
        <v>0.99951023998240851</v>
      </c>
      <c r="R1257">
        <f t="shared" si="119"/>
        <v>6.209748468194178E-4</v>
      </c>
      <c r="T1257" s="5">
        <v>45824</v>
      </c>
      <c r="U1257" s="1">
        <v>6.209748468194178E-4</v>
      </c>
    </row>
    <row r="1258" spans="3:21" x14ac:dyDescent="0.2">
      <c r="C1258" s="5">
        <v>45825</v>
      </c>
      <c r="D1258" s="6">
        <v>1.00013</v>
      </c>
      <c r="E1258" s="6">
        <v>104512.7</v>
      </c>
      <c r="F1258" s="6">
        <v>104519.13</v>
      </c>
      <c r="G1258" s="6">
        <v>104528.5</v>
      </c>
      <c r="H1258" s="6">
        <v>104558.6</v>
      </c>
      <c r="I1258" s="5">
        <v>45825</v>
      </c>
      <c r="J1258" s="7">
        <f t="shared" si="116"/>
        <v>-4.3898828025632256E-4</v>
      </c>
      <c r="K1258" s="5">
        <v>45825</v>
      </c>
      <c r="L1258" s="8">
        <f t="shared" si="117"/>
        <v>-8.9640624327292016E-5</v>
      </c>
      <c r="M1258" s="5">
        <v>45825</v>
      </c>
      <c r="N1258" s="9">
        <f t="shared" si="114"/>
        <v>-5.2862890458361456E-4</v>
      </c>
      <c r="O1258" s="5">
        <v>45825</v>
      </c>
      <c r="P1258">
        <f t="shared" si="115"/>
        <v>1.0002879597430367</v>
      </c>
      <c r="Q1258" s="6">
        <f t="shared" si="118"/>
        <v>0.9998700168978033</v>
      </c>
      <c r="R1258">
        <f t="shared" si="119"/>
        <v>4.1790984131976001E-4</v>
      </c>
      <c r="T1258" s="5">
        <v>45825</v>
      </c>
      <c r="U1258" s="1">
        <v>4.1790984131976001E-4</v>
      </c>
    </row>
    <row r="1259" spans="3:21" x14ac:dyDescent="0.2">
      <c r="C1259" s="5">
        <v>45826</v>
      </c>
      <c r="D1259" s="6">
        <v>1.00031</v>
      </c>
      <c r="E1259" s="6">
        <v>104847.3</v>
      </c>
      <c r="F1259" s="6">
        <v>104878.32</v>
      </c>
      <c r="G1259" s="6">
        <v>104861.9</v>
      </c>
      <c r="H1259" s="6">
        <v>104886.39999999999</v>
      </c>
      <c r="I1259" s="5">
        <v>45826</v>
      </c>
      <c r="J1259" s="7">
        <f t="shared" si="116"/>
        <v>-3.7278426945715811E-4</v>
      </c>
      <c r="K1259" s="5">
        <v>45826</v>
      </c>
      <c r="L1259" s="8">
        <f t="shared" si="117"/>
        <v>1.5658690143906229E-4</v>
      </c>
      <c r="M1259" s="5">
        <v>45826</v>
      </c>
      <c r="N1259" s="9">
        <f t="shared" si="114"/>
        <v>-2.1619736801809582E-4</v>
      </c>
      <c r="O1259" s="5">
        <v>45826</v>
      </c>
      <c r="P1259">
        <f t="shared" si="115"/>
        <v>1.0002336406263856</v>
      </c>
      <c r="Q1259" s="6">
        <f t="shared" si="118"/>
        <v>0.99969009607021819</v>
      </c>
      <c r="R1259">
        <f t="shared" si="119"/>
        <v>5.4356529659318282E-4</v>
      </c>
      <c r="T1259" s="5">
        <v>45826</v>
      </c>
      <c r="U1259" s="1">
        <v>5.4356529659318282E-4</v>
      </c>
    </row>
    <row r="1260" spans="3:21" x14ac:dyDescent="0.2">
      <c r="C1260" s="5">
        <v>45827</v>
      </c>
      <c r="D1260" s="6">
        <v>1.00014</v>
      </c>
      <c r="E1260" s="6">
        <v>104604.2</v>
      </c>
      <c r="F1260" s="6">
        <v>104626.9</v>
      </c>
      <c r="G1260" s="6">
        <v>104634.7</v>
      </c>
      <c r="H1260" s="6">
        <v>104657.4</v>
      </c>
      <c r="I1260" s="5">
        <v>45827</v>
      </c>
      <c r="J1260" s="7">
        <f t="shared" si="116"/>
        <v>-5.0832525937006927E-4</v>
      </c>
      <c r="K1260" s="5">
        <v>45827</v>
      </c>
      <c r="L1260" s="8">
        <f t="shared" si="117"/>
        <v>-7.4545060099593256E-5</v>
      </c>
      <c r="M1260" s="5">
        <v>45827</v>
      </c>
      <c r="N1260" s="9">
        <f t="shared" si="114"/>
        <v>-5.8287031946966251E-4</v>
      </c>
      <c r="O1260" s="5">
        <v>45827</v>
      </c>
      <c r="P1260">
        <f t="shared" si="115"/>
        <v>1.0002169452390077</v>
      </c>
      <c r="Q1260" s="6">
        <f t="shared" si="118"/>
        <v>0.99986001959725634</v>
      </c>
      <c r="R1260">
        <f t="shared" si="119"/>
        <v>3.5691191070701063E-4</v>
      </c>
      <c r="T1260" s="5">
        <v>45827</v>
      </c>
      <c r="U1260" s="1">
        <v>3.5691191070701063E-4</v>
      </c>
    </row>
    <row r="1261" spans="3:21" x14ac:dyDescent="0.2">
      <c r="C1261" s="5">
        <v>45828</v>
      </c>
      <c r="D1261" s="6">
        <v>1.0001800000000001</v>
      </c>
      <c r="E1261" s="6">
        <v>103243.9</v>
      </c>
      <c r="F1261" s="6">
        <v>103388.89</v>
      </c>
      <c r="G1261" s="6">
        <v>103256</v>
      </c>
      <c r="H1261" s="6">
        <v>103296.8</v>
      </c>
      <c r="I1261" s="5">
        <v>45828</v>
      </c>
      <c r="J1261" s="7">
        <f t="shared" si="116"/>
        <v>-5.1211654184842828E-4</v>
      </c>
      <c r="K1261" s="5">
        <v>45828</v>
      </c>
      <c r="L1261" s="8">
        <f t="shared" si="117"/>
        <v>1.2869954288370596E-3</v>
      </c>
      <c r="M1261" s="5">
        <v>45828</v>
      </c>
      <c r="N1261" s="9">
        <f t="shared" si="114"/>
        <v>7.7487888698863131E-4</v>
      </c>
      <c r="O1261" s="5">
        <v>45828</v>
      </c>
      <c r="P1261">
        <f t="shared" si="115"/>
        <v>1.0003951344231814</v>
      </c>
      <c r="Q1261" s="6">
        <f t="shared" si="118"/>
        <v>0.99982003239416894</v>
      </c>
      <c r="R1261">
        <f t="shared" si="119"/>
        <v>5.7504018007733051E-4</v>
      </c>
      <c r="T1261" s="5">
        <v>45828</v>
      </c>
      <c r="U1261" s="1">
        <v>5.7504018007733051E-4</v>
      </c>
    </row>
    <row r="1262" spans="3:21" x14ac:dyDescent="0.2">
      <c r="C1262" s="5">
        <v>45829</v>
      </c>
      <c r="D1262" s="6">
        <v>1.0003</v>
      </c>
      <c r="E1262" s="6">
        <v>102083.9</v>
      </c>
      <c r="F1262" s="6">
        <v>102180.51</v>
      </c>
      <c r="G1262" s="6">
        <v>102095.9</v>
      </c>
      <c r="H1262" s="6">
        <v>102120.1</v>
      </c>
      <c r="I1262" s="5">
        <v>45829</v>
      </c>
      <c r="J1262" s="7">
        <f t="shared" si="116"/>
        <v>-3.5448457257691325E-4</v>
      </c>
      <c r="K1262" s="5">
        <v>45829</v>
      </c>
      <c r="L1262" s="8">
        <f t="shared" si="117"/>
        <v>8.2873063462882038E-4</v>
      </c>
      <c r="M1262" s="5">
        <v>45829</v>
      </c>
      <c r="N1262" s="9">
        <f t="shared" si="114"/>
        <v>4.7424606205190712E-4</v>
      </c>
      <c r="O1262" s="5">
        <v>45829</v>
      </c>
      <c r="P1262">
        <f t="shared" si="115"/>
        <v>1.0002370320453615</v>
      </c>
      <c r="Q1262" s="6">
        <f t="shared" si="118"/>
        <v>0.99970008997300808</v>
      </c>
      <c r="R1262">
        <f t="shared" si="119"/>
        <v>5.3695896670270305E-4</v>
      </c>
      <c r="T1262" s="5">
        <v>45829</v>
      </c>
      <c r="U1262" s="1">
        <v>5.3695896670270305E-4</v>
      </c>
    </row>
    <row r="1263" spans="3:21" x14ac:dyDescent="0.2">
      <c r="C1263" s="5">
        <v>45830</v>
      </c>
      <c r="D1263" s="6">
        <v>1.0002899999999999</v>
      </c>
      <c r="E1263" s="6">
        <v>100904.3</v>
      </c>
      <c r="F1263" s="6">
        <v>100985.79</v>
      </c>
      <c r="G1263" s="6">
        <v>100945.1</v>
      </c>
      <c r="H1263" s="6">
        <v>100958.3</v>
      </c>
      <c r="I1263" s="5">
        <v>45830</v>
      </c>
      <c r="J1263" s="7">
        <f t="shared" si="116"/>
        <v>-5.3487429958705716E-4</v>
      </c>
      <c r="K1263" s="5">
        <v>45830</v>
      </c>
      <c r="L1263" s="8">
        <f t="shared" si="117"/>
        <v>4.0309039269848434E-4</v>
      </c>
      <c r="M1263" s="5">
        <v>45830</v>
      </c>
      <c r="N1263" s="9">
        <f t="shared" si="114"/>
        <v>-1.3178390688857282E-4</v>
      </c>
      <c r="O1263" s="5">
        <v>45830</v>
      </c>
      <c r="P1263">
        <f t="shared" si="115"/>
        <v>1.000130764148037</v>
      </c>
      <c r="Q1263" s="6">
        <f t="shared" si="118"/>
        <v>0.99971008407561812</v>
      </c>
      <c r="R1263">
        <f t="shared" si="119"/>
        <v>4.2071355727891547E-4</v>
      </c>
      <c r="T1263" s="5">
        <v>45830</v>
      </c>
      <c r="U1263" s="1">
        <v>4.2071355727891547E-4</v>
      </c>
    </row>
    <row r="1264" spans="3:21" x14ac:dyDescent="0.2">
      <c r="C1264" s="5">
        <v>45831</v>
      </c>
      <c r="D1264" s="6">
        <v>1.0006999999999999</v>
      </c>
      <c r="E1264" s="6">
        <v>105283.5</v>
      </c>
      <c r="F1264" s="6">
        <v>105443.27</v>
      </c>
      <c r="G1264" s="6">
        <v>105374.9</v>
      </c>
      <c r="H1264" s="6">
        <v>105343.5</v>
      </c>
      <c r="I1264" s="5">
        <v>45831</v>
      </c>
      <c r="J1264" s="7">
        <f t="shared" si="116"/>
        <v>-5.6956527930057384E-4</v>
      </c>
      <c r="K1264" s="5">
        <v>45831</v>
      </c>
      <c r="L1264" s="8">
        <f t="shared" si="117"/>
        <v>6.4882623850660739E-4</v>
      </c>
      <c r="M1264" s="5">
        <v>45831</v>
      </c>
      <c r="N1264" s="9">
        <f t="shared" si="114"/>
        <v>7.9260959206033555E-5</v>
      </c>
      <c r="O1264" s="5">
        <v>45831</v>
      </c>
      <c r="P1264">
        <f t="shared" si="115"/>
        <v>0.99970201632457067</v>
      </c>
      <c r="Q1264" s="6">
        <f t="shared" si="118"/>
        <v>0.99930048965724005</v>
      </c>
      <c r="R1264">
        <f t="shared" si="119"/>
        <v>4.0172703288675105E-4</v>
      </c>
      <c r="T1264" s="5">
        <v>45831</v>
      </c>
      <c r="U1264" s="1">
        <v>4.0172703288675105E-4</v>
      </c>
    </row>
    <row r="1265" spans="3:21" x14ac:dyDescent="0.2">
      <c r="C1265" s="5">
        <v>45832</v>
      </c>
      <c r="D1265" s="6">
        <v>1.00047</v>
      </c>
      <c r="E1265" s="6">
        <v>106048.5</v>
      </c>
      <c r="F1265" s="6">
        <v>106137.7</v>
      </c>
      <c r="G1265" s="6">
        <v>106080</v>
      </c>
      <c r="H1265" s="6">
        <v>106087.8</v>
      </c>
      <c r="I1265" s="5">
        <v>45832</v>
      </c>
      <c r="J1265" s="7">
        <f t="shared" si="116"/>
        <v>-3.7044787430791202E-4</v>
      </c>
      <c r="K1265" s="5">
        <v>45832</v>
      </c>
      <c r="L1265" s="8">
        <f t="shared" si="117"/>
        <v>5.4392911010555322E-4</v>
      </c>
      <c r="M1265" s="5">
        <v>45832</v>
      </c>
      <c r="N1265" s="9">
        <f t="shared" si="114"/>
        <v>1.7348123579764119E-4</v>
      </c>
      <c r="O1265" s="5">
        <v>45832</v>
      </c>
      <c r="P1265">
        <f t="shared" si="115"/>
        <v>1.0000735294117649</v>
      </c>
      <c r="Q1265" s="6">
        <f t="shared" si="118"/>
        <v>0.99953022079622578</v>
      </c>
      <c r="R1265">
        <f t="shared" si="119"/>
        <v>5.4341629320566419E-4</v>
      </c>
      <c r="T1265" s="5">
        <v>45832</v>
      </c>
      <c r="U1265" s="1">
        <v>5.4341629320566419E-4</v>
      </c>
    </row>
    <row r="1266" spans="3:21" x14ac:dyDescent="0.2">
      <c r="C1266" s="5">
        <v>45833</v>
      </c>
      <c r="D1266" s="6">
        <v>1.0005999999999999</v>
      </c>
      <c r="E1266" s="6">
        <v>107264</v>
      </c>
      <c r="F1266" s="6">
        <v>107397.72</v>
      </c>
      <c r="G1266" s="6">
        <v>107344.1</v>
      </c>
      <c r="H1266" s="6">
        <v>107321.2</v>
      </c>
      <c r="I1266" s="5">
        <v>45833</v>
      </c>
      <c r="J1266" s="7">
        <f t="shared" si="116"/>
        <v>-5.3297950451539013E-4</v>
      </c>
      <c r="K1266" s="5">
        <v>45833</v>
      </c>
      <c r="L1266" s="8">
        <f t="shared" si="117"/>
        <v>4.9951511075126945E-4</v>
      </c>
      <c r="M1266" s="5">
        <v>45833</v>
      </c>
      <c r="N1266" s="9">
        <f t="shared" si="114"/>
        <v>-3.3464393764120678E-5</v>
      </c>
      <c r="O1266" s="5">
        <v>45833</v>
      </c>
      <c r="P1266">
        <f t="shared" si="115"/>
        <v>0.99978666736224897</v>
      </c>
      <c r="Q1266" s="6">
        <f t="shared" si="118"/>
        <v>0.99940035978412955</v>
      </c>
      <c r="R1266">
        <f t="shared" si="119"/>
        <v>3.8646467557257427E-4</v>
      </c>
      <c r="T1266" s="5">
        <v>45833</v>
      </c>
      <c r="U1266" s="1">
        <v>3.8646467557257427E-4</v>
      </c>
    </row>
    <row r="1267" spans="3:21" x14ac:dyDescent="0.2">
      <c r="C1267" s="5">
        <v>45834</v>
      </c>
      <c r="D1267" s="6">
        <v>1.00044</v>
      </c>
      <c r="E1267" s="6">
        <v>106905.3</v>
      </c>
      <c r="F1267" s="6">
        <v>106980.1</v>
      </c>
      <c r="G1267" s="6">
        <v>106969.4</v>
      </c>
      <c r="H1267" s="6">
        <v>106961.2</v>
      </c>
      <c r="I1267" s="5">
        <v>45834</v>
      </c>
      <c r="J1267" s="7">
        <f t="shared" si="116"/>
        <v>-5.2261941713438312E-4</v>
      </c>
      <c r="K1267" s="5">
        <v>45834</v>
      </c>
      <c r="L1267" s="8">
        <f t="shared" si="117"/>
        <v>1.0002860631182041E-4</v>
      </c>
      <c r="M1267" s="5">
        <v>45834</v>
      </c>
      <c r="N1267" s="9">
        <f t="shared" si="114"/>
        <v>-4.2259081082256271E-4</v>
      </c>
      <c r="O1267" s="5">
        <v>45834</v>
      </c>
      <c r="P1267">
        <f t="shared" si="115"/>
        <v>0.99992334256338733</v>
      </c>
      <c r="Q1267" s="6">
        <f t="shared" si="118"/>
        <v>0.99956019351485348</v>
      </c>
      <c r="R1267">
        <f t="shared" si="119"/>
        <v>3.6324285344123446E-4</v>
      </c>
      <c r="T1267" s="5">
        <v>45834</v>
      </c>
      <c r="U1267" s="1">
        <v>3.6324285344123446E-4</v>
      </c>
    </row>
    <row r="1268" spans="3:21" x14ac:dyDescent="0.2">
      <c r="C1268" s="5">
        <v>45835</v>
      </c>
      <c r="D1268" s="6">
        <v>1.0004200000000001</v>
      </c>
      <c r="E1268" s="6">
        <v>106999.6</v>
      </c>
      <c r="F1268" s="6">
        <v>107129.46</v>
      </c>
      <c r="G1268" s="6">
        <v>107054.1</v>
      </c>
      <c r="H1268" s="6">
        <v>107052.8</v>
      </c>
      <c r="I1268" s="5">
        <v>45835</v>
      </c>
      <c r="J1268" s="7">
        <f t="shared" si="116"/>
        <v>-4.9695103724514526E-4</v>
      </c>
      <c r="K1268" s="5">
        <v>45835</v>
      </c>
      <c r="L1268" s="8">
        <f t="shared" si="117"/>
        <v>7.0394314650256817E-4</v>
      </c>
      <c r="M1268" s="5">
        <v>45835</v>
      </c>
      <c r="N1268" s="9">
        <f t="shared" si="114"/>
        <v>2.0699210925742291E-4</v>
      </c>
      <c r="O1268" s="5">
        <v>45835</v>
      </c>
      <c r="P1268">
        <f t="shared" si="115"/>
        <v>0.99998785660707989</v>
      </c>
      <c r="Q1268" s="6">
        <f t="shared" si="118"/>
        <v>0.99958017632594298</v>
      </c>
      <c r="R1268">
        <f t="shared" si="119"/>
        <v>4.0776835803672958E-4</v>
      </c>
      <c r="T1268" s="5">
        <v>45835</v>
      </c>
      <c r="U1268" s="1">
        <v>4.0776835803672958E-4</v>
      </c>
    </row>
    <row r="1269" spans="3:21" x14ac:dyDescent="0.2">
      <c r="C1269" s="5">
        <v>45836</v>
      </c>
      <c r="D1269" s="6">
        <v>1.00044</v>
      </c>
      <c r="E1269" s="6">
        <v>107241</v>
      </c>
      <c r="F1269" s="6">
        <v>107339.62</v>
      </c>
      <c r="G1269" s="6">
        <v>107300.1</v>
      </c>
      <c r="H1269" s="6">
        <v>107291.6</v>
      </c>
      <c r="I1269" s="5">
        <v>45836</v>
      </c>
      <c r="J1269" s="7">
        <f t="shared" si="116"/>
        <v>-4.7161194352592203E-4</v>
      </c>
      <c r="K1269" s="5">
        <v>45836</v>
      </c>
      <c r="L1269" s="8">
        <f t="shared" si="117"/>
        <v>3.683127974716661E-4</v>
      </c>
      <c r="M1269" s="5">
        <v>45836</v>
      </c>
      <c r="N1269" s="9">
        <f t="shared" si="114"/>
        <v>-1.0329914605425593E-4</v>
      </c>
      <c r="O1269" s="5">
        <v>45836</v>
      </c>
      <c r="P1269">
        <f t="shared" si="115"/>
        <v>0.99992078292564501</v>
      </c>
      <c r="Q1269" s="6">
        <f t="shared" si="118"/>
        <v>0.99956019351485348</v>
      </c>
      <c r="R1269">
        <f t="shared" si="119"/>
        <v>3.6068301619206629E-4</v>
      </c>
      <c r="T1269" s="5">
        <v>45836</v>
      </c>
      <c r="U1269" s="1">
        <v>3.6068301619206629E-4</v>
      </c>
    </row>
    <row r="1270" spans="3:21" x14ac:dyDescent="0.2">
      <c r="C1270" s="5">
        <v>45837</v>
      </c>
      <c r="D1270" s="6">
        <v>1.0001899999999999</v>
      </c>
      <c r="E1270" s="6">
        <v>108314.8</v>
      </c>
      <c r="F1270" s="6">
        <v>108350.38</v>
      </c>
      <c r="G1270" s="6">
        <v>108335.5</v>
      </c>
      <c r="H1270" s="6">
        <v>108360</v>
      </c>
      <c r="I1270" s="5">
        <v>45837</v>
      </c>
      <c r="J1270" s="7">
        <f t="shared" si="116"/>
        <v>-4.1712809154666934E-4</v>
      </c>
      <c r="K1270" s="5">
        <v>45837</v>
      </c>
      <c r="L1270" s="8">
        <f t="shared" si="117"/>
        <v>1.3735109913190651E-4</v>
      </c>
      <c r="M1270" s="5">
        <v>45837</v>
      </c>
      <c r="N1270" s="9">
        <f t="shared" si="114"/>
        <v>-2.7977699241476281E-4</v>
      </c>
      <c r="O1270" s="5">
        <v>45837</v>
      </c>
      <c r="P1270">
        <f t="shared" si="115"/>
        <v>1.0002261493231674</v>
      </c>
      <c r="Q1270" s="6">
        <f t="shared" si="118"/>
        <v>0.99981003609314234</v>
      </c>
      <c r="R1270">
        <f t="shared" si="119"/>
        <v>4.1610570755001066E-4</v>
      </c>
      <c r="T1270" s="5">
        <v>45837</v>
      </c>
      <c r="U1270" s="1">
        <v>4.1610570755001066E-4</v>
      </c>
    </row>
    <row r="1271" spans="3:21" x14ac:dyDescent="0.2">
      <c r="C1271" s="5">
        <v>45838</v>
      </c>
      <c r="D1271" s="6">
        <v>1.0002899999999999</v>
      </c>
      <c r="E1271" s="6">
        <v>107081.2</v>
      </c>
      <c r="F1271" s="6">
        <v>107168.23</v>
      </c>
      <c r="G1271" s="6">
        <v>107117.8</v>
      </c>
      <c r="H1271" s="6">
        <v>107139.1</v>
      </c>
      <c r="I1271" s="5">
        <v>45838</v>
      </c>
      <c r="J1271" s="7">
        <f t="shared" si="116"/>
        <v>-5.4041895069128565E-4</v>
      </c>
      <c r="K1271" s="5">
        <v>45838</v>
      </c>
      <c r="L1271" s="8">
        <f t="shared" si="117"/>
        <v>4.7079010211181532E-4</v>
      </c>
      <c r="M1271" s="5">
        <v>45838</v>
      </c>
      <c r="N1271" s="9">
        <f t="shared" si="114"/>
        <v>-6.9628848579470328E-5</v>
      </c>
      <c r="O1271" s="5">
        <v>45838</v>
      </c>
      <c r="P1271">
        <f t="shared" si="115"/>
        <v>1.0001988465035689</v>
      </c>
      <c r="Q1271" s="6">
        <f t="shared" si="118"/>
        <v>0.99971008407561812</v>
      </c>
      <c r="R1271">
        <f t="shared" si="119"/>
        <v>4.8878469435127908E-4</v>
      </c>
      <c r="T1271" s="5">
        <v>45838</v>
      </c>
      <c r="U1271" s="1">
        <v>4.8878469435127908E-4</v>
      </c>
    </row>
    <row r="1272" spans="3:21" x14ac:dyDescent="0.2">
      <c r="C1272" s="5">
        <v>45839</v>
      </c>
      <c r="D1272" s="6">
        <v>1.0002599999999999</v>
      </c>
      <c r="E1272" s="6">
        <v>105634.8</v>
      </c>
      <c r="F1272" s="6">
        <v>105740.17</v>
      </c>
      <c r="G1272" s="6">
        <v>105648.9</v>
      </c>
      <c r="H1272" s="6">
        <v>105679.3</v>
      </c>
      <c r="I1272" s="5">
        <v>45839</v>
      </c>
      <c r="J1272" s="7">
        <f t="shared" si="116"/>
        <v>-4.2108530241967917E-4</v>
      </c>
      <c r="K1272" s="5">
        <v>45839</v>
      </c>
      <c r="L1272" s="8">
        <f t="shared" si="117"/>
        <v>8.6389919819329945E-4</v>
      </c>
      <c r="M1272" s="5">
        <v>45839</v>
      </c>
      <c r="N1272" s="9">
        <f t="shared" si="114"/>
        <v>4.4281389577362028E-4</v>
      </c>
      <c r="O1272" s="5">
        <v>45839</v>
      </c>
      <c r="P1272">
        <f t="shared" si="115"/>
        <v>1.000287745542074</v>
      </c>
      <c r="Q1272" s="6">
        <f t="shared" si="118"/>
        <v>0.99974006758242862</v>
      </c>
      <c r="R1272">
        <f t="shared" si="119"/>
        <v>5.4767035712274673E-4</v>
      </c>
      <c r="T1272" s="5">
        <v>45839</v>
      </c>
      <c r="U1272" s="1">
        <v>5.4767035712274673E-4</v>
      </c>
    </row>
    <row r="1273" spans="3:21" x14ac:dyDescent="0.2">
      <c r="C1273" s="5">
        <v>45840</v>
      </c>
      <c r="D1273" s="6">
        <v>1.00047</v>
      </c>
      <c r="E1273" s="6">
        <v>108803</v>
      </c>
      <c r="F1273" s="6">
        <v>108845.59</v>
      </c>
      <c r="G1273" s="6">
        <v>108843.6</v>
      </c>
      <c r="H1273" s="6">
        <v>108839.9</v>
      </c>
      <c r="I1273" s="5">
        <v>45840</v>
      </c>
      <c r="J1273" s="7">
        <f t="shared" si="116"/>
        <v>-3.3903007996143123E-4</v>
      </c>
      <c r="K1273" s="5">
        <v>45840</v>
      </c>
      <c r="L1273" s="8">
        <f t="shared" si="117"/>
        <v>1.8283114487123602E-5</v>
      </c>
      <c r="M1273" s="5">
        <v>45840</v>
      </c>
      <c r="N1273" s="9">
        <f t="shared" si="114"/>
        <v>-3.2074696547430761E-4</v>
      </c>
      <c r="O1273" s="5">
        <v>45840</v>
      </c>
      <c r="P1273">
        <f t="shared" si="115"/>
        <v>0.99996600626954624</v>
      </c>
      <c r="Q1273" s="6">
        <f t="shared" si="118"/>
        <v>0.99953022079622578</v>
      </c>
      <c r="R1273">
        <f t="shared" si="119"/>
        <v>4.3589527634169632E-4</v>
      </c>
      <c r="T1273" s="5">
        <v>45840</v>
      </c>
      <c r="U1273" s="1">
        <v>4.3589527634169632E-4</v>
      </c>
    </row>
    <row r="1274" spans="3:21" x14ac:dyDescent="0.2">
      <c r="C1274" s="5">
        <v>45841</v>
      </c>
      <c r="D1274" s="6">
        <v>1.00037</v>
      </c>
      <c r="E1274" s="6">
        <v>109540</v>
      </c>
      <c r="F1274" s="6">
        <v>109637.73</v>
      </c>
      <c r="G1274" s="6">
        <v>109573.4</v>
      </c>
      <c r="H1274" s="6">
        <v>109589.1</v>
      </c>
      <c r="I1274" s="5">
        <v>45841</v>
      </c>
      <c r="J1274" s="7">
        <f t="shared" si="116"/>
        <v>-4.4803725918002627E-4</v>
      </c>
      <c r="K1274" s="5">
        <v>45841</v>
      </c>
      <c r="L1274" s="8">
        <f t="shared" si="117"/>
        <v>5.8709504314004811E-4</v>
      </c>
      <c r="M1274" s="5">
        <v>45841</v>
      </c>
      <c r="N1274" s="9">
        <f t="shared" si="114"/>
        <v>1.3905778396002184E-4</v>
      </c>
      <c r="O1274" s="5">
        <v>45841</v>
      </c>
      <c r="P1274">
        <f t="shared" si="115"/>
        <v>1.0001432829500592</v>
      </c>
      <c r="Q1274" s="6">
        <f t="shared" si="118"/>
        <v>0.99963013684936575</v>
      </c>
      <c r="R1274">
        <f t="shared" si="119"/>
        <v>5.1320425291733829E-4</v>
      </c>
      <c r="T1274" s="5">
        <v>45841</v>
      </c>
      <c r="U1274" s="1">
        <v>5.1320425291733829E-4</v>
      </c>
    </row>
    <row r="1275" spans="3:21" x14ac:dyDescent="0.2">
      <c r="C1275" s="5">
        <v>45842</v>
      </c>
      <c r="D1275" s="6">
        <v>1.0003</v>
      </c>
      <c r="E1275" s="6">
        <v>107947.4</v>
      </c>
      <c r="F1275" s="6">
        <v>108097</v>
      </c>
      <c r="G1275" s="6">
        <v>107973.6</v>
      </c>
      <c r="H1275" s="6">
        <v>107998.1</v>
      </c>
      <c r="I1275" s="5">
        <v>45842</v>
      </c>
      <c r="J1275" s="7">
        <f t="shared" si="116"/>
        <v>-4.6945270333470344E-4</v>
      </c>
      <c r="K1275" s="5">
        <v>45842</v>
      </c>
      <c r="L1275" s="8">
        <f t="shared" si="117"/>
        <v>1.1428719612941883E-3</v>
      </c>
      <c r="M1275" s="5">
        <v>45842</v>
      </c>
      <c r="N1275" s="9">
        <f t="shared" si="114"/>
        <v>6.7341925795948491E-4</v>
      </c>
      <c r="O1275" s="5">
        <v>45842</v>
      </c>
      <c r="P1275">
        <f t="shared" si="115"/>
        <v>1.0002269073180852</v>
      </c>
      <c r="Q1275" s="6">
        <f t="shared" si="118"/>
        <v>0.99970008997300808</v>
      </c>
      <c r="R1275">
        <f t="shared" si="119"/>
        <v>5.2683658751121159E-4</v>
      </c>
      <c r="T1275" s="5">
        <v>45842</v>
      </c>
      <c r="U1275" s="1">
        <v>5.2683658751121159E-4</v>
      </c>
    </row>
    <row r="1276" spans="3:21" x14ac:dyDescent="0.2">
      <c r="C1276" s="5">
        <v>45843</v>
      </c>
      <c r="D1276" s="6">
        <v>1.00027</v>
      </c>
      <c r="E1276" s="6">
        <v>108144.4</v>
      </c>
      <c r="F1276" s="6">
        <v>108302.54</v>
      </c>
      <c r="G1276" s="6">
        <v>108186</v>
      </c>
      <c r="H1276" s="6">
        <v>108203.6</v>
      </c>
      <c r="I1276" s="5">
        <v>45843</v>
      </c>
      <c r="J1276" s="7">
        <f t="shared" si="116"/>
        <v>-5.4711673179091676E-4</v>
      </c>
      <c r="K1276" s="5">
        <v>45843</v>
      </c>
      <c r="L1276" s="8">
        <f t="shared" si="117"/>
        <v>1.0772188638085668E-3</v>
      </c>
      <c r="M1276" s="5">
        <v>45843</v>
      </c>
      <c r="N1276" s="9">
        <f t="shared" si="114"/>
        <v>5.3010213201765003E-4</v>
      </c>
      <c r="O1276" s="5">
        <v>45843</v>
      </c>
      <c r="P1276">
        <f t="shared" si="115"/>
        <v>1.000162682787052</v>
      </c>
      <c r="Q1276" s="6">
        <f t="shared" si="118"/>
        <v>0.99973007288032234</v>
      </c>
      <c r="R1276">
        <f t="shared" si="119"/>
        <v>4.3263311220193603E-4</v>
      </c>
      <c r="T1276" s="5">
        <v>45843</v>
      </c>
      <c r="U1276" s="1">
        <v>4.3263311220193603E-4</v>
      </c>
    </row>
    <row r="1277" spans="3:21" x14ac:dyDescent="0.2">
      <c r="C1277" s="5">
        <v>45844</v>
      </c>
      <c r="D1277" s="6">
        <v>1.0001500000000001</v>
      </c>
      <c r="E1277" s="6">
        <v>109160.5</v>
      </c>
      <c r="F1277" s="6">
        <v>109231.87</v>
      </c>
      <c r="G1277" s="6">
        <v>109182.1</v>
      </c>
      <c r="H1277" s="6">
        <v>109205.1</v>
      </c>
      <c r="I1277" s="5">
        <v>45844</v>
      </c>
      <c r="J1277" s="7">
        <f t="shared" si="116"/>
        <v>-4.0840583452609648E-4</v>
      </c>
      <c r="K1277" s="5">
        <v>45844</v>
      </c>
      <c r="L1277" s="8">
        <f t="shared" si="117"/>
        <v>4.5584395244265788E-4</v>
      </c>
      <c r="M1277" s="5">
        <v>45844</v>
      </c>
      <c r="N1277" s="9">
        <f t="shared" si="114"/>
        <v>4.7438117916561405E-5</v>
      </c>
      <c r="O1277" s="5">
        <v>45844</v>
      </c>
      <c r="P1277">
        <f t="shared" si="115"/>
        <v>1.0002106572414342</v>
      </c>
      <c r="Q1277" s="6">
        <f t="shared" si="118"/>
        <v>0.99985002249662536</v>
      </c>
      <c r="R1277">
        <f t="shared" si="119"/>
        <v>3.6062380743805237E-4</v>
      </c>
      <c r="T1277" s="5">
        <v>45844</v>
      </c>
      <c r="U1277" s="1">
        <v>3.6062380743805237E-4</v>
      </c>
    </row>
    <row r="1278" spans="3:21" x14ac:dyDescent="0.2">
      <c r="C1278" s="5">
        <v>45845</v>
      </c>
      <c r="D1278" s="6">
        <v>1.0001100000000001</v>
      </c>
      <c r="E1278" s="6">
        <v>108200</v>
      </c>
      <c r="F1278" s="6">
        <v>108273.61</v>
      </c>
      <c r="G1278" s="6">
        <v>108222.3</v>
      </c>
      <c r="H1278" s="6">
        <v>108252.5</v>
      </c>
      <c r="I1278" s="5">
        <v>45845</v>
      </c>
      <c r="J1278" s="7">
        <f t="shared" si="116"/>
        <v>-4.8497725225745363E-4</v>
      </c>
      <c r="K1278" s="5">
        <v>45845</v>
      </c>
      <c r="L1278" s="8">
        <f t="shared" si="117"/>
        <v>4.7411670238017183E-4</v>
      </c>
      <c r="M1278" s="5">
        <v>45845</v>
      </c>
      <c r="N1278" s="9">
        <f t="shared" si="114"/>
        <v>-1.0860549877281798E-5</v>
      </c>
      <c r="O1278" s="5">
        <v>45845</v>
      </c>
      <c r="P1278">
        <f t="shared" si="115"/>
        <v>1.0002790552409255</v>
      </c>
      <c r="Q1278" s="6">
        <f t="shared" si="118"/>
        <v>0.99989001209866912</v>
      </c>
      <c r="R1278">
        <f t="shared" si="119"/>
        <v>3.8901026269753616E-4</v>
      </c>
      <c r="T1278" s="5">
        <v>45845</v>
      </c>
      <c r="U1278" s="1">
        <v>3.8901026269753616E-4</v>
      </c>
    </row>
    <row r="1279" spans="3:21" x14ac:dyDescent="0.2">
      <c r="C1279" s="5">
        <v>45846</v>
      </c>
      <c r="D1279" s="6">
        <v>1.0002200000000001</v>
      </c>
      <c r="E1279" s="6">
        <v>108881.9</v>
      </c>
      <c r="F1279" s="6">
        <v>108942.12</v>
      </c>
      <c r="G1279" s="6">
        <v>108904</v>
      </c>
      <c r="H1279" s="6">
        <v>108930.4</v>
      </c>
      <c r="I1279" s="5">
        <v>45846</v>
      </c>
      <c r="J1279" s="7">
        <f t="shared" si="116"/>
        <v>-4.4523842747295524E-4</v>
      </c>
      <c r="K1279" s="5">
        <v>45846</v>
      </c>
      <c r="L1279" s="8">
        <f t="shared" si="117"/>
        <v>3.5003305663699536E-4</v>
      </c>
      <c r="M1279" s="5">
        <v>45846</v>
      </c>
      <c r="N1279" s="9">
        <f t="shared" si="114"/>
        <v>-9.5205370835959875E-5</v>
      </c>
      <c r="O1279" s="5">
        <v>45846</v>
      </c>
      <c r="P1279">
        <f t="shared" si="115"/>
        <v>1.0002424153382796</v>
      </c>
      <c r="Q1279" s="6">
        <f t="shared" si="118"/>
        <v>0.99978004838935419</v>
      </c>
      <c r="R1279">
        <f t="shared" si="119"/>
        <v>4.6236176397803388E-4</v>
      </c>
      <c r="T1279" s="5">
        <v>45846</v>
      </c>
      <c r="U1279" s="1">
        <v>4.6236176397803388E-4</v>
      </c>
    </row>
    <row r="1280" spans="3:21" x14ac:dyDescent="0.2">
      <c r="C1280" s="5">
        <v>45847</v>
      </c>
      <c r="D1280" s="6">
        <v>1.0003599999999999</v>
      </c>
      <c r="E1280" s="6">
        <v>111209.7</v>
      </c>
      <c r="F1280" s="6">
        <v>111255.76</v>
      </c>
      <c r="G1280" s="6">
        <v>111252.1</v>
      </c>
      <c r="H1280" s="6">
        <v>111256.3</v>
      </c>
      <c r="I1280" s="5">
        <v>45847</v>
      </c>
      <c r="J1280" s="7">
        <f t="shared" si="116"/>
        <v>-4.1885268519630637E-4</v>
      </c>
      <c r="K1280" s="5">
        <v>45847</v>
      </c>
      <c r="L1280" s="8">
        <f t="shared" si="117"/>
        <v>3.2898255403618809E-5</v>
      </c>
      <c r="M1280" s="5">
        <v>45847</v>
      </c>
      <c r="N1280" s="9">
        <f t="shared" si="114"/>
        <v>-3.8595442979268754E-4</v>
      </c>
      <c r="O1280" s="5">
        <v>45847</v>
      </c>
      <c r="P1280">
        <f t="shared" si="115"/>
        <v>1.0000377520963648</v>
      </c>
      <c r="Q1280" s="6">
        <f t="shared" si="118"/>
        <v>0.9996401295533609</v>
      </c>
      <c r="R1280">
        <f t="shared" si="119"/>
        <v>3.9768659932012219E-4</v>
      </c>
      <c r="T1280" s="5">
        <v>45847</v>
      </c>
      <c r="U1280" s="1">
        <v>3.9768659932012219E-4</v>
      </c>
    </row>
    <row r="1281" spans="3:21" x14ac:dyDescent="0.2">
      <c r="C1281" s="5">
        <v>45848</v>
      </c>
      <c r="D1281" s="6">
        <v>1.0002899999999999</v>
      </c>
      <c r="E1281" s="6">
        <v>115990.1</v>
      </c>
      <c r="F1281" s="6">
        <v>115160.05</v>
      </c>
      <c r="G1281" s="6">
        <v>115990.7</v>
      </c>
      <c r="H1281" s="6">
        <v>116014.3</v>
      </c>
      <c r="I1281" s="5">
        <v>45848</v>
      </c>
      <c r="J1281" s="7">
        <f t="shared" si="116"/>
        <v>-2.0859497492978958E-4</v>
      </c>
      <c r="K1281" s="5">
        <v>45848</v>
      </c>
      <c r="L1281" s="8">
        <f t="shared" si="117"/>
        <v>-7.1613500047848161E-3</v>
      </c>
      <c r="M1281" s="5">
        <v>45848</v>
      </c>
      <c r="N1281" s="9">
        <f t="shared" si="114"/>
        <v>-7.3699449797146061E-3</v>
      </c>
      <c r="O1281" s="5">
        <v>45848</v>
      </c>
      <c r="P1281">
        <f t="shared" si="115"/>
        <v>1.0002034645881093</v>
      </c>
      <c r="Q1281" s="6">
        <f t="shared" si="118"/>
        <v>0.99971008407561812</v>
      </c>
      <c r="R1281">
        <f t="shared" si="119"/>
        <v>4.9340185012510483E-4</v>
      </c>
      <c r="T1281" s="5">
        <v>45848</v>
      </c>
      <c r="U1281" s="1">
        <v>4.9340185012510483E-4</v>
      </c>
    </row>
    <row r="1282" spans="3:21" x14ac:dyDescent="0.2">
      <c r="C1282" s="5">
        <v>45849</v>
      </c>
      <c r="D1282" s="6">
        <v>1.00038</v>
      </c>
      <c r="E1282" s="6">
        <v>117508.8</v>
      </c>
      <c r="F1282" s="6">
        <v>116885.69</v>
      </c>
      <c r="G1282" s="6">
        <v>117546.2</v>
      </c>
      <c r="H1282" s="6">
        <v>117533.9</v>
      </c>
      <c r="I1282" s="5">
        <v>45849</v>
      </c>
      <c r="J1282" s="7">
        <f t="shared" si="116"/>
        <v>-2.1355540826936968E-4</v>
      </c>
      <c r="K1282" s="5">
        <v>45849</v>
      </c>
      <c r="L1282" s="8">
        <f t="shared" si="117"/>
        <v>-5.6191522992661167E-3</v>
      </c>
      <c r="M1282" s="5">
        <v>45849</v>
      </c>
      <c r="N1282" s="9">
        <f t="shared" si="114"/>
        <v>-5.8327077075354863E-3</v>
      </c>
      <c r="O1282" s="5">
        <v>45849</v>
      </c>
      <c r="P1282">
        <f t="shared" si="115"/>
        <v>0.99989536029237858</v>
      </c>
      <c r="Q1282" s="6">
        <f t="shared" si="118"/>
        <v>0.99962014434514879</v>
      </c>
      <c r="R1282">
        <f t="shared" si="119"/>
        <v>2.7528263554800161E-4</v>
      </c>
      <c r="T1282" s="5">
        <v>45849</v>
      </c>
      <c r="U1282" s="1">
        <v>2.7528263554800161E-4</v>
      </c>
    </row>
    <row r="1283" spans="3:21" x14ac:dyDescent="0.2">
      <c r="C1283" s="5">
        <v>45850</v>
      </c>
      <c r="D1283" s="6">
        <v>1.0002599999999999</v>
      </c>
      <c r="E1283" s="6">
        <v>117369.9</v>
      </c>
      <c r="F1283" s="6">
        <v>116616.92</v>
      </c>
      <c r="G1283" s="6">
        <v>117429.5</v>
      </c>
      <c r="H1283" s="6">
        <v>117427.9</v>
      </c>
      <c r="I1283" s="5">
        <v>45850</v>
      </c>
      <c r="J1283" s="7">
        <f t="shared" si="116"/>
        <v>-4.9392009905652743E-4</v>
      </c>
      <c r="K1283" s="5">
        <v>45850</v>
      </c>
      <c r="L1283" s="8">
        <f t="shared" si="117"/>
        <v>-6.9197263038674418E-3</v>
      </c>
      <c r="M1283" s="5">
        <v>45850</v>
      </c>
      <c r="N1283" s="9">
        <f t="shared" si="114"/>
        <v>-7.4136464029239697E-3</v>
      </c>
      <c r="O1283" s="5">
        <v>45850</v>
      </c>
      <c r="P1283">
        <f t="shared" si="115"/>
        <v>0.99998637480360553</v>
      </c>
      <c r="Q1283" s="6">
        <f t="shared" si="118"/>
        <v>0.99974006758242862</v>
      </c>
      <c r="R1283">
        <f t="shared" si="119"/>
        <v>2.4634091663906777E-4</v>
      </c>
      <c r="T1283" s="5">
        <v>45850</v>
      </c>
      <c r="U1283" s="1">
        <v>2.4634091663906777E-4</v>
      </c>
    </row>
    <row r="1284" spans="3:21" x14ac:dyDescent="0.2">
      <c r="C1284" s="5">
        <v>45851</v>
      </c>
      <c r="D1284" s="6">
        <v>1.0003899999999999</v>
      </c>
      <c r="E1284" s="6">
        <v>119050.2</v>
      </c>
      <c r="F1284" s="6">
        <v>118626.97</v>
      </c>
      <c r="G1284" s="6">
        <v>119066</v>
      </c>
      <c r="H1284" s="6">
        <v>119094</v>
      </c>
      <c r="I1284" s="5">
        <v>45851</v>
      </c>
      <c r="J1284" s="7">
        <f t="shared" si="116"/>
        <v>-3.6777671419217518E-4</v>
      </c>
      <c r="K1284" s="5">
        <v>45851</v>
      </c>
      <c r="L1284" s="8">
        <f t="shared" si="117"/>
        <v>-3.6872826835536495E-3</v>
      </c>
      <c r="M1284" s="5">
        <v>45851</v>
      </c>
      <c r="N1284" s="9">
        <f t="shared" si="114"/>
        <v>-4.0550593977458247E-3</v>
      </c>
      <c r="O1284" s="5">
        <v>45851</v>
      </c>
      <c r="P1284">
        <f t="shared" si="115"/>
        <v>1.0002351636907263</v>
      </c>
      <c r="Q1284" s="6">
        <f t="shared" si="118"/>
        <v>0.99961015204070425</v>
      </c>
      <c r="R1284">
        <f t="shared" si="119"/>
        <v>6.2506001384695145E-4</v>
      </c>
      <c r="T1284" s="5">
        <v>45851</v>
      </c>
      <c r="U1284" s="1">
        <v>6.2506001384695145E-4</v>
      </c>
    </row>
    <row r="1285" spans="3:21" x14ac:dyDescent="0.2">
      <c r="C1285" s="5">
        <v>45852</v>
      </c>
      <c r="D1285" s="6">
        <v>1.0001800000000001</v>
      </c>
      <c r="E1285" s="6">
        <v>119841.60000000001</v>
      </c>
      <c r="F1285" s="6">
        <v>119716.76</v>
      </c>
      <c r="G1285" s="6">
        <v>119909.5</v>
      </c>
      <c r="H1285" s="6">
        <v>119844.5</v>
      </c>
      <c r="I1285" s="5">
        <v>45852</v>
      </c>
      <c r="J1285" s="7">
        <f t="shared" si="116"/>
        <v>-2.4198023271774503E-5</v>
      </c>
      <c r="K1285" s="5">
        <v>45852</v>
      </c>
      <c r="L1285" s="8">
        <f t="shared" si="117"/>
        <v>-1.6073788982524757E-3</v>
      </c>
      <c r="M1285" s="5">
        <v>45852</v>
      </c>
      <c r="N1285" s="9">
        <f t="shared" si="114"/>
        <v>-1.6315769215242502E-3</v>
      </c>
      <c r="O1285" s="5">
        <v>45852</v>
      </c>
      <c r="P1285">
        <f t="shared" si="115"/>
        <v>0.99945792451807403</v>
      </c>
      <c r="Q1285" s="6">
        <f t="shared" si="118"/>
        <v>0.99982003239416894</v>
      </c>
      <c r="R1285">
        <f t="shared" si="119"/>
        <v>-3.6223865601337489E-4</v>
      </c>
      <c r="T1285" s="5">
        <v>45852</v>
      </c>
      <c r="U1285" s="1">
        <v>-3.6223865601337489E-4</v>
      </c>
    </row>
    <row r="1286" spans="3:21" x14ac:dyDescent="0.2">
      <c r="C1286" s="5">
        <v>45853</v>
      </c>
      <c r="D1286" s="6">
        <v>1.0001</v>
      </c>
      <c r="E1286" s="6">
        <v>117745.7</v>
      </c>
      <c r="F1286" s="6">
        <v>117682.12</v>
      </c>
      <c r="G1286" s="6">
        <v>117792.7</v>
      </c>
      <c r="H1286" s="6">
        <v>117740.1</v>
      </c>
      <c r="I1286" s="5">
        <v>45853</v>
      </c>
      <c r="J1286" s="7">
        <f t="shared" si="116"/>
        <v>4.7562385287521149E-5</v>
      </c>
      <c r="K1286" s="5">
        <v>45853</v>
      </c>
      <c r="L1286" s="8">
        <f t="shared" si="117"/>
        <v>-9.3876785233721401E-4</v>
      </c>
      <c r="M1286" s="5">
        <v>45853</v>
      </c>
      <c r="N1286" s="9">
        <f t="shared" si="114"/>
        <v>-8.9120546704969281E-4</v>
      </c>
      <c r="O1286" s="5">
        <v>45853</v>
      </c>
      <c r="P1286">
        <f t="shared" si="115"/>
        <v>0.99955345280310259</v>
      </c>
      <c r="Q1286" s="6">
        <f t="shared" si="118"/>
        <v>0.99990000999900008</v>
      </c>
      <c r="R1286">
        <f t="shared" si="119"/>
        <v>-3.4665192845475032E-4</v>
      </c>
      <c r="T1286" s="5">
        <v>45853</v>
      </c>
      <c r="U1286" s="1">
        <v>-3.4665192845475032E-4</v>
      </c>
    </row>
    <row r="1287" spans="3:21" x14ac:dyDescent="0.2">
      <c r="C1287" s="5">
        <v>45854</v>
      </c>
      <c r="D1287" s="6">
        <v>1.0005200000000001</v>
      </c>
      <c r="E1287" s="6">
        <v>118626.3</v>
      </c>
      <c r="F1287" s="6">
        <v>118641.3</v>
      </c>
      <c r="G1287" s="6">
        <v>118698.9</v>
      </c>
      <c r="H1287" s="6">
        <v>118634.4</v>
      </c>
      <c r="I1287" s="5">
        <v>45854</v>
      </c>
      <c r="J1287" s="7">
        <f t="shared" si="116"/>
        <v>-6.8276992170831301E-5</v>
      </c>
      <c r="K1287" s="5">
        <v>45854</v>
      </c>
      <c r="L1287" s="8">
        <f t="shared" si="117"/>
        <v>-4.8526144724164478E-4</v>
      </c>
      <c r="M1287" s="5">
        <v>45854</v>
      </c>
      <c r="N1287" s="9">
        <f t="shared" si="114"/>
        <v>-5.5353843941247604E-4</v>
      </c>
      <c r="O1287" s="5">
        <v>45854</v>
      </c>
      <c r="P1287">
        <f t="shared" si="115"/>
        <v>0.9994566082752242</v>
      </c>
      <c r="Q1287" s="6">
        <f t="shared" si="118"/>
        <v>0.99948027025946495</v>
      </c>
      <c r="R1287">
        <f t="shared" si="119"/>
        <v>-2.3674568712998563E-5</v>
      </c>
      <c r="T1287" s="5">
        <v>45854</v>
      </c>
      <c r="U1287" s="1">
        <v>-2.3674568712998563E-5</v>
      </c>
    </row>
    <row r="1288" spans="3:21" x14ac:dyDescent="0.2">
      <c r="C1288" s="5">
        <v>45855</v>
      </c>
      <c r="D1288" s="6">
        <v>1.0007200000000001</v>
      </c>
      <c r="E1288" s="6">
        <v>119218.7</v>
      </c>
      <c r="F1288" s="6">
        <v>119101.81</v>
      </c>
      <c r="G1288" s="6">
        <v>119242</v>
      </c>
      <c r="H1288" s="6">
        <v>119176.6</v>
      </c>
      <c r="I1288" s="5">
        <v>45855</v>
      </c>
      <c r="J1288" s="7">
        <f t="shared" si="116"/>
        <v>3.5325726694662599E-4</v>
      </c>
      <c r="K1288" s="5">
        <v>45855</v>
      </c>
      <c r="L1288" s="8">
        <f t="shared" si="117"/>
        <v>-1.1756763556465199E-3</v>
      </c>
      <c r="M1288" s="5">
        <v>45855</v>
      </c>
      <c r="N1288" s="9">
        <f t="shared" ref="N1288:N1351" si="120">J1288+L1288</f>
        <v>-8.2241908869989391E-4</v>
      </c>
      <c r="O1288" s="5">
        <v>45855</v>
      </c>
      <c r="P1288">
        <f t="shared" ref="P1288:P1351" si="121">(1/G1288)*H1288</f>
        <v>0.99945153553278221</v>
      </c>
      <c r="Q1288" s="6">
        <f t="shared" si="118"/>
        <v>0.99928051802702045</v>
      </c>
      <c r="R1288">
        <f t="shared" si="119"/>
        <v>1.7112599547757345E-4</v>
      </c>
      <c r="T1288" s="5">
        <v>45855</v>
      </c>
      <c r="U1288" s="1">
        <v>1.7112599547757345E-4</v>
      </c>
    </row>
    <row r="1289" spans="3:21" x14ac:dyDescent="0.2">
      <c r="C1289" s="5">
        <v>45856</v>
      </c>
      <c r="D1289" s="6">
        <v>1.0006600000000001</v>
      </c>
      <c r="E1289" s="6">
        <v>117930.1</v>
      </c>
      <c r="F1289" s="6">
        <v>117877.79</v>
      </c>
      <c r="G1289" s="6">
        <v>118005.7</v>
      </c>
      <c r="H1289" s="6">
        <v>117933.9</v>
      </c>
      <c r="I1289" s="5">
        <v>45856</v>
      </c>
      <c r="J1289" s="7">
        <f t="shared" ref="J1289:J1352" si="122">(E1289-H1289)/H1289</f>
        <v>-3.222143929767742E-5</v>
      </c>
      <c r="K1289" s="5">
        <v>45856</v>
      </c>
      <c r="L1289" s="8">
        <f t="shared" ref="L1289:L1352" si="123">(F1289-G1289)/G1289</f>
        <v>-1.0839306914835767E-3</v>
      </c>
      <c r="M1289" s="5">
        <v>45856</v>
      </c>
      <c r="N1289" s="9">
        <f t="shared" si="120"/>
        <v>-1.1161521307812541E-3</v>
      </c>
      <c r="O1289" s="5">
        <v>45856</v>
      </c>
      <c r="P1289">
        <f t="shared" si="121"/>
        <v>0.99939155481472508</v>
      </c>
      <c r="Q1289" s="6">
        <f t="shared" ref="Q1289:Q1352" si="124">1/D1289</f>
        <v>0.99934043531269356</v>
      </c>
      <c r="R1289">
        <f t="shared" ref="R1289:R1352" si="125">LN(P1289/Q1289)</f>
        <v>5.1151932620466835E-5</v>
      </c>
      <c r="T1289" s="5">
        <v>45856</v>
      </c>
      <c r="U1289" s="1">
        <v>5.1151932620466835E-5</v>
      </c>
    </row>
    <row r="1290" spans="3:21" x14ac:dyDescent="0.2">
      <c r="C1290" s="5">
        <v>45857</v>
      </c>
      <c r="D1290" s="6">
        <v>1.0005200000000001</v>
      </c>
      <c r="E1290" s="6">
        <v>117842.1</v>
      </c>
      <c r="F1290" s="6">
        <v>117809.72</v>
      </c>
      <c r="G1290" s="6">
        <v>117904.5</v>
      </c>
      <c r="H1290" s="6">
        <v>117838.5</v>
      </c>
      <c r="I1290" s="5">
        <v>45857</v>
      </c>
      <c r="J1290" s="7">
        <f t="shared" si="122"/>
        <v>3.0550287045454758E-5</v>
      </c>
      <c r="K1290" s="5">
        <v>45857</v>
      </c>
      <c r="L1290" s="8">
        <f t="shared" si="123"/>
        <v>-8.0387092943864599E-4</v>
      </c>
      <c r="M1290" s="5">
        <v>45857</v>
      </c>
      <c r="N1290" s="9">
        <f t="shared" si="120"/>
        <v>-7.7332064239319124E-4</v>
      </c>
      <c r="O1290" s="5">
        <v>45857</v>
      </c>
      <c r="P1290">
        <f t="shared" si="121"/>
        <v>0.99944022492780182</v>
      </c>
      <c r="Q1290" s="6">
        <f t="shared" si="124"/>
        <v>0.99948027025946495</v>
      </c>
      <c r="R1290">
        <f t="shared" si="125"/>
        <v>-4.0066957905389584E-5</v>
      </c>
      <c r="T1290" s="5">
        <v>45857</v>
      </c>
      <c r="U1290" s="1">
        <v>-4.0066957905389584E-5</v>
      </c>
    </row>
    <row r="1291" spans="3:21" x14ac:dyDescent="0.2">
      <c r="C1291" s="5">
        <v>45858</v>
      </c>
      <c r="D1291" s="6">
        <v>1.0004999999999999</v>
      </c>
      <c r="E1291" s="6">
        <v>117290.4</v>
      </c>
      <c r="F1291" s="6">
        <v>117240.87</v>
      </c>
      <c r="G1291" s="6">
        <v>117350</v>
      </c>
      <c r="H1291" s="6">
        <v>117266.7</v>
      </c>
      <c r="I1291" s="5">
        <v>45858</v>
      </c>
      <c r="J1291" s="7">
        <f t="shared" si="122"/>
        <v>2.0210341043106945E-4</v>
      </c>
      <c r="K1291" s="5">
        <v>45858</v>
      </c>
      <c r="L1291" s="8">
        <f t="shared" si="123"/>
        <v>-9.2995313165747471E-4</v>
      </c>
      <c r="M1291" s="5">
        <v>45858</v>
      </c>
      <c r="N1291" s="9">
        <f t="shared" si="120"/>
        <v>-7.2784972122640523E-4</v>
      </c>
      <c r="O1291" s="5">
        <v>45858</v>
      </c>
      <c r="P1291">
        <f t="shared" si="121"/>
        <v>0.99929015764806128</v>
      </c>
      <c r="Q1291" s="6">
        <f t="shared" si="124"/>
        <v>0.99950024987506247</v>
      </c>
      <c r="R1291">
        <f t="shared" si="125"/>
        <v>-2.1021936765767353E-4</v>
      </c>
      <c r="T1291" s="5">
        <v>45858</v>
      </c>
      <c r="U1291" s="1">
        <v>-2.1021936765767353E-4</v>
      </c>
    </row>
    <row r="1292" spans="3:21" x14ac:dyDescent="0.2">
      <c r="C1292" s="5">
        <v>45859</v>
      </c>
      <c r="D1292" s="6">
        <v>1.0004200000000001</v>
      </c>
      <c r="E1292" s="6">
        <v>117393</v>
      </c>
      <c r="F1292" s="6">
        <v>117402.48</v>
      </c>
      <c r="G1292" s="6">
        <v>117442.5</v>
      </c>
      <c r="H1292" s="6">
        <v>117373.8</v>
      </c>
      <c r="I1292" s="5">
        <v>45859</v>
      </c>
      <c r="J1292" s="7">
        <f t="shared" si="122"/>
        <v>1.6357994714320478E-4</v>
      </c>
      <c r="K1292" s="5">
        <v>45859</v>
      </c>
      <c r="L1292" s="8">
        <f t="shared" si="123"/>
        <v>-3.4076250079829768E-4</v>
      </c>
      <c r="M1292" s="5">
        <v>45859</v>
      </c>
      <c r="N1292" s="9">
        <f t="shared" si="120"/>
        <v>-1.7718255365509289E-4</v>
      </c>
      <c r="O1292" s="5">
        <v>45859</v>
      </c>
      <c r="P1292">
        <f t="shared" si="121"/>
        <v>0.99941503288843481</v>
      </c>
      <c r="Q1292" s="6">
        <f t="shared" si="124"/>
        <v>0.99958017632594298</v>
      </c>
      <c r="R1292">
        <f t="shared" si="125"/>
        <v>-1.6522644688957844E-4</v>
      </c>
      <c r="T1292" s="5">
        <v>45859</v>
      </c>
      <c r="U1292" s="1">
        <v>-1.6522644688957844E-4</v>
      </c>
    </row>
    <row r="1293" spans="3:21" x14ac:dyDescent="0.2">
      <c r="C1293" s="5">
        <v>45860</v>
      </c>
      <c r="D1293" s="6">
        <v>1.0005500000000001</v>
      </c>
      <c r="E1293" s="6">
        <v>120043.6</v>
      </c>
      <c r="F1293" s="6">
        <v>119982.29</v>
      </c>
      <c r="G1293" s="6">
        <v>120098.1</v>
      </c>
      <c r="H1293" s="6">
        <v>119950.5</v>
      </c>
      <c r="I1293" s="5">
        <v>45860</v>
      </c>
      <c r="J1293" s="7">
        <f t="shared" si="122"/>
        <v>7.7615349665075028E-4</v>
      </c>
      <c r="K1293" s="5">
        <v>45860</v>
      </c>
      <c r="L1293" s="8">
        <f t="shared" si="123"/>
        <v>-9.6429502215282525E-4</v>
      </c>
      <c r="M1293" s="5">
        <v>45860</v>
      </c>
      <c r="N1293" s="9">
        <f t="shared" si="120"/>
        <v>-1.8814152550207497E-4</v>
      </c>
      <c r="O1293" s="5">
        <v>45860</v>
      </c>
      <c r="P1293">
        <f t="shared" si="121"/>
        <v>0.99877100470365476</v>
      </c>
      <c r="Q1293" s="6">
        <f t="shared" si="124"/>
        <v>0.99945030233371646</v>
      </c>
      <c r="R1293">
        <f t="shared" si="125"/>
        <v>-6.79902324970127E-4</v>
      </c>
      <c r="T1293" s="5">
        <v>45860</v>
      </c>
      <c r="U1293" s="1">
        <v>-6.79902324970127E-4</v>
      </c>
    </row>
    <row r="1294" spans="3:21" x14ac:dyDescent="0.2">
      <c r="C1294" s="5">
        <v>45861</v>
      </c>
      <c r="D1294" s="6">
        <v>1.00048</v>
      </c>
      <c r="E1294" s="6">
        <v>118743.4</v>
      </c>
      <c r="F1294" s="6">
        <v>118798.55</v>
      </c>
      <c r="G1294" s="6">
        <v>118804.8</v>
      </c>
      <c r="H1294" s="6">
        <v>118748.8</v>
      </c>
      <c r="I1294" s="5">
        <v>45861</v>
      </c>
      <c r="J1294" s="7">
        <f t="shared" si="122"/>
        <v>-4.5474143738789201E-5</v>
      </c>
      <c r="K1294" s="5">
        <v>45861</v>
      </c>
      <c r="L1294" s="8">
        <f t="shared" si="123"/>
        <v>-5.2607302061869556E-5</v>
      </c>
      <c r="M1294" s="5">
        <v>45861</v>
      </c>
      <c r="N1294" s="9">
        <f t="shared" si="120"/>
        <v>-9.8081445800658756E-5</v>
      </c>
      <c r="O1294" s="5">
        <v>45861</v>
      </c>
      <c r="P1294">
        <f t="shared" si="121"/>
        <v>0.99952863857352559</v>
      </c>
      <c r="Q1294" s="6">
        <f t="shared" si="124"/>
        <v>0.99952023028946102</v>
      </c>
      <c r="R1294">
        <f t="shared" si="125"/>
        <v>8.4122846576410951E-6</v>
      </c>
      <c r="T1294" s="5">
        <v>45861</v>
      </c>
      <c r="U1294" s="1">
        <v>8.4122846576410951E-6</v>
      </c>
    </row>
    <row r="1295" spans="3:21" x14ac:dyDescent="0.2">
      <c r="C1295" s="5">
        <v>45862</v>
      </c>
      <c r="D1295" s="6">
        <v>1.0004500000000001</v>
      </c>
      <c r="E1295" s="6">
        <v>118328</v>
      </c>
      <c r="F1295" s="6">
        <v>118381.49</v>
      </c>
      <c r="G1295" s="6">
        <v>118380.8</v>
      </c>
      <c r="H1295" s="6">
        <v>118348.4</v>
      </c>
      <c r="I1295" s="5">
        <v>45862</v>
      </c>
      <c r="J1295" s="7">
        <f t="shared" si="122"/>
        <v>-1.7237241906096053E-4</v>
      </c>
      <c r="K1295" s="5">
        <v>45862</v>
      </c>
      <c r="L1295" s="8">
        <f t="shared" si="123"/>
        <v>5.8286478888665076E-6</v>
      </c>
      <c r="M1295" s="5">
        <v>45862</v>
      </c>
      <c r="N1295" s="9">
        <f t="shared" si="120"/>
        <v>-1.6654377117209402E-4</v>
      </c>
      <c r="O1295" s="5">
        <v>45862</v>
      </c>
      <c r="P1295">
        <f t="shared" si="121"/>
        <v>0.99972630696869758</v>
      </c>
      <c r="Q1295" s="6">
        <f t="shared" si="124"/>
        <v>0.9995502024089159</v>
      </c>
      <c r="R1295">
        <f t="shared" si="125"/>
        <v>1.7616828828930753E-4</v>
      </c>
      <c r="T1295" s="5">
        <v>45862</v>
      </c>
      <c r="U1295" s="1">
        <v>1.7616828828930753E-4</v>
      </c>
    </row>
    <row r="1296" spans="3:21" x14ac:dyDescent="0.2">
      <c r="C1296" s="5">
        <v>45863</v>
      </c>
      <c r="D1296" s="6">
        <v>1.0001599999999999</v>
      </c>
      <c r="E1296" s="6">
        <v>117616.3</v>
      </c>
      <c r="F1296" s="6">
        <v>117565.98</v>
      </c>
      <c r="G1296" s="6">
        <v>117693.6</v>
      </c>
      <c r="H1296" s="6">
        <v>117607.9</v>
      </c>
      <c r="I1296" s="5">
        <v>45863</v>
      </c>
      <c r="J1296" s="7">
        <f t="shared" si="122"/>
        <v>7.1423773403051424E-5</v>
      </c>
      <c r="K1296" s="5">
        <v>45863</v>
      </c>
      <c r="L1296" s="8">
        <f t="shared" si="123"/>
        <v>-1.0843410346867619E-3</v>
      </c>
      <c r="M1296" s="5">
        <v>45863</v>
      </c>
      <c r="N1296" s="9">
        <f t="shared" si="120"/>
        <v>-1.0129172612837105E-3</v>
      </c>
      <c r="O1296" s="5">
        <v>45863</v>
      </c>
      <c r="P1296">
        <f t="shared" si="121"/>
        <v>0.99927183806086306</v>
      </c>
      <c r="Q1296" s="6">
        <f t="shared" si="124"/>
        <v>0.99984002559590468</v>
      </c>
      <c r="R1296">
        <f t="shared" si="125"/>
        <v>-5.6843997644224597E-4</v>
      </c>
      <c r="T1296" s="5">
        <v>45863</v>
      </c>
      <c r="U1296" s="1">
        <v>-5.6843997644224597E-4</v>
      </c>
    </row>
    <row r="1297" spans="3:21" x14ac:dyDescent="0.2">
      <c r="C1297" s="5">
        <v>45864</v>
      </c>
      <c r="D1297" s="6">
        <v>1.0003200000000001</v>
      </c>
      <c r="E1297" s="6">
        <v>117898.8</v>
      </c>
      <c r="F1297" s="6">
        <v>117851.43</v>
      </c>
      <c r="G1297" s="6">
        <v>117950.2</v>
      </c>
      <c r="H1297" s="6">
        <v>117909</v>
      </c>
      <c r="I1297" s="5">
        <v>45864</v>
      </c>
      <c r="J1297" s="7">
        <f t="shared" si="122"/>
        <v>-8.6507391293260818E-5</v>
      </c>
      <c r="K1297" s="5">
        <v>45864</v>
      </c>
      <c r="L1297" s="8">
        <f t="shared" si="123"/>
        <v>-8.3738730413347392E-4</v>
      </c>
      <c r="M1297" s="5">
        <v>45864</v>
      </c>
      <c r="N1297" s="9">
        <f t="shared" si="120"/>
        <v>-9.2389469542673473E-4</v>
      </c>
      <c r="O1297" s="5">
        <v>45864</v>
      </c>
      <c r="P1297">
        <f t="shared" si="121"/>
        <v>0.99965070004120382</v>
      </c>
      <c r="Q1297" s="6">
        <f t="shared" si="124"/>
        <v>0.99968010236724236</v>
      </c>
      <c r="R1297">
        <f t="shared" si="125"/>
        <v>-2.9412167316432924E-5</v>
      </c>
      <c r="T1297" s="5">
        <v>45864</v>
      </c>
      <c r="U1297" s="1">
        <v>-2.9412167316432924E-5</v>
      </c>
    </row>
    <row r="1298" spans="3:21" x14ac:dyDescent="0.2">
      <c r="C1298" s="5">
        <v>45865</v>
      </c>
      <c r="D1298" s="6">
        <v>1.0003299999999999</v>
      </c>
      <c r="E1298" s="6">
        <v>119429.9</v>
      </c>
      <c r="F1298" s="6">
        <v>119398.29</v>
      </c>
      <c r="G1298" s="6">
        <v>119481.3</v>
      </c>
      <c r="H1298" s="6">
        <v>119434.3</v>
      </c>
      <c r="I1298" s="5">
        <v>45865</v>
      </c>
      <c r="J1298" s="7">
        <f t="shared" si="122"/>
        <v>-3.6840338160886201E-5</v>
      </c>
      <c r="K1298" s="5">
        <v>45865</v>
      </c>
      <c r="L1298" s="8">
        <f t="shared" si="123"/>
        <v>-6.9475307014578273E-4</v>
      </c>
      <c r="M1298" s="5">
        <v>45865</v>
      </c>
      <c r="N1298" s="9">
        <f t="shared" si="120"/>
        <v>-7.3159340830666897E-4</v>
      </c>
      <c r="O1298" s="5">
        <v>45865</v>
      </c>
      <c r="P1298">
        <f t="shared" si="121"/>
        <v>0.99960663300449537</v>
      </c>
      <c r="Q1298" s="6">
        <f t="shared" si="124"/>
        <v>0.99967010886407492</v>
      </c>
      <c r="R1298">
        <f t="shared" si="125"/>
        <v>-6.34988226207824E-5</v>
      </c>
      <c r="T1298" s="5">
        <v>45865</v>
      </c>
      <c r="U1298" s="1">
        <v>-6.34988226207824E-5</v>
      </c>
    </row>
    <row r="1299" spans="3:21" x14ac:dyDescent="0.2">
      <c r="C1299" s="5">
        <v>45866</v>
      </c>
      <c r="D1299" s="6">
        <v>0.99999000000000005</v>
      </c>
      <c r="E1299" s="6">
        <v>118068.9</v>
      </c>
      <c r="F1299" s="6">
        <v>118069.93</v>
      </c>
      <c r="G1299" s="6">
        <v>118073.9</v>
      </c>
      <c r="H1299" s="6">
        <v>118079.8</v>
      </c>
      <c r="I1299" s="5">
        <v>45866</v>
      </c>
      <c r="J1299" s="7">
        <f t="shared" si="122"/>
        <v>-9.2310454455450731E-5</v>
      </c>
      <c r="K1299" s="5">
        <v>45866</v>
      </c>
      <c r="L1299" s="8">
        <f t="shared" si="123"/>
        <v>-3.3623010673833629E-5</v>
      </c>
      <c r="M1299" s="5">
        <v>45866</v>
      </c>
      <c r="N1299" s="9">
        <f t="shared" si="120"/>
        <v>-1.2593346512928437E-4</v>
      </c>
      <c r="O1299" s="5">
        <v>45866</v>
      </c>
      <c r="P1299">
        <f t="shared" si="121"/>
        <v>1.0000499687060393</v>
      </c>
      <c r="Q1299" s="6">
        <f t="shared" si="124"/>
        <v>1.000010000100001</v>
      </c>
      <c r="R1299">
        <f t="shared" si="125"/>
        <v>3.9967407644847808E-5</v>
      </c>
      <c r="T1299" s="5">
        <v>45866</v>
      </c>
      <c r="U1299" s="1">
        <v>3.9967407644847808E-5</v>
      </c>
    </row>
    <row r="1300" spans="3:21" x14ac:dyDescent="0.2">
      <c r="C1300" s="5">
        <v>45867</v>
      </c>
      <c r="D1300" s="6">
        <v>0.99987000000000004</v>
      </c>
      <c r="E1300" s="6">
        <v>117923.3</v>
      </c>
      <c r="F1300" s="6">
        <v>117925.42</v>
      </c>
      <c r="G1300" s="6">
        <v>117899.4</v>
      </c>
      <c r="H1300" s="6">
        <v>117938.9</v>
      </c>
      <c r="I1300" s="5">
        <v>45867</v>
      </c>
      <c r="J1300" s="7">
        <f t="shared" si="122"/>
        <v>-1.3227187976139567E-4</v>
      </c>
      <c r="K1300" s="5">
        <v>45867</v>
      </c>
      <c r="L1300" s="8">
        <f t="shared" si="123"/>
        <v>2.2069662780305985E-4</v>
      </c>
      <c r="M1300" s="5">
        <v>45867</v>
      </c>
      <c r="N1300" s="9">
        <f t="shared" si="120"/>
        <v>8.842474804166418E-5</v>
      </c>
      <c r="O1300" s="5">
        <v>45867</v>
      </c>
      <c r="P1300">
        <f t="shared" si="121"/>
        <v>1.0003350313911692</v>
      </c>
      <c r="Q1300" s="6">
        <f t="shared" si="124"/>
        <v>1.0001300169021972</v>
      </c>
      <c r="R1300">
        <f t="shared" si="125"/>
        <v>2.049668299525227E-4</v>
      </c>
      <c r="T1300" s="5">
        <v>45867</v>
      </c>
      <c r="U1300" s="1">
        <v>2.049668299525227E-4</v>
      </c>
    </row>
    <row r="1301" spans="3:21" x14ac:dyDescent="0.2">
      <c r="C1301" s="5">
        <v>45868</v>
      </c>
      <c r="D1301" s="6">
        <v>0.99992000000000003</v>
      </c>
      <c r="E1301" s="6">
        <v>117781.6</v>
      </c>
      <c r="F1301" s="6">
        <v>117783.03</v>
      </c>
      <c r="G1301" s="6">
        <v>117797.8</v>
      </c>
      <c r="H1301" s="6">
        <v>117821.4</v>
      </c>
      <c r="I1301" s="5">
        <v>45868</v>
      </c>
      <c r="J1301" s="7">
        <f t="shared" si="122"/>
        <v>-3.3779941504674329E-4</v>
      </c>
      <c r="K1301" s="5">
        <v>45868</v>
      </c>
      <c r="L1301" s="8">
        <f t="shared" si="123"/>
        <v>-1.2538434503873649E-4</v>
      </c>
      <c r="M1301" s="5">
        <v>45868</v>
      </c>
      <c r="N1301" s="9">
        <f t="shared" si="120"/>
        <v>-4.6318376008547979E-4</v>
      </c>
      <c r="O1301" s="5">
        <v>45868</v>
      </c>
      <c r="P1301">
        <f t="shared" si="121"/>
        <v>1.0002003433001294</v>
      </c>
      <c r="Q1301" s="6">
        <f t="shared" si="124"/>
        <v>1.000080006400512</v>
      </c>
      <c r="R1301">
        <f t="shared" si="125"/>
        <v>1.2032003391993208E-4</v>
      </c>
      <c r="T1301" s="5">
        <v>45868</v>
      </c>
      <c r="U1301" s="1">
        <v>1.2032003391993208E-4</v>
      </c>
    </row>
    <row r="1302" spans="3:21" x14ac:dyDescent="0.2">
      <c r="C1302" s="5">
        <v>45869</v>
      </c>
      <c r="D1302" s="6">
        <v>0.99985999999999997</v>
      </c>
      <c r="E1302" s="6">
        <v>115680.1</v>
      </c>
      <c r="F1302" s="6">
        <v>115802.77</v>
      </c>
      <c r="G1302" s="6">
        <v>115717.2</v>
      </c>
      <c r="H1302" s="6">
        <v>115746</v>
      </c>
      <c r="I1302" s="5">
        <v>45869</v>
      </c>
      <c r="J1302" s="7">
        <f t="shared" si="122"/>
        <v>-5.6935012873010019E-4</v>
      </c>
      <c r="K1302" s="5">
        <v>45869</v>
      </c>
      <c r="L1302" s="8">
        <f t="shared" si="123"/>
        <v>7.3947520334061818E-4</v>
      </c>
      <c r="M1302" s="5">
        <v>45869</v>
      </c>
      <c r="N1302" s="9">
        <f t="shared" si="120"/>
        <v>1.7012507461051799E-4</v>
      </c>
      <c r="O1302" s="5">
        <v>45869</v>
      </c>
      <c r="P1302">
        <f t="shared" si="121"/>
        <v>1.0002488826207341</v>
      </c>
      <c r="Q1302" s="6">
        <f t="shared" si="124"/>
        <v>1.0001400196027443</v>
      </c>
      <c r="R1302">
        <f t="shared" si="125"/>
        <v>1.0884185367766955E-4</v>
      </c>
      <c r="T1302" s="5">
        <v>45869</v>
      </c>
      <c r="U1302" s="1">
        <v>1.0884185367766955E-4</v>
      </c>
    </row>
    <row r="1303" spans="3:21" x14ac:dyDescent="0.2">
      <c r="C1303" s="5">
        <v>45870</v>
      </c>
      <c r="D1303" s="6">
        <v>0.99956999999999996</v>
      </c>
      <c r="E1303" s="6">
        <v>113248.9</v>
      </c>
      <c r="F1303" s="6">
        <v>113365.14</v>
      </c>
      <c r="G1303" s="6">
        <v>113224.1</v>
      </c>
      <c r="H1303" s="6">
        <v>113296.4</v>
      </c>
      <c r="I1303" s="5">
        <v>45870</v>
      </c>
      <c r="J1303" s="7">
        <f t="shared" si="122"/>
        <v>-4.1925427462832007E-4</v>
      </c>
      <c r="K1303" s="5">
        <v>45870</v>
      </c>
      <c r="L1303" s="8">
        <f t="shared" si="123"/>
        <v>1.2456711954433163E-3</v>
      </c>
      <c r="M1303" s="5">
        <v>45870</v>
      </c>
      <c r="N1303" s="9">
        <f t="shared" si="120"/>
        <v>8.2641692081499626E-4</v>
      </c>
      <c r="O1303" s="5">
        <v>45870</v>
      </c>
      <c r="P1303">
        <f t="shared" si="121"/>
        <v>1.0006385566323777</v>
      </c>
      <c r="Q1303" s="6">
        <f t="shared" si="124"/>
        <v>1.0004301849795412</v>
      </c>
      <c r="R1303">
        <f t="shared" si="125"/>
        <v>2.0826036533038995E-4</v>
      </c>
      <c r="T1303" s="5">
        <v>45870</v>
      </c>
      <c r="U1303" s="1">
        <v>2.0826036533038995E-4</v>
      </c>
    </row>
    <row r="1304" spans="3:21" x14ac:dyDescent="0.2">
      <c r="C1304" s="5">
        <v>45871</v>
      </c>
      <c r="D1304" s="6">
        <v>0.99970000000000003</v>
      </c>
      <c r="E1304" s="6">
        <v>112518</v>
      </c>
      <c r="F1304" s="6">
        <v>112601.12</v>
      </c>
      <c r="G1304" s="6">
        <v>112502</v>
      </c>
      <c r="H1304" s="6">
        <v>112568.5</v>
      </c>
      <c r="I1304" s="5">
        <v>45871</v>
      </c>
      <c r="J1304" s="7">
        <f t="shared" si="122"/>
        <v>-4.4861573175444287E-4</v>
      </c>
      <c r="K1304" s="5">
        <v>45871</v>
      </c>
      <c r="L1304" s="8">
        <f t="shared" si="123"/>
        <v>8.8105100353767351E-4</v>
      </c>
      <c r="M1304" s="5">
        <v>45871</v>
      </c>
      <c r="N1304" s="9">
        <f t="shared" si="120"/>
        <v>4.3243527178323063E-4</v>
      </c>
      <c r="O1304" s="5">
        <v>45871</v>
      </c>
      <c r="P1304">
        <f t="shared" si="121"/>
        <v>1.0005911006026558</v>
      </c>
      <c r="Q1304" s="6">
        <f t="shared" si="124"/>
        <v>1.000300090027008</v>
      </c>
      <c r="R1304">
        <f t="shared" si="125"/>
        <v>2.9088096250557815E-4</v>
      </c>
      <c r="T1304" s="5">
        <v>45871</v>
      </c>
      <c r="U1304" s="1">
        <v>2.9088096250557815E-4</v>
      </c>
    </row>
    <row r="1305" spans="3:21" x14ac:dyDescent="0.2">
      <c r="C1305" s="5">
        <v>45872</v>
      </c>
      <c r="D1305" s="6">
        <v>1.00007</v>
      </c>
      <c r="E1305" s="6">
        <v>114147.1</v>
      </c>
      <c r="F1305" s="6">
        <v>114307.76</v>
      </c>
      <c r="G1305" s="6">
        <v>114163.3</v>
      </c>
      <c r="H1305" s="6">
        <v>114202</v>
      </c>
      <c r="I1305" s="5">
        <v>45872</v>
      </c>
      <c r="J1305" s="7">
        <f t="shared" si="122"/>
        <v>-4.807271326245966E-4</v>
      </c>
      <c r="K1305" s="5">
        <v>45872</v>
      </c>
      <c r="L1305" s="8">
        <f t="shared" si="123"/>
        <v>1.2653803805600561E-3</v>
      </c>
      <c r="M1305" s="5">
        <v>45872</v>
      </c>
      <c r="N1305" s="9">
        <f t="shared" si="120"/>
        <v>7.8465324793545945E-4</v>
      </c>
      <c r="O1305" s="5">
        <v>45872</v>
      </c>
      <c r="P1305">
        <f t="shared" si="121"/>
        <v>1.0003389880986271</v>
      </c>
      <c r="Q1305" s="6">
        <f t="shared" si="124"/>
        <v>0.999930004899657</v>
      </c>
      <c r="R1305">
        <f t="shared" si="125"/>
        <v>4.0892820525728217E-4</v>
      </c>
      <c r="T1305" s="5">
        <v>45872</v>
      </c>
      <c r="U1305" s="1">
        <v>4.0892820525728217E-4</v>
      </c>
    </row>
    <row r="1306" spans="3:21" x14ac:dyDescent="0.2">
      <c r="C1306" s="5">
        <v>45873</v>
      </c>
      <c r="D1306" s="6">
        <v>0.99992000000000003</v>
      </c>
      <c r="E1306" s="6">
        <v>115006</v>
      </c>
      <c r="F1306" s="6">
        <v>115097.82</v>
      </c>
      <c r="G1306" s="6">
        <v>115020.3</v>
      </c>
      <c r="H1306" s="6">
        <v>115056.3</v>
      </c>
      <c r="I1306" s="5">
        <v>45873</v>
      </c>
      <c r="J1306" s="7">
        <f t="shared" si="122"/>
        <v>-4.371772775589247E-4</v>
      </c>
      <c r="K1306" s="5">
        <v>45873</v>
      </c>
      <c r="L1306" s="8">
        <f t="shared" si="123"/>
        <v>6.7396798652067573E-4</v>
      </c>
      <c r="M1306" s="5">
        <v>45873</v>
      </c>
      <c r="N1306" s="9">
        <f t="shared" si="120"/>
        <v>2.3679070896175103E-4</v>
      </c>
      <c r="O1306" s="5">
        <v>45873</v>
      </c>
      <c r="P1306">
        <f t="shared" si="121"/>
        <v>1.0003129882290343</v>
      </c>
      <c r="Q1306" s="6">
        <f t="shared" si="124"/>
        <v>1.000080006400512</v>
      </c>
      <c r="R1306">
        <f t="shared" si="125"/>
        <v>2.3293605826577932E-4</v>
      </c>
      <c r="T1306" s="5">
        <v>45873</v>
      </c>
      <c r="U1306" s="1">
        <v>2.3293605826577932E-4</v>
      </c>
    </row>
    <row r="1307" spans="3:21" x14ac:dyDescent="0.2">
      <c r="C1307" s="5">
        <v>45874</v>
      </c>
      <c r="D1307" s="6">
        <v>0.99988999999999995</v>
      </c>
      <c r="E1307" s="6">
        <v>114079.6</v>
      </c>
      <c r="F1307" s="6">
        <v>114139.42</v>
      </c>
      <c r="G1307" s="6">
        <v>114096.6</v>
      </c>
      <c r="H1307" s="6">
        <v>114123</v>
      </c>
      <c r="I1307" s="5">
        <v>45874</v>
      </c>
      <c r="J1307" s="7">
        <f t="shared" si="122"/>
        <v>-3.8029143993756017E-4</v>
      </c>
      <c r="K1307" s="5">
        <v>45874</v>
      </c>
      <c r="L1307" s="8">
        <f t="shared" si="123"/>
        <v>3.7529602109083384E-4</v>
      </c>
      <c r="M1307" s="5">
        <v>45874</v>
      </c>
      <c r="N1307" s="9">
        <f t="shared" si="120"/>
        <v>-4.9954188467263337E-6</v>
      </c>
      <c r="O1307" s="5">
        <v>45874</v>
      </c>
      <c r="P1307">
        <f t="shared" si="121"/>
        <v>1.000231382880822</v>
      </c>
      <c r="Q1307" s="6">
        <f t="shared" si="124"/>
        <v>1.0001100121013311</v>
      </c>
      <c r="R1307">
        <f t="shared" si="125"/>
        <v>1.2135006548807931E-4</v>
      </c>
      <c r="T1307" s="5">
        <v>45874</v>
      </c>
      <c r="U1307" s="1">
        <v>1.2135006548807931E-4</v>
      </c>
    </row>
    <row r="1308" spans="3:21" x14ac:dyDescent="0.2">
      <c r="C1308" s="5">
        <v>45875</v>
      </c>
      <c r="D1308" s="6">
        <v>1.0002</v>
      </c>
      <c r="E1308" s="6">
        <v>114943</v>
      </c>
      <c r="F1308" s="6">
        <v>115047.78</v>
      </c>
      <c r="G1308" s="6">
        <v>114985.8</v>
      </c>
      <c r="H1308" s="6">
        <v>114990.3</v>
      </c>
      <c r="I1308" s="5">
        <v>45875</v>
      </c>
      <c r="J1308" s="7">
        <f t="shared" si="122"/>
        <v>-4.1133904338020604E-4</v>
      </c>
      <c r="K1308" s="5">
        <v>45875</v>
      </c>
      <c r="L1308" s="8">
        <f t="shared" si="123"/>
        <v>5.3902307937150429E-4</v>
      </c>
      <c r="M1308" s="5">
        <v>45875</v>
      </c>
      <c r="N1308" s="9">
        <f t="shared" si="120"/>
        <v>1.2768403599129825E-4</v>
      </c>
      <c r="O1308" s="5">
        <v>45875</v>
      </c>
      <c r="P1308">
        <f t="shared" si="121"/>
        <v>1.0000391352671372</v>
      </c>
      <c r="Q1308" s="6">
        <f t="shared" si="124"/>
        <v>0.99980003999200162</v>
      </c>
      <c r="R1308">
        <f t="shared" si="125"/>
        <v>2.3911450403884819E-4</v>
      </c>
      <c r="T1308" s="5">
        <v>45875</v>
      </c>
      <c r="U1308" s="1">
        <v>2.3911450403884819E-4</v>
      </c>
    </row>
    <row r="1309" spans="3:21" x14ac:dyDescent="0.2">
      <c r="C1309" s="5">
        <v>45876</v>
      </c>
      <c r="D1309" s="6">
        <v>1.0002899999999999</v>
      </c>
      <c r="E1309" s="6">
        <v>117399.9</v>
      </c>
      <c r="F1309" s="6">
        <v>117483.7</v>
      </c>
      <c r="G1309" s="6">
        <v>117464</v>
      </c>
      <c r="H1309" s="6">
        <v>117456.7</v>
      </c>
      <c r="I1309" s="5">
        <v>45876</v>
      </c>
      <c r="J1309" s="7">
        <f t="shared" si="122"/>
        <v>-4.8358246060039922E-4</v>
      </c>
      <c r="K1309" s="5">
        <v>45876</v>
      </c>
      <c r="L1309" s="8">
        <f t="shared" si="123"/>
        <v>1.6771095825101384E-4</v>
      </c>
      <c r="M1309" s="5">
        <v>45876</v>
      </c>
      <c r="N1309" s="9">
        <f t="shared" si="120"/>
        <v>-3.1587150234938541E-4</v>
      </c>
      <c r="O1309" s="5">
        <v>45876</v>
      </c>
      <c r="P1309">
        <f t="shared" si="121"/>
        <v>0.9999378532997345</v>
      </c>
      <c r="Q1309" s="6">
        <f t="shared" si="124"/>
        <v>0.99971008407561812</v>
      </c>
      <c r="R1309">
        <f t="shared" si="125"/>
        <v>2.2780932667617779E-4</v>
      </c>
      <c r="T1309" s="5">
        <v>45876</v>
      </c>
      <c r="U1309" s="1">
        <v>2.2780932667617779E-4</v>
      </c>
    </row>
    <row r="1310" spans="3:21" x14ac:dyDescent="0.2">
      <c r="C1310" s="5">
        <v>45877</v>
      </c>
      <c r="D1310" s="6">
        <v>1.00014</v>
      </c>
      <c r="E1310" s="6">
        <v>116625.1</v>
      </c>
      <c r="F1310" s="6">
        <v>116512.08</v>
      </c>
      <c r="G1310" s="6">
        <v>116647</v>
      </c>
      <c r="H1310" s="6">
        <v>116662.3</v>
      </c>
      <c r="I1310" s="5">
        <v>45877</v>
      </c>
      <c r="J1310" s="7">
        <f t="shared" si="122"/>
        <v>-3.1886907767116789E-4</v>
      </c>
      <c r="K1310" s="5">
        <v>45877</v>
      </c>
      <c r="L1310" s="8">
        <f t="shared" si="123"/>
        <v>-1.1566521213575852E-3</v>
      </c>
      <c r="M1310" s="5">
        <v>45877</v>
      </c>
      <c r="N1310" s="9">
        <f t="shared" si="120"/>
        <v>-1.4755211990287532E-3</v>
      </c>
      <c r="O1310" s="5">
        <v>45877</v>
      </c>
      <c r="P1310">
        <f t="shared" si="121"/>
        <v>1.0001311649678089</v>
      </c>
      <c r="Q1310" s="6">
        <f t="shared" si="124"/>
        <v>0.99986001959725634</v>
      </c>
      <c r="R1310">
        <f t="shared" si="125"/>
        <v>2.7114656735117916E-4</v>
      </c>
      <c r="T1310" s="5">
        <v>45877</v>
      </c>
      <c r="U1310" s="1">
        <v>2.7114656735117916E-4</v>
      </c>
    </row>
    <row r="1311" spans="3:21" x14ac:dyDescent="0.2">
      <c r="C1311" s="5">
        <v>45878</v>
      </c>
      <c r="D1311" s="6">
        <v>1.00023</v>
      </c>
      <c r="E1311" s="6">
        <v>116406.2</v>
      </c>
      <c r="F1311" s="6">
        <v>115957.48</v>
      </c>
      <c r="G1311" s="6">
        <v>116500</v>
      </c>
      <c r="H1311" s="6">
        <v>116469.6</v>
      </c>
      <c r="I1311" s="5">
        <v>45878</v>
      </c>
      <c r="J1311" s="7">
        <f t="shared" si="122"/>
        <v>-5.4434805305426243E-4</v>
      </c>
      <c r="K1311" s="5">
        <v>45878</v>
      </c>
      <c r="L1311" s="8">
        <f t="shared" si="123"/>
        <v>-4.6568240343347993E-3</v>
      </c>
      <c r="M1311" s="5">
        <v>45878</v>
      </c>
      <c r="N1311" s="9">
        <f t="shared" si="120"/>
        <v>-5.2011720873890617E-3</v>
      </c>
      <c r="O1311" s="5">
        <v>45878</v>
      </c>
      <c r="P1311">
        <f t="shared" si="121"/>
        <v>0.99973905579399147</v>
      </c>
      <c r="Q1311" s="6">
        <f t="shared" si="124"/>
        <v>0.99977005288783583</v>
      </c>
      <c r="R1311">
        <f t="shared" si="125"/>
        <v>-3.1004703816785326E-5</v>
      </c>
      <c r="T1311" s="5">
        <v>45878</v>
      </c>
      <c r="U1311" s="1">
        <v>-3.1004703816785326E-5</v>
      </c>
    </row>
    <row r="1312" spans="3:21" x14ac:dyDescent="0.2">
      <c r="C1312" s="5">
        <v>45879</v>
      </c>
      <c r="D1312" s="6">
        <v>1.0001800000000001</v>
      </c>
      <c r="E1312" s="6">
        <v>119271.8</v>
      </c>
      <c r="F1312" s="6">
        <v>119044.48</v>
      </c>
      <c r="G1312" s="6">
        <v>119279.9</v>
      </c>
      <c r="H1312" s="6">
        <v>119293.7</v>
      </c>
      <c r="I1312" s="5">
        <v>45879</v>
      </c>
      <c r="J1312" s="7">
        <f t="shared" si="122"/>
        <v>-1.8358052436963712E-4</v>
      </c>
      <c r="K1312" s="5">
        <v>45879</v>
      </c>
      <c r="L1312" s="8">
        <f t="shared" si="123"/>
        <v>-1.973677040306022E-3</v>
      </c>
      <c r="M1312" s="5">
        <v>45879</v>
      </c>
      <c r="N1312" s="9">
        <f t="shared" si="120"/>
        <v>-2.1572575646756592E-3</v>
      </c>
      <c r="O1312" s="5">
        <v>45879</v>
      </c>
      <c r="P1312">
        <f t="shared" si="121"/>
        <v>1.0001156942619838</v>
      </c>
      <c r="Q1312" s="6">
        <f t="shared" si="124"/>
        <v>0.99982003239416894</v>
      </c>
      <c r="R1312">
        <f t="shared" si="125"/>
        <v>2.9567137186252386E-4</v>
      </c>
      <c r="T1312" s="5">
        <v>45879</v>
      </c>
      <c r="U1312" s="1">
        <v>2.9567137186252386E-4</v>
      </c>
    </row>
    <row r="1313" spans="3:21" x14ac:dyDescent="0.2">
      <c r="C1313" s="5">
        <v>45880</v>
      </c>
      <c r="D1313" s="6">
        <v>0.99999000000000005</v>
      </c>
      <c r="E1313" s="6">
        <v>118679.2</v>
      </c>
      <c r="F1313" s="6">
        <v>118699.16</v>
      </c>
      <c r="G1313" s="6">
        <v>118711</v>
      </c>
      <c r="H1313" s="6">
        <v>118698.6</v>
      </c>
      <c r="I1313" s="5">
        <v>45880</v>
      </c>
      <c r="J1313" s="7">
        <f t="shared" si="122"/>
        <v>-1.6343916440470849E-4</v>
      </c>
      <c r="K1313" s="5">
        <v>45880</v>
      </c>
      <c r="L1313" s="8">
        <f t="shared" si="123"/>
        <v>-9.973801922312598E-5</v>
      </c>
      <c r="M1313" s="5">
        <v>45880</v>
      </c>
      <c r="N1313" s="9">
        <f t="shared" si="120"/>
        <v>-2.6317718362783447E-4</v>
      </c>
      <c r="O1313" s="5">
        <v>45880</v>
      </c>
      <c r="P1313">
        <f t="shared" si="121"/>
        <v>0.99989554464202979</v>
      </c>
      <c r="Q1313" s="6">
        <f t="shared" si="124"/>
        <v>1.000010000100001</v>
      </c>
      <c r="R1313">
        <f t="shared" si="125"/>
        <v>-1.1446086381136061E-4</v>
      </c>
      <c r="T1313" s="5">
        <v>45880</v>
      </c>
      <c r="U1313" s="1">
        <v>-1.1446086381136061E-4</v>
      </c>
    </row>
    <row r="1314" spans="3:21" x14ac:dyDescent="0.2">
      <c r="C1314" s="5">
        <v>45881</v>
      </c>
      <c r="D1314" s="6">
        <v>0.99985999999999997</v>
      </c>
      <c r="E1314" s="6">
        <v>120090.5</v>
      </c>
      <c r="F1314" s="6">
        <v>120001.05</v>
      </c>
      <c r="G1314" s="6">
        <v>120114.2</v>
      </c>
      <c r="H1314" s="6">
        <v>120146.4</v>
      </c>
      <c r="I1314" s="5">
        <v>45881</v>
      </c>
      <c r="J1314" s="7">
        <f t="shared" si="122"/>
        <v>-4.6526570916809976E-4</v>
      </c>
      <c r="K1314" s="5">
        <v>45881</v>
      </c>
      <c r="L1314" s="8">
        <f t="shared" si="123"/>
        <v>-9.420201774643979E-4</v>
      </c>
      <c r="M1314" s="5">
        <v>45881</v>
      </c>
      <c r="N1314" s="9">
        <f t="shared" si="120"/>
        <v>-1.4072858866324978E-3</v>
      </c>
      <c r="O1314" s="5">
        <v>45881</v>
      </c>
      <c r="P1314">
        <f t="shared" si="121"/>
        <v>1.0002680782122346</v>
      </c>
      <c r="Q1314" s="6">
        <f t="shared" si="124"/>
        <v>1.0001400196027443</v>
      </c>
      <c r="R1314">
        <f t="shared" si="125"/>
        <v>1.2803248477653156E-4</v>
      </c>
      <c r="T1314" s="5">
        <v>45881</v>
      </c>
      <c r="U1314" s="1">
        <v>1.2803248477653156E-4</v>
      </c>
    </row>
    <row r="1315" spans="3:21" x14ac:dyDescent="0.2">
      <c r="C1315" s="5">
        <v>45882</v>
      </c>
      <c r="D1315" s="6">
        <v>1.0003599999999999</v>
      </c>
      <c r="E1315" s="6">
        <v>123348</v>
      </c>
      <c r="F1315" s="6">
        <v>122739.49</v>
      </c>
      <c r="G1315" s="6">
        <v>123352.2</v>
      </c>
      <c r="H1315" s="6">
        <v>123319</v>
      </c>
      <c r="I1315" s="5">
        <v>45882</v>
      </c>
      <c r="J1315" s="7">
        <f t="shared" si="122"/>
        <v>2.3516246482699341E-4</v>
      </c>
      <c r="K1315" s="5">
        <v>45882</v>
      </c>
      <c r="L1315" s="8">
        <f t="shared" si="123"/>
        <v>-4.967159077827488E-3</v>
      </c>
      <c r="M1315" s="5">
        <v>45882</v>
      </c>
      <c r="N1315" s="9">
        <f t="shared" si="120"/>
        <v>-4.7319966130004946E-3</v>
      </c>
      <c r="O1315" s="5">
        <v>45882</v>
      </c>
      <c r="P1315">
        <f t="shared" si="121"/>
        <v>0.99973085198318323</v>
      </c>
      <c r="Q1315" s="6">
        <f t="shared" si="124"/>
        <v>0.9996401295533609</v>
      </c>
      <c r="R1315">
        <f t="shared" si="125"/>
        <v>9.0750971902956291E-5</v>
      </c>
      <c r="T1315" s="5">
        <v>45882</v>
      </c>
      <c r="U1315" s="1">
        <v>9.0750971902956291E-5</v>
      </c>
    </row>
    <row r="1316" spans="3:21" x14ac:dyDescent="0.2">
      <c r="C1316" s="5">
        <v>45883</v>
      </c>
      <c r="D1316" s="6">
        <v>1.0006299999999999</v>
      </c>
      <c r="E1316" s="6">
        <v>118250.1</v>
      </c>
      <c r="F1316" s="6">
        <v>118399.25</v>
      </c>
      <c r="G1316" s="6">
        <v>118356.4</v>
      </c>
      <c r="H1316" s="6">
        <v>118292.8</v>
      </c>
      <c r="I1316" s="5">
        <v>45883</v>
      </c>
      <c r="J1316" s="7">
        <f t="shared" si="122"/>
        <v>-3.609687149175359E-4</v>
      </c>
      <c r="K1316" s="5">
        <v>45883</v>
      </c>
      <c r="L1316" s="8">
        <f t="shared" si="123"/>
        <v>3.6204210334215826E-4</v>
      </c>
      <c r="M1316" s="5">
        <v>45883</v>
      </c>
      <c r="N1316" s="9">
        <f t="shared" si="120"/>
        <v>1.0733884246223627E-6</v>
      </c>
      <c r="O1316" s="5">
        <v>45883</v>
      </c>
      <c r="P1316">
        <f t="shared" si="121"/>
        <v>0.99946263995863349</v>
      </c>
      <c r="Q1316" s="6">
        <f t="shared" si="124"/>
        <v>0.99937039665011052</v>
      </c>
      <c r="R1316">
        <f t="shared" si="125"/>
        <v>9.2297162293142928E-5</v>
      </c>
      <c r="T1316" s="5">
        <v>45883</v>
      </c>
      <c r="U1316" s="1">
        <v>9.2297162293142928E-5</v>
      </c>
    </row>
    <row r="1317" spans="3:21" x14ac:dyDescent="0.2">
      <c r="C1317" s="5">
        <v>45884</v>
      </c>
      <c r="D1317" s="6">
        <v>1.00064</v>
      </c>
      <c r="E1317" s="6">
        <v>117280.8</v>
      </c>
      <c r="F1317" s="6">
        <v>117527.19</v>
      </c>
      <c r="G1317" s="6">
        <v>117375.6</v>
      </c>
      <c r="H1317" s="6">
        <v>117339.6</v>
      </c>
      <c r="I1317" s="5">
        <v>45884</v>
      </c>
      <c r="J1317" s="7">
        <f t="shared" si="122"/>
        <v>-5.0110959982821576E-4</v>
      </c>
      <c r="K1317" s="5">
        <v>45884</v>
      </c>
      <c r="L1317" s="8">
        <f t="shared" si="123"/>
        <v>1.2914949955527086E-3</v>
      </c>
      <c r="M1317" s="5">
        <v>45884</v>
      </c>
      <c r="N1317" s="9">
        <f t="shared" si="120"/>
        <v>7.9038539572449289E-4</v>
      </c>
      <c r="O1317" s="5">
        <v>45884</v>
      </c>
      <c r="P1317">
        <f t="shared" si="121"/>
        <v>0.99969329230265913</v>
      </c>
      <c r="Q1317" s="6">
        <f t="shared" si="124"/>
        <v>0.99936040933802373</v>
      </c>
      <c r="R1317">
        <f t="shared" si="125"/>
        <v>3.3304054557314905E-4</v>
      </c>
      <c r="T1317" s="5">
        <v>45884</v>
      </c>
      <c r="U1317" s="1">
        <v>3.3304054557314905E-4</v>
      </c>
    </row>
    <row r="1318" spans="3:21" x14ac:dyDescent="0.2">
      <c r="C1318" s="5">
        <v>45885</v>
      </c>
      <c r="D1318" s="6">
        <v>1.0006299999999999</v>
      </c>
      <c r="E1318" s="6">
        <v>117327.7</v>
      </c>
      <c r="F1318" s="6">
        <v>117630.57</v>
      </c>
      <c r="G1318" s="6">
        <v>117400.7</v>
      </c>
      <c r="H1318" s="6">
        <v>117375</v>
      </c>
      <c r="I1318" s="5">
        <v>45885</v>
      </c>
      <c r="J1318" s="7">
        <f t="shared" si="122"/>
        <v>-4.0298189563367764E-4</v>
      </c>
      <c r="K1318" s="5">
        <v>45885</v>
      </c>
      <c r="L1318" s="8">
        <f t="shared" si="123"/>
        <v>1.95799513972242E-3</v>
      </c>
      <c r="M1318" s="5">
        <v>45885</v>
      </c>
      <c r="N1318" s="9">
        <f t="shared" si="120"/>
        <v>1.5550132440887423E-3</v>
      </c>
      <c r="O1318" s="5">
        <v>45885</v>
      </c>
      <c r="P1318">
        <f t="shared" si="121"/>
        <v>0.99978109159485418</v>
      </c>
      <c r="Q1318" s="6">
        <f t="shared" si="124"/>
        <v>0.99937039665011052</v>
      </c>
      <c r="R1318">
        <f t="shared" si="125"/>
        <v>4.10869264221567E-4</v>
      </c>
      <c r="T1318" s="5">
        <v>45885</v>
      </c>
      <c r="U1318" s="1">
        <v>4.10869264221567E-4</v>
      </c>
    </row>
    <row r="1319" spans="3:21" x14ac:dyDescent="0.2">
      <c r="C1319" s="5">
        <v>45886</v>
      </c>
      <c r="D1319" s="6">
        <v>1.0005999999999999</v>
      </c>
      <c r="E1319" s="6">
        <v>117355.6</v>
      </c>
      <c r="F1319" s="6">
        <v>117497.71</v>
      </c>
      <c r="G1319" s="6">
        <v>117438.3</v>
      </c>
      <c r="H1319" s="6">
        <v>117414.8</v>
      </c>
      <c r="I1319" s="5">
        <v>45886</v>
      </c>
      <c r="J1319" s="7">
        <f t="shared" si="122"/>
        <v>-5.0419538252415442E-4</v>
      </c>
      <c r="K1319" s="5">
        <v>45886</v>
      </c>
      <c r="L1319" s="8">
        <f t="shared" si="123"/>
        <v>5.0588266349226355E-4</v>
      </c>
      <c r="M1319" s="5">
        <v>45886</v>
      </c>
      <c r="N1319" s="9">
        <f t="shared" si="120"/>
        <v>1.6872809681091295E-6</v>
      </c>
      <c r="O1319" s="5">
        <v>45886</v>
      </c>
      <c r="P1319">
        <f t="shared" si="121"/>
        <v>0.99979989492354704</v>
      </c>
      <c r="Q1319" s="6">
        <f t="shared" si="124"/>
        <v>0.99940035978412955</v>
      </c>
      <c r="R1319">
        <f t="shared" si="125"/>
        <v>3.9969497182253756E-4</v>
      </c>
      <c r="T1319" s="5">
        <v>45886</v>
      </c>
      <c r="U1319" s="1">
        <v>3.9969497182253756E-4</v>
      </c>
    </row>
    <row r="1320" spans="3:21" x14ac:dyDescent="0.2">
      <c r="C1320" s="5">
        <v>45887</v>
      </c>
      <c r="D1320" s="6">
        <v>1.00047</v>
      </c>
      <c r="E1320" s="6">
        <v>116168</v>
      </c>
      <c r="F1320" s="6">
        <v>116300.63</v>
      </c>
      <c r="G1320" s="6">
        <v>116216.1</v>
      </c>
      <c r="H1320" s="6">
        <v>116229.4</v>
      </c>
      <c r="I1320" s="5">
        <v>45887</v>
      </c>
      <c r="J1320" s="7">
        <f t="shared" si="122"/>
        <v>-5.2826565395669412E-4</v>
      </c>
      <c r="K1320" s="5">
        <v>45887</v>
      </c>
      <c r="L1320" s="8">
        <f t="shared" si="123"/>
        <v>7.2735189014257781E-4</v>
      </c>
      <c r="M1320" s="5">
        <v>45887</v>
      </c>
      <c r="N1320" s="9">
        <f t="shared" si="120"/>
        <v>1.9908623618588369E-4</v>
      </c>
      <c r="O1320" s="5">
        <v>45887</v>
      </c>
      <c r="P1320">
        <f t="shared" si="121"/>
        <v>1.0001144419749071</v>
      </c>
      <c r="Q1320" s="6">
        <f t="shared" si="124"/>
        <v>0.99953022079622578</v>
      </c>
      <c r="R1320">
        <f t="shared" si="125"/>
        <v>5.8432501151933314E-4</v>
      </c>
      <c r="T1320" s="5">
        <v>45887</v>
      </c>
      <c r="U1320" s="1">
        <v>5.8432501151933314E-4</v>
      </c>
    </row>
    <row r="1321" spans="3:21" x14ac:dyDescent="0.2">
      <c r="C1321" s="5">
        <v>45888</v>
      </c>
      <c r="D1321" s="6">
        <v>0.99980000000000002</v>
      </c>
      <c r="E1321" s="6">
        <v>112825.7</v>
      </c>
      <c r="F1321" s="6">
        <v>112876.83</v>
      </c>
      <c r="G1321" s="6">
        <v>112818.9</v>
      </c>
      <c r="H1321" s="6">
        <v>112871.8</v>
      </c>
      <c r="I1321" s="5">
        <v>45888</v>
      </c>
      <c r="J1321" s="7">
        <f t="shared" si="122"/>
        <v>-4.0842796872208844E-4</v>
      </c>
      <c r="K1321" s="5">
        <v>45888</v>
      </c>
      <c r="L1321" s="8">
        <f t="shared" si="123"/>
        <v>5.1347779494399933E-4</v>
      </c>
      <c r="M1321" s="5">
        <v>45888</v>
      </c>
      <c r="N1321" s="9">
        <f t="shared" si="120"/>
        <v>1.0504982622191089E-4</v>
      </c>
      <c r="O1321" s="5">
        <v>45888</v>
      </c>
      <c r="P1321">
        <f t="shared" si="121"/>
        <v>1.0004688930666761</v>
      </c>
      <c r="Q1321" s="6">
        <f t="shared" si="124"/>
        <v>1.0002000400080016</v>
      </c>
      <c r="R1321">
        <f t="shared" si="125"/>
        <v>2.6876316800670251E-4</v>
      </c>
      <c r="T1321" s="5">
        <v>45888</v>
      </c>
      <c r="U1321" s="1">
        <v>2.6876316800670251E-4</v>
      </c>
    </row>
    <row r="1322" spans="3:21" x14ac:dyDescent="0.2">
      <c r="C1322" s="5">
        <v>45889</v>
      </c>
      <c r="D1322" s="6">
        <v>1.0001</v>
      </c>
      <c r="E1322" s="6">
        <v>114217.4</v>
      </c>
      <c r="F1322" s="6">
        <v>114306.12</v>
      </c>
      <c r="G1322" s="6">
        <v>114223.4</v>
      </c>
      <c r="H1322" s="6">
        <v>114266.7</v>
      </c>
      <c r="I1322" s="5">
        <v>45889</v>
      </c>
      <c r="J1322" s="7">
        <f t="shared" si="122"/>
        <v>-4.314467819583738E-4</v>
      </c>
      <c r="K1322" s="5">
        <v>45889</v>
      </c>
      <c r="L1322" s="8">
        <f t="shared" si="123"/>
        <v>7.2419486725137905E-4</v>
      </c>
      <c r="M1322" s="5">
        <v>45889</v>
      </c>
      <c r="N1322" s="9">
        <f t="shared" si="120"/>
        <v>2.9274808529300525E-4</v>
      </c>
      <c r="O1322" s="5">
        <v>45889</v>
      </c>
      <c r="P1322">
        <f t="shared" si="121"/>
        <v>1.0003790816942939</v>
      </c>
      <c r="Q1322" s="6">
        <f t="shared" si="124"/>
        <v>0.99990000999900008</v>
      </c>
      <c r="R1322">
        <f t="shared" si="125"/>
        <v>4.7900486131501182E-4</v>
      </c>
      <c r="T1322" s="5">
        <v>45889</v>
      </c>
      <c r="U1322" s="1">
        <v>4.7900486131501182E-4</v>
      </c>
    </row>
    <row r="1323" spans="3:21" x14ac:dyDescent="0.2">
      <c r="C1323" s="5">
        <v>45890</v>
      </c>
      <c r="D1323" s="6">
        <v>0.99977000000000005</v>
      </c>
      <c r="E1323" s="6">
        <v>112462.7</v>
      </c>
      <c r="F1323" s="6">
        <v>112463.03999999999</v>
      </c>
      <c r="G1323" s="6">
        <v>112455.3</v>
      </c>
      <c r="H1323" s="6">
        <v>112509.6</v>
      </c>
      <c r="I1323" s="5">
        <v>45890</v>
      </c>
      <c r="J1323" s="7">
        <f t="shared" si="122"/>
        <v>-4.1685331740588116E-4</v>
      </c>
      <c r="K1323" s="5">
        <v>45890</v>
      </c>
      <c r="L1323" s="8">
        <f t="shared" si="123"/>
        <v>6.8827347399283857E-5</v>
      </c>
      <c r="M1323" s="5">
        <v>45890</v>
      </c>
      <c r="N1323" s="9">
        <f t="shared" si="120"/>
        <v>-3.4802597000659731E-4</v>
      </c>
      <c r="O1323" s="5">
        <v>45890</v>
      </c>
      <c r="P1323">
        <f t="shared" si="121"/>
        <v>1.000482858522453</v>
      </c>
      <c r="Q1323" s="6">
        <f t="shared" si="124"/>
        <v>1.0002300529121697</v>
      </c>
      <c r="R1323">
        <f t="shared" si="125"/>
        <v>2.5271552973332441E-4</v>
      </c>
      <c r="T1323" s="5">
        <v>45890</v>
      </c>
      <c r="U1323" s="1">
        <v>2.5271552973332441E-4</v>
      </c>
    </row>
    <row r="1324" spans="3:21" x14ac:dyDescent="0.2">
      <c r="C1324" s="5">
        <v>45891</v>
      </c>
      <c r="D1324" s="6">
        <v>0.99975000000000003</v>
      </c>
      <c r="E1324" s="6">
        <v>116899.8</v>
      </c>
      <c r="F1324" s="6">
        <v>116145.58</v>
      </c>
      <c r="G1324" s="6">
        <v>116878.7</v>
      </c>
      <c r="H1324" s="6">
        <v>116935.1</v>
      </c>
      <c r="I1324" s="5">
        <v>45891</v>
      </c>
      <c r="J1324" s="7">
        <f t="shared" si="122"/>
        <v>-3.0187685305783213E-4</v>
      </c>
      <c r="K1324" s="5">
        <v>45891</v>
      </c>
      <c r="L1324" s="8">
        <f t="shared" si="123"/>
        <v>-6.2724859191623057E-3</v>
      </c>
      <c r="M1324" s="5">
        <v>45891</v>
      </c>
      <c r="N1324" s="9">
        <f t="shared" si="120"/>
        <v>-6.5743627722201379E-3</v>
      </c>
      <c r="O1324" s="5">
        <v>45891</v>
      </c>
      <c r="P1324">
        <f t="shared" si="121"/>
        <v>1.000482551568421</v>
      </c>
      <c r="Q1324" s="6">
        <f t="shared" si="124"/>
        <v>1.000250062515629</v>
      </c>
      <c r="R1324">
        <f t="shared" si="125"/>
        <v>2.3240392264499044E-4</v>
      </c>
      <c r="T1324" s="5">
        <v>45891</v>
      </c>
      <c r="U1324" s="1">
        <v>2.3240392264499044E-4</v>
      </c>
    </row>
    <row r="1325" spans="3:21" x14ac:dyDescent="0.2">
      <c r="C1325" s="5">
        <v>45892</v>
      </c>
      <c r="D1325" s="6">
        <v>0.99958999999999998</v>
      </c>
      <c r="E1325" s="6">
        <v>115404.8</v>
      </c>
      <c r="F1325" s="6">
        <v>114678.47</v>
      </c>
      <c r="G1325" s="6">
        <v>115402.9</v>
      </c>
      <c r="H1325" s="6">
        <v>115432.9</v>
      </c>
      <c r="I1325" s="5">
        <v>45892</v>
      </c>
      <c r="J1325" s="7">
        <f t="shared" si="122"/>
        <v>-2.434314653793786E-4</v>
      </c>
      <c r="K1325" s="5">
        <v>45892</v>
      </c>
      <c r="L1325" s="8">
        <f t="shared" si="123"/>
        <v>-6.2773985749057697E-3</v>
      </c>
      <c r="M1325" s="5">
        <v>45892</v>
      </c>
      <c r="N1325" s="9">
        <f t="shared" si="120"/>
        <v>-6.5208300402851485E-3</v>
      </c>
      <c r="O1325" s="5">
        <v>45892</v>
      </c>
      <c r="P1325">
        <f t="shared" si="121"/>
        <v>1.0002599588051948</v>
      </c>
      <c r="Q1325" s="6">
        <f t="shared" si="124"/>
        <v>1.0004101681689492</v>
      </c>
      <c r="R1325">
        <f t="shared" si="125"/>
        <v>-1.5015905122139445E-4</v>
      </c>
      <c r="T1325" s="5">
        <v>45892</v>
      </c>
      <c r="U1325" s="1">
        <v>-1.5015905122139445E-4</v>
      </c>
    </row>
    <row r="1326" spans="3:21" x14ac:dyDescent="0.2">
      <c r="C1326" s="5">
        <v>45893</v>
      </c>
      <c r="D1326" s="6">
        <v>0.99982000000000004</v>
      </c>
      <c r="E1326" s="6">
        <v>113474.8</v>
      </c>
      <c r="F1326" s="6">
        <v>113331.01</v>
      </c>
      <c r="G1326" s="6">
        <v>113511.4</v>
      </c>
      <c r="H1326" s="6">
        <v>113496.5</v>
      </c>
      <c r="I1326" s="5">
        <v>45893</v>
      </c>
      <c r="J1326" s="7">
        <f t="shared" si="122"/>
        <v>-1.911953232037736E-4</v>
      </c>
      <c r="K1326" s="5">
        <v>45893</v>
      </c>
      <c r="L1326" s="8">
        <f t="shared" si="123"/>
        <v>-1.5891795890104379E-3</v>
      </c>
      <c r="M1326" s="5">
        <v>45893</v>
      </c>
      <c r="N1326" s="9">
        <f t="shared" si="120"/>
        <v>-1.7803749122142114E-3</v>
      </c>
      <c r="O1326" s="5">
        <v>45893</v>
      </c>
      <c r="P1326">
        <f t="shared" si="121"/>
        <v>0.99986873565122103</v>
      </c>
      <c r="Q1326" s="6">
        <f t="shared" si="124"/>
        <v>1.000180032405833</v>
      </c>
      <c r="R1326">
        <f t="shared" si="125"/>
        <v>-3.1128916664180519E-4</v>
      </c>
      <c r="T1326" s="5">
        <v>45893</v>
      </c>
      <c r="U1326" s="1">
        <v>-3.1128916664180519E-4</v>
      </c>
    </row>
    <row r="1327" spans="3:21" x14ac:dyDescent="0.2">
      <c r="C1327" s="5">
        <v>45894</v>
      </c>
      <c r="D1327" s="6">
        <v>1.0001100000000001</v>
      </c>
      <c r="E1327" s="6">
        <v>110069.7</v>
      </c>
      <c r="F1327" s="6">
        <v>110190.65</v>
      </c>
      <c r="G1327" s="6">
        <v>110087.3</v>
      </c>
      <c r="H1327" s="6">
        <v>110116.2</v>
      </c>
      <c r="I1327" s="5">
        <v>45894</v>
      </c>
      <c r="J1327" s="7">
        <f t="shared" si="122"/>
        <v>-4.2228119023358961E-4</v>
      </c>
      <c r="K1327" s="5">
        <v>45894</v>
      </c>
      <c r="L1327" s="8">
        <f t="shared" si="123"/>
        <v>9.3880038841892999E-4</v>
      </c>
      <c r="M1327" s="5">
        <v>45894</v>
      </c>
      <c r="N1327" s="9">
        <f t="shared" si="120"/>
        <v>5.1651919818534032E-4</v>
      </c>
      <c r="O1327" s="5">
        <v>45894</v>
      </c>
      <c r="P1327">
        <f t="shared" si="121"/>
        <v>1.0002625189281598</v>
      </c>
      <c r="Q1327" s="6">
        <f t="shared" si="124"/>
        <v>0.99989001209866912</v>
      </c>
      <c r="R1327">
        <f t="shared" si="125"/>
        <v>3.7247842653899958E-4</v>
      </c>
      <c r="T1327" s="5">
        <v>45894</v>
      </c>
      <c r="U1327" s="1">
        <v>3.7247842653899958E-4</v>
      </c>
    </row>
    <row r="1328" spans="3:21" x14ac:dyDescent="0.2">
      <c r="C1328" s="5">
        <v>45895</v>
      </c>
      <c r="D1328" s="6">
        <v>1.0001800000000001</v>
      </c>
      <c r="E1328" s="6">
        <v>111723.1</v>
      </c>
      <c r="F1328" s="6">
        <v>111788.85</v>
      </c>
      <c r="G1328" s="6">
        <v>111742.39999999999</v>
      </c>
      <c r="H1328" s="6">
        <v>111763.6</v>
      </c>
      <c r="I1328" s="5">
        <v>45895</v>
      </c>
      <c r="J1328" s="7">
        <f t="shared" si="122"/>
        <v>-3.6237200662827607E-4</v>
      </c>
      <c r="K1328" s="5">
        <v>45895</v>
      </c>
      <c r="L1328" s="8">
        <f t="shared" si="123"/>
        <v>4.1568822577653283E-4</v>
      </c>
      <c r="M1328" s="5">
        <v>45895</v>
      </c>
      <c r="N1328" s="9">
        <f t="shared" si="120"/>
        <v>5.3316219148256754E-5</v>
      </c>
      <c r="O1328" s="5">
        <v>45895</v>
      </c>
      <c r="P1328">
        <f t="shared" si="121"/>
        <v>1.0001897220750584</v>
      </c>
      <c r="Q1328" s="6">
        <f t="shared" si="124"/>
        <v>0.99982003239416894</v>
      </c>
      <c r="R1328">
        <f t="shared" si="125"/>
        <v>3.6968788204532778E-4</v>
      </c>
      <c r="T1328" s="5">
        <v>45895</v>
      </c>
      <c r="U1328" s="1">
        <v>3.6968788204532778E-4</v>
      </c>
    </row>
    <row r="1329" spans="3:21" x14ac:dyDescent="0.2">
      <c r="C1329" s="5">
        <v>45896</v>
      </c>
      <c r="D1329" s="6">
        <v>1.0000500000000001</v>
      </c>
      <c r="E1329" s="6">
        <v>111184.3</v>
      </c>
      <c r="F1329" s="6">
        <v>111269.37</v>
      </c>
      <c r="G1329" s="6">
        <v>111208</v>
      </c>
      <c r="H1329" s="6">
        <v>111240.8</v>
      </c>
      <c r="I1329" s="5">
        <v>45896</v>
      </c>
      <c r="J1329" s="7">
        <f t="shared" si="122"/>
        <v>-5.0790717075030023E-4</v>
      </c>
      <c r="K1329" s="5">
        <v>45896</v>
      </c>
      <c r="L1329" s="8">
        <f t="shared" si="123"/>
        <v>5.5184878785694686E-4</v>
      </c>
      <c r="M1329" s="5">
        <v>45896</v>
      </c>
      <c r="N1329" s="9">
        <f t="shared" si="120"/>
        <v>4.3941617106646631E-5</v>
      </c>
      <c r="O1329" s="5">
        <v>45896</v>
      </c>
      <c r="P1329">
        <f t="shared" si="121"/>
        <v>1.0002949428098697</v>
      </c>
      <c r="Q1329" s="6">
        <f t="shared" si="124"/>
        <v>0.99995000249987487</v>
      </c>
      <c r="R1329">
        <f t="shared" si="125"/>
        <v>3.448980728316879E-4</v>
      </c>
      <c r="T1329" s="5">
        <v>45896</v>
      </c>
      <c r="U1329" s="1">
        <v>3.448980728316879E-4</v>
      </c>
    </row>
    <row r="1330" spans="3:21" x14ac:dyDescent="0.2">
      <c r="C1330" s="5">
        <v>45897</v>
      </c>
      <c r="D1330" s="6">
        <v>1.0001</v>
      </c>
      <c r="E1330" s="6">
        <v>112511.4</v>
      </c>
      <c r="F1330" s="6">
        <v>112562.36</v>
      </c>
      <c r="G1330" s="6">
        <v>112526.8</v>
      </c>
      <c r="H1330" s="6">
        <v>112558.8</v>
      </c>
      <c r="I1330" s="5">
        <v>45897</v>
      </c>
      <c r="J1330" s="7">
        <f t="shared" si="122"/>
        <v>-4.2111323148442172E-4</v>
      </c>
      <c r="K1330" s="5">
        <v>45897</v>
      </c>
      <c r="L1330" s="8">
        <f t="shared" si="123"/>
        <v>3.1601360742505494E-4</v>
      </c>
      <c r="M1330" s="5">
        <v>45897</v>
      </c>
      <c r="N1330" s="9">
        <f t="shared" si="120"/>
        <v>-1.0509962405936678E-4</v>
      </c>
      <c r="O1330" s="5">
        <v>45897</v>
      </c>
      <c r="P1330">
        <f t="shared" si="121"/>
        <v>1.0002843766995952</v>
      </c>
      <c r="Q1330" s="6">
        <f t="shared" si="124"/>
        <v>0.99990000999900008</v>
      </c>
      <c r="R1330">
        <f t="shared" si="125"/>
        <v>3.843312725391672E-4</v>
      </c>
      <c r="T1330" s="5">
        <v>45897</v>
      </c>
      <c r="U1330" s="1">
        <v>3.843312725391672E-4</v>
      </c>
    </row>
    <row r="1331" spans="3:21" x14ac:dyDescent="0.2">
      <c r="C1331" s="5">
        <v>45898</v>
      </c>
      <c r="D1331" s="6">
        <v>1.00013</v>
      </c>
      <c r="E1331" s="6">
        <v>108355.3</v>
      </c>
      <c r="F1331" s="6">
        <v>108436.21</v>
      </c>
      <c r="G1331" s="6">
        <v>108361.2</v>
      </c>
      <c r="H1331" s="6">
        <v>108390.6</v>
      </c>
      <c r="I1331" s="5">
        <v>45898</v>
      </c>
      <c r="J1331" s="7">
        <f t="shared" si="122"/>
        <v>-3.2567399756070094E-4</v>
      </c>
      <c r="K1331" s="5">
        <v>45898</v>
      </c>
      <c r="L1331" s="8">
        <f t="shared" si="123"/>
        <v>6.9222193921818253E-4</v>
      </c>
      <c r="M1331" s="5">
        <v>45898</v>
      </c>
      <c r="N1331" s="9">
        <f t="shared" si="120"/>
        <v>3.6654794165748159E-4</v>
      </c>
      <c r="O1331" s="5">
        <v>45898</v>
      </c>
      <c r="P1331">
        <f t="shared" si="121"/>
        <v>1.0002713148248636</v>
      </c>
      <c r="Q1331" s="6">
        <f t="shared" si="124"/>
        <v>0.9998700168978033</v>
      </c>
      <c r="R1331">
        <f t="shared" si="125"/>
        <v>4.012695763847959E-4</v>
      </c>
      <c r="T1331" s="5">
        <v>45898</v>
      </c>
      <c r="U1331" s="1">
        <v>4.012695763847959E-4</v>
      </c>
    </row>
    <row r="1332" spans="3:21" x14ac:dyDescent="0.2">
      <c r="C1332" s="5">
        <v>45899</v>
      </c>
      <c r="D1332" s="6">
        <v>1.0000800000000001</v>
      </c>
      <c r="E1332" s="6">
        <v>108780.7</v>
      </c>
      <c r="F1332" s="6">
        <v>108889.97</v>
      </c>
      <c r="G1332" s="6">
        <v>108767.8</v>
      </c>
      <c r="H1332" s="6">
        <v>108805.4</v>
      </c>
      <c r="I1332" s="5">
        <v>45899</v>
      </c>
      <c r="J1332" s="7">
        <f t="shared" si="122"/>
        <v>-2.2701079174376539E-4</v>
      </c>
      <c r="K1332" s="5">
        <v>45899</v>
      </c>
      <c r="L1332" s="8">
        <f t="shared" si="123"/>
        <v>1.1232184525199393E-3</v>
      </c>
      <c r="M1332" s="5">
        <v>45899</v>
      </c>
      <c r="N1332" s="9">
        <f t="shared" si="120"/>
        <v>8.962076607761739E-4</v>
      </c>
      <c r="O1332" s="5">
        <v>45899</v>
      </c>
      <c r="P1332">
        <f t="shared" si="121"/>
        <v>1.0003456905444441</v>
      </c>
      <c r="Q1332" s="6">
        <f t="shared" si="124"/>
        <v>0.99992000639948797</v>
      </c>
      <c r="R1332">
        <f t="shared" si="125"/>
        <v>4.2562760740534546E-4</v>
      </c>
      <c r="T1332" s="5">
        <v>45899</v>
      </c>
      <c r="U1332" s="1">
        <v>4.2562760740534546E-4</v>
      </c>
    </row>
    <row r="1333" spans="3:21" x14ac:dyDescent="0.2">
      <c r="C1333" s="5">
        <v>45900</v>
      </c>
      <c r="D1333" s="6">
        <v>1.0000800000000001</v>
      </c>
      <c r="E1333" s="6">
        <v>108200</v>
      </c>
      <c r="F1333" s="6">
        <v>108271.35</v>
      </c>
      <c r="G1333" s="6">
        <v>108216.7</v>
      </c>
      <c r="H1333" s="6">
        <v>108253.8</v>
      </c>
      <c r="I1333" s="5">
        <v>45900</v>
      </c>
      <c r="J1333" s="7">
        <f t="shared" si="122"/>
        <v>-4.9698024457342754E-4</v>
      </c>
      <c r="K1333" s="5">
        <v>45900</v>
      </c>
      <c r="L1333" s="8">
        <f t="shared" si="123"/>
        <v>5.0500523486678801E-4</v>
      </c>
      <c r="M1333" s="5">
        <v>45900</v>
      </c>
      <c r="N1333" s="9">
        <f t="shared" si="120"/>
        <v>8.024990293360474E-6</v>
      </c>
      <c r="O1333" s="5">
        <v>45900</v>
      </c>
      <c r="P1333">
        <f t="shared" si="121"/>
        <v>1.0003428306351978</v>
      </c>
      <c r="Q1333" s="6">
        <f t="shared" si="124"/>
        <v>0.99992000639948797</v>
      </c>
      <c r="R1333">
        <f t="shared" si="125"/>
        <v>4.2276868237422713E-4</v>
      </c>
      <c r="T1333" s="5">
        <v>45900</v>
      </c>
      <c r="U1333" s="1">
        <v>4.2276868237422713E-4</v>
      </c>
    </row>
    <row r="1334" spans="3:21" x14ac:dyDescent="0.2">
      <c r="C1334" s="5">
        <v>45901</v>
      </c>
      <c r="D1334" s="6">
        <v>1.00007</v>
      </c>
      <c r="E1334" s="6">
        <v>109191.8</v>
      </c>
      <c r="F1334" s="6">
        <v>109264.86</v>
      </c>
      <c r="G1334" s="6">
        <v>109192.3</v>
      </c>
      <c r="H1334" s="6">
        <v>109239.8</v>
      </c>
      <c r="I1334" s="5">
        <v>45901</v>
      </c>
      <c r="J1334" s="7">
        <f t="shared" si="122"/>
        <v>-4.3940029183502717E-4</v>
      </c>
      <c r="K1334" s="5">
        <v>45901</v>
      </c>
      <c r="L1334" s="8">
        <f t="shared" si="123"/>
        <v>6.6451572134663039E-4</v>
      </c>
      <c r="M1334" s="5">
        <v>45901</v>
      </c>
      <c r="N1334" s="9">
        <f t="shared" si="120"/>
        <v>2.2511542951160322E-4</v>
      </c>
      <c r="O1334" s="5">
        <v>45901</v>
      </c>
      <c r="P1334">
        <f t="shared" si="121"/>
        <v>1.0004350123589301</v>
      </c>
      <c r="Q1334" s="6">
        <f t="shared" si="124"/>
        <v>0.999930004899657</v>
      </c>
      <c r="R1334">
        <f t="shared" si="125"/>
        <v>5.0491531859924745E-4</v>
      </c>
      <c r="T1334" s="5">
        <v>45901</v>
      </c>
      <c r="U1334" s="1">
        <v>5.0491531859924745E-4</v>
      </c>
    </row>
    <row r="1335" spans="3:21" x14ac:dyDescent="0.2">
      <c r="C1335" s="5">
        <v>45902</v>
      </c>
      <c r="D1335" s="6">
        <v>1.0000899999999999</v>
      </c>
      <c r="E1335" s="6">
        <v>111217.7</v>
      </c>
      <c r="F1335" s="6">
        <v>111187.5</v>
      </c>
      <c r="G1335" s="6">
        <v>111191.3</v>
      </c>
      <c r="H1335" s="6">
        <v>111246</v>
      </c>
      <c r="I1335" s="5">
        <v>45902</v>
      </c>
      <c r="J1335" s="7">
        <f t="shared" si="122"/>
        <v>-2.5439116912071366E-4</v>
      </c>
      <c r="K1335" s="5">
        <v>45902</v>
      </c>
      <c r="L1335" s="8">
        <f t="shared" si="123"/>
        <v>-3.4175335660280167E-5</v>
      </c>
      <c r="M1335" s="5">
        <v>45902</v>
      </c>
      <c r="N1335" s="9">
        <f t="shared" si="120"/>
        <v>-2.8856650478099383E-4</v>
      </c>
      <c r="O1335" s="5">
        <v>45902</v>
      </c>
      <c r="P1335">
        <f t="shared" si="121"/>
        <v>1.0004919449633198</v>
      </c>
      <c r="Q1335" s="6">
        <f t="shared" si="124"/>
        <v>0.99991000809927111</v>
      </c>
      <c r="R1335">
        <f t="shared" si="125"/>
        <v>5.8181994830985384E-4</v>
      </c>
      <c r="T1335" s="5">
        <v>45902</v>
      </c>
      <c r="U1335" s="1">
        <v>5.8181994830985384E-4</v>
      </c>
    </row>
    <row r="1336" spans="3:21" x14ac:dyDescent="0.2">
      <c r="C1336" s="5">
        <v>45903</v>
      </c>
      <c r="D1336" s="6">
        <v>1.0004200000000001</v>
      </c>
      <c r="E1336" s="6">
        <v>111661.8</v>
      </c>
      <c r="F1336" s="6">
        <v>111759.39</v>
      </c>
      <c r="G1336" s="6">
        <v>111692.4</v>
      </c>
      <c r="H1336" s="6">
        <v>111705</v>
      </c>
      <c r="I1336" s="5">
        <v>45903</v>
      </c>
      <c r="J1336" s="7">
        <f t="shared" si="122"/>
        <v>-3.8673291258222185E-4</v>
      </c>
      <c r="K1336" s="5">
        <v>45903</v>
      </c>
      <c r="L1336" s="8">
        <f t="shared" si="123"/>
        <v>5.9977223159324398E-4</v>
      </c>
      <c r="M1336" s="5">
        <v>45903</v>
      </c>
      <c r="N1336" s="9">
        <f t="shared" si="120"/>
        <v>2.1303931901102213E-4</v>
      </c>
      <c r="O1336" s="5">
        <v>45903</v>
      </c>
      <c r="P1336">
        <f t="shared" si="121"/>
        <v>1.0001128098241241</v>
      </c>
      <c r="Q1336" s="6">
        <f t="shared" si="124"/>
        <v>0.99958017632594298</v>
      </c>
      <c r="R1336">
        <f t="shared" si="125"/>
        <v>5.3271528626283018E-4</v>
      </c>
      <c r="T1336" s="5">
        <v>45903</v>
      </c>
      <c r="U1336" s="1">
        <v>5.3271528626283018E-4</v>
      </c>
    </row>
    <row r="1337" spans="3:21" x14ac:dyDescent="0.2">
      <c r="C1337" s="5">
        <v>45904</v>
      </c>
      <c r="D1337" s="6">
        <v>1.00013</v>
      </c>
      <c r="E1337" s="6">
        <v>110685.5</v>
      </c>
      <c r="F1337" s="6">
        <v>110758.01</v>
      </c>
      <c r="G1337" s="6">
        <v>110671.7</v>
      </c>
      <c r="H1337" s="6">
        <v>110723</v>
      </c>
      <c r="I1337" s="5">
        <v>45904</v>
      </c>
      <c r="J1337" s="7">
        <f t="shared" si="122"/>
        <v>-3.3868301978811992E-4</v>
      </c>
      <c r="K1337" s="5">
        <v>45904</v>
      </c>
      <c r="L1337" s="8">
        <f t="shared" si="123"/>
        <v>7.7987416837364636E-4</v>
      </c>
      <c r="M1337" s="5">
        <v>45904</v>
      </c>
      <c r="N1337" s="9">
        <f t="shared" si="120"/>
        <v>4.4119114858552644E-4</v>
      </c>
      <c r="O1337" s="5">
        <v>45904</v>
      </c>
      <c r="P1337">
        <f t="shared" si="121"/>
        <v>1.0004635331344869</v>
      </c>
      <c r="Q1337" s="6">
        <f t="shared" si="124"/>
        <v>0.9998700168978033</v>
      </c>
      <c r="R1337">
        <f t="shared" si="125"/>
        <v>5.9341728692294856E-4</v>
      </c>
      <c r="T1337" s="5">
        <v>45904</v>
      </c>
      <c r="U1337" s="1">
        <v>5.9341728692294856E-4</v>
      </c>
    </row>
    <row r="1338" spans="3:21" x14ac:dyDescent="0.2">
      <c r="C1338" s="5">
        <v>45905</v>
      </c>
      <c r="D1338" s="6">
        <v>1.0000800000000001</v>
      </c>
      <c r="E1338" s="6">
        <v>110623.1</v>
      </c>
      <c r="F1338" s="6">
        <v>110692.59</v>
      </c>
      <c r="G1338" s="6">
        <v>110640.1</v>
      </c>
      <c r="H1338" s="6">
        <v>110664.9</v>
      </c>
      <c r="I1338" s="5">
        <v>45905</v>
      </c>
      <c r="J1338" s="7">
        <f t="shared" si="122"/>
        <v>-3.7771687319094273E-4</v>
      </c>
      <c r="K1338" s="5">
        <v>45905</v>
      </c>
      <c r="L1338" s="8">
        <f t="shared" si="123"/>
        <v>4.744211185636192E-4</v>
      </c>
      <c r="M1338" s="5">
        <v>45905</v>
      </c>
      <c r="N1338" s="9">
        <f t="shared" si="120"/>
        <v>9.670424537267647E-5</v>
      </c>
      <c r="O1338" s="5">
        <v>45905</v>
      </c>
      <c r="P1338">
        <f t="shared" si="121"/>
        <v>1.0002241501950919</v>
      </c>
      <c r="Q1338" s="6">
        <f t="shared" si="124"/>
        <v>0.99992000639948797</v>
      </c>
      <c r="R1338">
        <f t="shared" si="125"/>
        <v>3.041218773611054E-4</v>
      </c>
      <c r="T1338" s="5">
        <v>45905</v>
      </c>
      <c r="U1338" s="1">
        <v>3.041218773611054E-4</v>
      </c>
    </row>
    <row r="1339" spans="3:21" x14ac:dyDescent="0.2">
      <c r="C1339" s="5">
        <v>45906</v>
      </c>
      <c r="D1339" s="6">
        <v>1.00024</v>
      </c>
      <c r="E1339" s="6">
        <v>110131.5</v>
      </c>
      <c r="F1339" s="6">
        <v>110262.56</v>
      </c>
      <c r="G1339" s="6">
        <v>110166.3</v>
      </c>
      <c r="H1339" s="6">
        <v>110190.39999999999</v>
      </c>
      <c r="I1339" s="5">
        <v>45906</v>
      </c>
      <c r="J1339" s="7">
        <f t="shared" si="122"/>
        <v>-5.3452932378858942E-4</v>
      </c>
      <c r="K1339" s="5">
        <v>45906</v>
      </c>
      <c r="L1339" s="8">
        <f t="shared" si="123"/>
        <v>8.7376992782724628E-4</v>
      </c>
      <c r="M1339" s="5">
        <v>45906</v>
      </c>
      <c r="N1339" s="9">
        <f t="shared" si="120"/>
        <v>3.3924060403865686E-4</v>
      </c>
      <c r="O1339" s="5">
        <v>45906</v>
      </c>
      <c r="P1339">
        <f t="shared" si="121"/>
        <v>1.000218760183468</v>
      </c>
      <c r="Q1339" s="6">
        <f t="shared" si="124"/>
        <v>0.99976005758617925</v>
      </c>
      <c r="R1339">
        <f t="shared" si="125"/>
        <v>4.5870746355548521E-4</v>
      </c>
      <c r="T1339" s="5">
        <v>45906</v>
      </c>
      <c r="U1339" s="1">
        <v>4.5870746355548521E-4</v>
      </c>
    </row>
    <row r="1340" spans="3:21" x14ac:dyDescent="0.2">
      <c r="C1340" s="5">
        <v>45907</v>
      </c>
      <c r="D1340" s="6">
        <v>0.99999000000000005</v>
      </c>
      <c r="E1340" s="6">
        <v>111086.7</v>
      </c>
      <c r="F1340" s="6">
        <v>111145.1</v>
      </c>
      <c r="G1340" s="6">
        <v>111089.7</v>
      </c>
      <c r="H1340" s="6">
        <v>111138.8</v>
      </c>
      <c r="I1340" s="5">
        <v>45907</v>
      </c>
      <c r="J1340" s="7">
        <f t="shared" si="122"/>
        <v>-4.6878317923178779E-4</v>
      </c>
      <c r="K1340" s="5">
        <v>45907</v>
      </c>
      <c r="L1340" s="8">
        <f t="shared" si="123"/>
        <v>4.9869609873830548E-4</v>
      </c>
      <c r="M1340" s="5">
        <v>45907</v>
      </c>
      <c r="N1340" s="9">
        <f t="shared" si="120"/>
        <v>2.9912919506517688E-5</v>
      </c>
      <c r="O1340" s="5">
        <v>45907</v>
      </c>
      <c r="P1340">
        <f t="shared" si="121"/>
        <v>1.0004419851705424</v>
      </c>
      <c r="Q1340" s="6">
        <f t="shared" si="124"/>
        <v>1.000010000100001</v>
      </c>
      <c r="R1340">
        <f t="shared" si="125"/>
        <v>4.3188747386780783E-4</v>
      </c>
      <c r="T1340" s="5">
        <v>45907</v>
      </c>
      <c r="U1340" s="1">
        <v>4.3188747386780783E-4</v>
      </c>
    </row>
    <row r="1341" spans="3:21" x14ac:dyDescent="0.2">
      <c r="C1341" s="5">
        <v>45908</v>
      </c>
      <c r="D1341" s="6">
        <v>1.00004</v>
      </c>
      <c r="E1341" s="6">
        <v>112011.3</v>
      </c>
      <c r="F1341" s="6">
        <v>112084.45</v>
      </c>
      <c r="G1341" s="6">
        <v>112029.6</v>
      </c>
      <c r="H1341" s="6">
        <v>112062.2</v>
      </c>
      <c r="I1341" s="5">
        <v>45908</v>
      </c>
      <c r="J1341" s="7">
        <f t="shared" si="122"/>
        <v>-4.542120358157718E-4</v>
      </c>
      <c r="K1341" s="5">
        <v>45908</v>
      </c>
      <c r="L1341" s="8">
        <f t="shared" si="123"/>
        <v>4.8960274784513435E-4</v>
      </c>
      <c r="M1341" s="5">
        <v>45908</v>
      </c>
      <c r="N1341" s="9">
        <f t="shared" si="120"/>
        <v>3.5390712029362552E-5</v>
      </c>
      <c r="O1341" s="5">
        <v>45908</v>
      </c>
      <c r="P1341">
        <f t="shared" si="121"/>
        <v>1.000290994522876</v>
      </c>
      <c r="Q1341" s="6">
        <f t="shared" si="124"/>
        <v>0.99996000159993592</v>
      </c>
      <c r="R1341">
        <f t="shared" si="125"/>
        <v>3.309513922029573E-4</v>
      </c>
      <c r="T1341" s="5">
        <v>45908</v>
      </c>
      <c r="U1341" s="1">
        <v>3.309513922029573E-4</v>
      </c>
    </row>
    <row r="1342" spans="3:21" x14ac:dyDescent="0.2">
      <c r="C1342" s="5">
        <v>45909</v>
      </c>
      <c r="D1342" s="6">
        <v>1.00003</v>
      </c>
      <c r="E1342" s="6">
        <v>111500</v>
      </c>
      <c r="F1342" s="6">
        <v>111543.03</v>
      </c>
      <c r="G1342" s="6">
        <v>111507.2</v>
      </c>
      <c r="H1342" s="6">
        <v>111540.7</v>
      </c>
      <c r="I1342" s="5">
        <v>45909</v>
      </c>
      <c r="J1342" s="7">
        <f t="shared" si="122"/>
        <v>-3.6488922877476196E-4</v>
      </c>
      <c r="K1342" s="5">
        <v>45909</v>
      </c>
      <c r="L1342" s="8">
        <f t="shared" si="123"/>
        <v>3.2132454227172546E-4</v>
      </c>
      <c r="M1342" s="5">
        <v>45909</v>
      </c>
      <c r="N1342" s="9">
        <f t="shared" si="120"/>
        <v>-4.3564686503036497E-5</v>
      </c>
      <c r="O1342" s="5">
        <v>45909</v>
      </c>
      <c r="P1342">
        <f t="shared" si="121"/>
        <v>1.0003004290305919</v>
      </c>
      <c r="Q1342" s="6">
        <f t="shared" si="124"/>
        <v>0.99997000089997301</v>
      </c>
      <c r="R1342">
        <f t="shared" si="125"/>
        <v>3.3038346083628012E-4</v>
      </c>
      <c r="T1342" s="5">
        <v>45909</v>
      </c>
      <c r="U1342" s="1">
        <v>3.3038346083628012E-4</v>
      </c>
    </row>
    <row r="1343" spans="3:21" x14ac:dyDescent="0.2">
      <c r="C1343" s="5">
        <v>45910</v>
      </c>
      <c r="D1343" s="6">
        <v>1.00024</v>
      </c>
      <c r="E1343" s="6">
        <v>113890</v>
      </c>
      <c r="F1343" s="6">
        <v>113944.03</v>
      </c>
      <c r="G1343" s="6">
        <v>113936.7</v>
      </c>
      <c r="H1343" s="6">
        <v>113945.5</v>
      </c>
      <c r="I1343" s="5">
        <v>45910</v>
      </c>
      <c r="J1343" s="7">
        <f t="shared" si="122"/>
        <v>-4.8707496127534653E-4</v>
      </c>
      <c r="K1343" s="5">
        <v>45910</v>
      </c>
      <c r="L1343" s="8">
        <f t="shared" si="123"/>
        <v>6.4333967896224359E-5</v>
      </c>
      <c r="M1343" s="5">
        <v>45910</v>
      </c>
      <c r="N1343" s="9">
        <f t="shared" si="120"/>
        <v>-4.2274099337912219E-4</v>
      </c>
      <c r="O1343" s="5">
        <v>45910</v>
      </c>
      <c r="P1343">
        <f t="shared" si="121"/>
        <v>1.0000772358686885</v>
      </c>
      <c r="Q1343" s="6">
        <f t="shared" si="124"/>
        <v>0.99976005758617925</v>
      </c>
      <c r="R1343">
        <f t="shared" si="125"/>
        <v>3.1720409075950269E-4</v>
      </c>
      <c r="T1343" s="5">
        <v>45910</v>
      </c>
      <c r="U1343" s="1">
        <v>3.1720409075950269E-4</v>
      </c>
    </row>
    <row r="1344" spans="3:21" x14ac:dyDescent="0.2">
      <c r="C1344" s="5">
        <v>45911</v>
      </c>
      <c r="D1344" s="6">
        <v>1.0003599999999999</v>
      </c>
      <c r="E1344" s="6">
        <v>115440.1</v>
      </c>
      <c r="F1344" s="6">
        <v>115520.34</v>
      </c>
      <c r="G1344" s="6">
        <v>115477</v>
      </c>
      <c r="H1344" s="6">
        <v>115477.3</v>
      </c>
      <c r="I1344" s="5">
        <v>45911</v>
      </c>
      <c r="J1344" s="7">
        <f t="shared" si="122"/>
        <v>-3.2214123468419413E-4</v>
      </c>
      <c r="K1344" s="5">
        <v>45911</v>
      </c>
      <c r="L1344" s="8">
        <f t="shared" si="123"/>
        <v>3.7531283285846106E-4</v>
      </c>
      <c r="M1344" s="5">
        <v>45911</v>
      </c>
      <c r="N1344" s="9">
        <f t="shared" si="120"/>
        <v>5.3171598174266924E-5</v>
      </c>
      <c r="O1344" s="5">
        <v>45911</v>
      </c>
      <c r="P1344">
        <f t="shared" si="121"/>
        <v>1.0000025979199321</v>
      </c>
      <c r="Q1344" s="6">
        <f t="shared" si="124"/>
        <v>0.9996401295533609</v>
      </c>
      <c r="R1344">
        <f t="shared" si="125"/>
        <v>3.625331321052323E-4</v>
      </c>
      <c r="T1344" s="5">
        <v>45911</v>
      </c>
      <c r="U1344" s="1">
        <v>3.625331321052323E-4</v>
      </c>
    </row>
    <row r="1345" spans="3:21" x14ac:dyDescent="0.2">
      <c r="C1345" s="5">
        <v>45912</v>
      </c>
      <c r="D1345" s="6">
        <v>1.0005900000000001</v>
      </c>
      <c r="E1345" s="6">
        <v>115972</v>
      </c>
      <c r="F1345" s="6">
        <v>115969.53</v>
      </c>
      <c r="G1345" s="6">
        <v>116050.8</v>
      </c>
      <c r="H1345" s="6">
        <v>116028.2</v>
      </c>
      <c r="I1345" s="5">
        <v>45912</v>
      </c>
      <c r="J1345" s="7">
        <f t="shared" si="122"/>
        <v>-4.8436500781704009E-4</v>
      </c>
      <c r="K1345" s="5">
        <v>45912</v>
      </c>
      <c r="L1345" s="8">
        <f t="shared" si="123"/>
        <v>-7.0029676658846013E-4</v>
      </c>
      <c r="M1345" s="5">
        <v>45912</v>
      </c>
      <c r="N1345" s="9">
        <f t="shared" si="120"/>
        <v>-1.1846617744055003E-3</v>
      </c>
      <c r="O1345" s="5">
        <v>45912</v>
      </c>
      <c r="P1345">
        <f t="shared" si="121"/>
        <v>0.99980525769749118</v>
      </c>
      <c r="Q1345" s="6">
        <f t="shared" si="124"/>
        <v>0.99941034789474203</v>
      </c>
      <c r="R1345">
        <f t="shared" si="125"/>
        <v>3.9506475117626419E-4</v>
      </c>
      <c r="T1345" s="5">
        <v>45912</v>
      </c>
      <c r="U1345" s="1">
        <v>3.9506475117626419E-4</v>
      </c>
    </row>
    <row r="1346" spans="3:21" x14ac:dyDescent="0.2">
      <c r="C1346" s="5">
        <v>45913</v>
      </c>
      <c r="D1346" s="6">
        <v>1.0004900000000001</v>
      </c>
      <c r="E1346" s="6">
        <v>115849.60000000001</v>
      </c>
      <c r="F1346" s="6">
        <v>115603.49</v>
      </c>
      <c r="G1346" s="6">
        <v>115925.3</v>
      </c>
      <c r="H1346" s="6">
        <v>115904.8</v>
      </c>
      <c r="I1346" s="5">
        <v>45913</v>
      </c>
      <c r="J1346" s="7">
        <f t="shared" si="122"/>
        <v>-4.762529248141327E-4</v>
      </c>
      <c r="K1346" s="5">
        <v>45913</v>
      </c>
      <c r="L1346" s="8">
        <f t="shared" si="123"/>
        <v>-2.7760117938016781E-3</v>
      </c>
      <c r="M1346" s="5">
        <v>45913</v>
      </c>
      <c r="N1346" s="9">
        <f t="shared" si="120"/>
        <v>-3.2522647186158109E-3</v>
      </c>
      <c r="O1346" s="5">
        <v>45913</v>
      </c>
      <c r="P1346">
        <f t="shared" si="121"/>
        <v>0.99982316198448495</v>
      </c>
      <c r="Q1346" s="6">
        <f t="shared" si="124"/>
        <v>0.99951023998240851</v>
      </c>
      <c r="R1346">
        <f t="shared" si="125"/>
        <v>3.1302633600146054E-4</v>
      </c>
      <c r="T1346" s="5">
        <v>45913</v>
      </c>
      <c r="U1346" s="1">
        <v>3.1302633600146054E-4</v>
      </c>
    </row>
    <row r="1347" spans="3:21" x14ac:dyDescent="0.2">
      <c r="C1347" s="5">
        <v>45914</v>
      </c>
      <c r="D1347" s="6">
        <v>1.00041</v>
      </c>
      <c r="E1347" s="6">
        <v>115214.39999999999</v>
      </c>
      <c r="F1347" s="6">
        <v>115311.67</v>
      </c>
      <c r="G1347" s="6">
        <v>115299.6</v>
      </c>
      <c r="H1347" s="6">
        <v>115272.6</v>
      </c>
      <c r="I1347" s="5">
        <v>45914</v>
      </c>
      <c r="J1347" s="7">
        <f t="shared" si="122"/>
        <v>-5.0489014735515328E-4</v>
      </c>
      <c r="K1347" s="5">
        <v>45914</v>
      </c>
      <c r="L1347" s="8">
        <f t="shared" si="123"/>
        <v>1.0468379768873814E-4</v>
      </c>
      <c r="M1347" s="5">
        <v>45914</v>
      </c>
      <c r="N1347" s="9">
        <f t="shared" si="120"/>
        <v>-4.0020634966641514E-4</v>
      </c>
      <c r="O1347" s="5">
        <v>45914</v>
      </c>
      <c r="P1347">
        <f t="shared" si="121"/>
        <v>0.99976582746167375</v>
      </c>
      <c r="Q1347" s="6">
        <f t="shared" si="124"/>
        <v>0.99959016803110723</v>
      </c>
      <c r="R1347">
        <f t="shared" si="125"/>
        <v>1.7571601197026082E-4</v>
      </c>
      <c r="T1347" s="5">
        <v>45914</v>
      </c>
      <c r="U1347" s="1">
        <v>1.7571601197026082E-4</v>
      </c>
    </row>
    <row r="1348" spans="3:21" x14ac:dyDescent="0.2">
      <c r="C1348" s="5">
        <v>45915</v>
      </c>
      <c r="D1348" s="6">
        <v>1.0001899999999999</v>
      </c>
      <c r="E1348" s="6">
        <v>115315.6</v>
      </c>
      <c r="F1348" s="6">
        <v>115391.8</v>
      </c>
      <c r="G1348" s="6">
        <v>115366.2</v>
      </c>
      <c r="H1348" s="6">
        <v>115356.9</v>
      </c>
      <c r="I1348" s="5">
        <v>45915</v>
      </c>
      <c r="J1348" s="7">
        <f t="shared" si="122"/>
        <v>-3.5801932957619669E-4</v>
      </c>
      <c r="K1348" s="5">
        <v>45915</v>
      </c>
      <c r="L1348" s="8">
        <f t="shared" si="123"/>
        <v>2.2190208223904246E-4</v>
      </c>
      <c r="M1348" s="5">
        <v>45915</v>
      </c>
      <c r="N1348" s="9">
        <f t="shared" si="120"/>
        <v>-1.3611724733715423E-4</v>
      </c>
      <c r="O1348" s="5">
        <v>45915</v>
      </c>
      <c r="P1348">
        <f t="shared" si="121"/>
        <v>0.99991938713418649</v>
      </c>
      <c r="Q1348" s="6">
        <f t="shared" si="124"/>
        <v>0.99981003609314234</v>
      </c>
      <c r="R1348">
        <f t="shared" si="125"/>
        <v>1.0936583708065859E-4</v>
      </c>
      <c r="T1348" s="5">
        <v>45915</v>
      </c>
      <c r="U1348" s="1">
        <v>1.0936583708065859E-4</v>
      </c>
    </row>
    <row r="1349" spans="3:21" x14ac:dyDescent="0.2">
      <c r="C1349" s="5">
        <v>45916</v>
      </c>
      <c r="D1349" s="6">
        <v>1.0002599999999999</v>
      </c>
      <c r="E1349" s="6">
        <v>116748.9</v>
      </c>
      <c r="F1349" s="6">
        <v>116851.56</v>
      </c>
      <c r="G1349" s="6">
        <v>116767.8</v>
      </c>
      <c r="H1349" s="6">
        <v>116792.5</v>
      </c>
      <c r="I1349" s="5">
        <v>45916</v>
      </c>
      <c r="J1349" s="7">
        <f t="shared" si="122"/>
        <v>-3.7331164244284369E-4</v>
      </c>
      <c r="K1349" s="5">
        <v>45916</v>
      </c>
      <c r="L1349" s="8">
        <f t="shared" si="123"/>
        <v>7.1732104227359558E-4</v>
      </c>
      <c r="M1349" s="5">
        <v>45916</v>
      </c>
      <c r="N1349" s="9">
        <f t="shared" si="120"/>
        <v>3.4400939983075189E-4</v>
      </c>
      <c r="O1349" s="5">
        <v>45916</v>
      </c>
      <c r="P1349">
        <f t="shared" si="121"/>
        <v>1.0002115309186266</v>
      </c>
      <c r="Q1349" s="6">
        <f t="shared" si="124"/>
        <v>0.99974006758242862</v>
      </c>
      <c r="R1349">
        <f t="shared" si="125"/>
        <v>4.7147475497371635E-4</v>
      </c>
      <c r="T1349" s="5">
        <v>45916</v>
      </c>
      <c r="U1349" s="1">
        <v>4.7147475497371635E-4</v>
      </c>
    </row>
    <row r="1350" spans="3:21" x14ac:dyDescent="0.2">
      <c r="C1350" s="5">
        <v>45917</v>
      </c>
      <c r="D1350" s="6">
        <v>1.0003200000000001</v>
      </c>
      <c r="E1350" s="6">
        <v>116400.2</v>
      </c>
      <c r="F1350" s="6">
        <v>116443.92</v>
      </c>
      <c r="G1350" s="6">
        <v>116430.8</v>
      </c>
      <c r="H1350" s="6">
        <v>116443.3</v>
      </c>
      <c r="I1350" s="5">
        <v>45917</v>
      </c>
      <c r="J1350" s="7">
        <f t="shared" si="122"/>
        <v>-3.7013722558537778E-4</v>
      </c>
      <c r="K1350" s="5">
        <v>45917</v>
      </c>
      <c r="L1350" s="8">
        <f t="shared" si="123"/>
        <v>1.126849596498121E-4</v>
      </c>
      <c r="M1350" s="5">
        <v>45917</v>
      </c>
      <c r="N1350" s="9">
        <f t="shared" si="120"/>
        <v>-2.574522659355657E-4</v>
      </c>
      <c r="O1350" s="5">
        <v>45917</v>
      </c>
      <c r="P1350">
        <f t="shared" si="121"/>
        <v>1.0001073599082029</v>
      </c>
      <c r="Q1350" s="6">
        <f t="shared" si="124"/>
        <v>0.99968010236724236</v>
      </c>
      <c r="R1350">
        <f t="shared" si="125"/>
        <v>4.2730295646060674E-4</v>
      </c>
      <c r="T1350" s="5">
        <v>45917</v>
      </c>
      <c r="U1350" s="1">
        <v>4.2730295646060674E-4</v>
      </c>
    </row>
    <row r="1351" spans="3:21" x14ac:dyDescent="0.2">
      <c r="C1351" s="5">
        <v>45918</v>
      </c>
      <c r="D1351" s="6">
        <v>1.0003599999999999</v>
      </c>
      <c r="E1351" s="6">
        <v>117023.5</v>
      </c>
      <c r="F1351" s="6">
        <v>117101.44</v>
      </c>
      <c r="G1351" s="6">
        <v>117091.5</v>
      </c>
      <c r="H1351" s="6">
        <v>117085.4</v>
      </c>
      <c r="I1351" s="5">
        <v>45918</v>
      </c>
      <c r="J1351" s="7">
        <f t="shared" si="122"/>
        <v>-5.2867394226773098E-4</v>
      </c>
      <c r="K1351" s="5">
        <v>45918</v>
      </c>
      <c r="L1351" s="8">
        <f t="shared" si="123"/>
        <v>8.489087593892237E-5</v>
      </c>
      <c r="M1351" s="5">
        <v>45918</v>
      </c>
      <c r="N1351" s="9">
        <f t="shared" si="120"/>
        <v>-4.4378306632880861E-4</v>
      </c>
      <c r="O1351" s="5">
        <v>45918</v>
      </c>
      <c r="P1351">
        <f t="shared" si="121"/>
        <v>0.99994790398961497</v>
      </c>
      <c r="Q1351" s="6">
        <f t="shared" si="124"/>
        <v>0.9996401295533609</v>
      </c>
      <c r="R1351">
        <f t="shared" si="125"/>
        <v>3.0783784811835797E-4</v>
      </c>
      <c r="T1351" s="5">
        <v>45918</v>
      </c>
      <c r="U1351" s="1">
        <v>3.0783784811835797E-4</v>
      </c>
    </row>
    <row r="1352" spans="3:21" x14ac:dyDescent="0.2">
      <c r="C1352" s="5">
        <v>45919</v>
      </c>
      <c r="D1352" s="6">
        <v>1.00047</v>
      </c>
      <c r="E1352" s="6">
        <v>115572.9</v>
      </c>
      <c r="F1352" s="6">
        <v>115784.31</v>
      </c>
      <c r="G1352" s="6">
        <v>115642.5</v>
      </c>
      <c r="H1352" s="6">
        <v>115633.1</v>
      </c>
      <c r="I1352" s="5">
        <v>45919</v>
      </c>
      <c r="J1352" s="7">
        <f t="shared" si="122"/>
        <v>-5.2061217765511463E-4</v>
      </c>
      <c r="K1352" s="5">
        <v>45919</v>
      </c>
      <c r="L1352" s="8">
        <f t="shared" si="123"/>
        <v>1.2262792658408255E-3</v>
      </c>
      <c r="M1352" s="5">
        <v>45919</v>
      </c>
      <c r="N1352" s="9">
        <f t="shared" ref="N1352:N1415" si="126">J1352+L1352</f>
        <v>7.056670881857109E-4</v>
      </c>
      <c r="O1352" s="5">
        <v>45919</v>
      </c>
      <c r="P1352">
        <f t="shared" ref="P1352:P1415" si="127">(1/G1352)*H1352</f>
        <v>0.9999187150052965</v>
      </c>
      <c r="Q1352" s="6">
        <f t="shared" si="124"/>
        <v>0.99953022079622578</v>
      </c>
      <c r="R1352">
        <f t="shared" si="125"/>
        <v>3.8860128608778576E-4</v>
      </c>
      <c r="T1352" s="5">
        <v>45919</v>
      </c>
      <c r="U1352" s="1">
        <v>3.8860128608778576E-4</v>
      </c>
    </row>
    <row r="1353" spans="3:21" x14ac:dyDescent="0.2">
      <c r="C1353" s="5">
        <v>45920</v>
      </c>
      <c r="D1353" s="6">
        <v>1.0004999999999999</v>
      </c>
      <c r="E1353" s="6">
        <v>115628.9</v>
      </c>
      <c r="F1353" s="6">
        <v>115860.24</v>
      </c>
      <c r="G1353" s="6">
        <v>115691.9</v>
      </c>
      <c r="H1353" s="6">
        <v>115680.9</v>
      </c>
      <c r="I1353" s="5">
        <v>45920</v>
      </c>
      <c r="J1353" s="7">
        <f t="shared" ref="J1353:J1416" si="128">(E1353-H1353)/H1353</f>
        <v>-4.4951240870359761E-4</v>
      </c>
      <c r="K1353" s="5">
        <v>45920</v>
      </c>
      <c r="L1353" s="8">
        <f t="shared" ref="L1353:L1416" si="129">(F1353-G1353)/G1353</f>
        <v>1.4550716169412989E-3</v>
      </c>
      <c r="M1353" s="5">
        <v>45920</v>
      </c>
      <c r="N1353" s="9">
        <f t="shared" si="126"/>
        <v>1.0055592082377012E-3</v>
      </c>
      <c r="O1353" s="5">
        <v>45920</v>
      </c>
      <c r="P1353">
        <f t="shared" si="127"/>
        <v>0.99990491987770969</v>
      </c>
      <c r="Q1353" s="6">
        <f t="shared" ref="Q1353:Q1416" si="130">1/D1353</f>
        <v>0.99950024987506247</v>
      </c>
      <c r="R1353">
        <f t="shared" ref="R1353:R1416" si="131">LN(P1353/Q1353)</f>
        <v>4.0479039895946169E-4</v>
      </c>
      <c r="T1353" s="5">
        <v>45920</v>
      </c>
      <c r="U1353" s="1">
        <v>4.0479039895946169E-4</v>
      </c>
    </row>
    <row r="1354" spans="3:21" x14ac:dyDescent="0.2">
      <c r="C1354" s="5">
        <v>45921</v>
      </c>
      <c r="D1354" s="6">
        <v>1.00051</v>
      </c>
      <c r="E1354" s="6">
        <v>115173.4</v>
      </c>
      <c r="F1354" s="6">
        <v>115326.14</v>
      </c>
      <c r="G1354" s="6">
        <v>115251.1</v>
      </c>
      <c r="H1354" s="6">
        <v>115235</v>
      </c>
      <c r="I1354" s="5">
        <v>45921</v>
      </c>
      <c r="J1354" s="7">
        <f t="shared" si="128"/>
        <v>-5.3455981255699932E-4</v>
      </c>
      <c r="K1354" s="5">
        <v>45921</v>
      </c>
      <c r="L1354" s="8">
        <f t="shared" si="129"/>
        <v>6.51100076268197E-4</v>
      </c>
      <c r="M1354" s="5">
        <v>45921</v>
      </c>
      <c r="N1354" s="9">
        <f t="shared" si="126"/>
        <v>1.1654026371119767E-4</v>
      </c>
      <c r="O1354" s="5">
        <v>45921</v>
      </c>
      <c r="P1354">
        <f t="shared" si="127"/>
        <v>0.99986030502094991</v>
      </c>
      <c r="Q1354" s="6">
        <f t="shared" si="130"/>
        <v>0.99949025996741658</v>
      </c>
      <c r="R1354">
        <f t="shared" si="131"/>
        <v>3.7016525689760268E-4</v>
      </c>
      <c r="T1354" s="5">
        <v>45921</v>
      </c>
      <c r="U1354" s="1">
        <v>3.7016525689760268E-4</v>
      </c>
    </row>
    <row r="1355" spans="3:21" x14ac:dyDescent="0.2">
      <c r="C1355" s="5">
        <v>45922</v>
      </c>
      <c r="D1355" s="6">
        <v>1.00078</v>
      </c>
      <c r="E1355" s="6">
        <v>112600.7</v>
      </c>
      <c r="F1355" s="6">
        <v>112793.11</v>
      </c>
      <c r="G1355" s="6">
        <v>112677.6</v>
      </c>
      <c r="H1355" s="6">
        <v>112650.9</v>
      </c>
      <c r="I1355" s="5">
        <v>45922</v>
      </c>
      <c r="J1355" s="7">
        <f t="shared" si="128"/>
        <v>-4.4562449123794923E-4</v>
      </c>
      <c r="K1355" s="5">
        <v>45922</v>
      </c>
      <c r="L1355" s="8">
        <f t="shared" si="129"/>
        <v>1.0251372056202365E-3</v>
      </c>
      <c r="M1355" s="5">
        <v>45922</v>
      </c>
      <c r="N1355" s="9">
        <f t="shared" si="126"/>
        <v>5.7951271438228728E-4</v>
      </c>
      <c r="O1355" s="5">
        <v>45922</v>
      </c>
      <c r="P1355">
        <f t="shared" si="127"/>
        <v>0.99976304074634159</v>
      </c>
      <c r="Q1355" s="6">
        <f t="shared" si="130"/>
        <v>0.99922060792581791</v>
      </c>
      <c r="R1355">
        <f t="shared" si="131"/>
        <v>5.4270862515332779E-4</v>
      </c>
      <c r="T1355" s="5">
        <v>45922</v>
      </c>
      <c r="U1355" s="1">
        <v>5.4270862515332779E-4</v>
      </c>
    </row>
    <row r="1356" spans="3:21" x14ac:dyDescent="0.2">
      <c r="C1356" s="5">
        <v>45923</v>
      </c>
      <c r="D1356" s="6">
        <v>1.0002200000000001</v>
      </c>
      <c r="E1356" s="6">
        <v>111937.5</v>
      </c>
      <c r="F1356" s="6">
        <v>112063.96</v>
      </c>
      <c r="G1356" s="6">
        <v>111978.8</v>
      </c>
      <c r="H1356" s="6">
        <v>111990.9</v>
      </c>
      <c r="I1356" s="5">
        <v>45923</v>
      </c>
      <c r="J1356" s="7">
        <f t="shared" si="128"/>
        <v>-4.7682445627273448E-4</v>
      </c>
      <c r="K1356" s="5">
        <v>45923</v>
      </c>
      <c r="L1356" s="8">
        <f t="shared" si="129"/>
        <v>7.6050109485012777E-4</v>
      </c>
      <c r="M1356" s="5">
        <v>45923</v>
      </c>
      <c r="N1356" s="9">
        <f t="shared" si="126"/>
        <v>2.8367663857739329E-4</v>
      </c>
      <c r="O1356" s="5">
        <v>45923</v>
      </c>
      <c r="P1356">
        <f t="shared" si="127"/>
        <v>1.0001080561677747</v>
      </c>
      <c r="Q1356" s="6">
        <f t="shared" si="130"/>
        <v>0.99978004838935419</v>
      </c>
      <c r="R1356">
        <f t="shared" si="131"/>
        <v>3.2802613367639703E-4</v>
      </c>
      <c r="T1356" s="5">
        <v>45923</v>
      </c>
      <c r="U1356" s="1">
        <v>3.2802613367639703E-4</v>
      </c>
    </row>
    <row r="1357" spans="3:21" x14ac:dyDescent="0.2">
      <c r="C1357" s="5">
        <v>45924</v>
      </c>
      <c r="D1357" s="6">
        <v>1.00031</v>
      </c>
      <c r="E1357" s="6">
        <v>113255.5</v>
      </c>
      <c r="F1357" s="6">
        <v>113372.29</v>
      </c>
      <c r="G1357" s="6">
        <v>113317.7</v>
      </c>
      <c r="H1357" s="6">
        <v>113307</v>
      </c>
      <c r="I1357" s="5">
        <v>45924</v>
      </c>
      <c r="J1357" s="7">
        <f t="shared" si="128"/>
        <v>-4.5451737315435056E-4</v>
      </c>
      <c r="K1357" s="5">
        <v>45924</v>
      </c>
      <c r="L1357" s="8">
        <f t="shared" si="129"/>
        <v>4.8174292277372826E-4</v>
      </c>
      <c r="M1357" s="5">
        <v>45924</v>
      </c>
      <c r="N1357" s="9">
        <f t="shared" si="126"/>
        <v>2.7225549619377704E-5</v>
      </c>
      <c r="O1357" s="5">
        <v>45924</v>
      </c>
      <c r="P1357">
        <f t="shared" si="127"/>
        <v>0.9999055752102276</v>
      </c>
      <c r="Q1357" s="6">
        <f t="shared" si="130"/>
        <v>0.99969009607021819</v>
      </c>
      <c r="R1357">
        <f t="shared" si="131"/>
        <v>2.1552271185463484E-4</v>
      </c>
      <c r="T1357" s="5">
        <v>45924</v>
      </c>
      <c r="U1357" s="1">
        <v>2.1552271185463484E-4</v>
      </c>
    </row>
    <row r="1358" spans="3:21" x14ac:dyDescent="0.2">
      <c r="C1358" s="5">
        <v>45925</v>
      </c>
      <c r="D1358" s="6">
        <v>1.0004299999999999</v>
      </c>
      <c r="E1358" s="6">
        <v>108931.3</v>
      </c>
      <c r="F1358" s="6">
        <v>109061.89</v>
      </c>
      <c r="G1358" s="6">
        <v>108995.6</v>
      </c>
      <c r="H1358" s="6">
        <v>108986.7</v>
      </c>
      <c r="I1358" s="5">
        <v>45925</v>
      </c>
      <c r="J1358" s="7">
        <f t="shared" si="128"/>
        <v>-5.0831890496724991E-4</v>
      </c>
      <c r="K1358" s="5">
        <v>45925</v>
      </c>
      <c r="L1358" s="8">
        <f t="shared" si="129"/>
        <v>6.0818968839103219E-4</v>
      </c>
      <c r="M1358" s="5">
        <v>45925</v>
      </c>
      <c r="N1358" s="9">
        <f t="shared" si="126"/>
        <v>9.9870783423782286E-5</v>
      </c>
      <c r="O1358" s="5">
        <v>45925</v>
      </c>
      <c r="P1358">
        <f t="shared" si="127"/>
        <v>0.9999183453277013</v>
      </c>
      <c r="Q1358" s="6">
        <f t="shared" si="130"/>
        <v>0.99957018482052729</v>
      </c>
      <c r="R1358">
        <f t="shared" si="131"/>
        <v>3.4824957027071798E-4</v>
      </c>
      <c r="T1358" s="5">
        <v>45925</v>
      </c>
      <c r="U1358" s="1">
        <v>3.4824957027071798E-4</v>
      </c>
    </row>
    <row r="1359" spans="3:21" x14ac:dyDescent="0.2">
      <c r="C1359" s="5">
        <v>45926</v>
      </c>
      <c r="D1359" s="6">
        <v>1.00051</v>
      </c>
      <c r="E1359" s="6">
        <v>109592.1</v>
      </c>
      <c r="F1359" s="6">
        <v>109779.81</v>
      </c>
      <c r="G1359" s="6">
        <v>109660</v>
      </c>
      <c r="H1359" s="6">
        <v>109639.3</v>
      </c>
      <c r="I1359" s="5">
        <v>45926</v>
      </c>
      <c r="J1359" s="7">
        <f t="shared" si="128"/>
        <v>-4.3050256614185869E-4</v>
      </c>
      <c r="K1359" s="5">
        <v>45926</v>
      </c>
      <c r="L1359" s="8">
        <f t="shared" si="129"/>
        <v>1.0925588181652168E-3</v>
      </c>
      <c r="M1359" s="5">
        <v>45926</v>
      </c>
      <c r="N1359" s="9">
        <f t="shared" si="126"/>
        <v>6.6205625202335808E-4</v>
      </c>
      <c r="O1359" s="5">
        <v>45926</v>
      </c>
      <c r="P1359">
        <f t="shared" si="127"/>
        <v>0.99981123472551536</v>
      </c>
      <c r="Q1359" s="6">
        <f t="shared" si="130"/>
        <v>0.99949025996741658</v>
      </c>
      <c r="R1359">
        <f t="shared" si="131"/>
        <v>3.2108690130858972E-4</v>
      </c>
      <c r="T1359" s="5">
        <v>45926</v>
      </c>
      <c r="U1359" s="1">
        <v>3.2108690130858972E-4</v>
      </c>
    </row>
    <row r="1360" spans="3:21" x14ac:dyDescent="0.2">
      <c r="C1360" s="5">
        <v>45927</v>
      </c>
      <c r="D1360" s="6">
        <v>1.0004299999999999</v>
      </c>
      <c r="E1360" s="6">
        <v>109585.60000000001</v>
      </c>
      <c r="F1360" s="6">
        <v>109786.32</v>
      </c>
      <c r="G1360" s="6">
        <v>109633.7</v>
      </c>
      <c r="H1360" s="6">
        <v>109631.2</v>
      </c>
      <c r="I1360" s="5">
        <v>45927</v>
      </c>
      <c r="J1360" s="7">
        <f t="shared" si="128"/>
        <v>-4.1593998788658036E-4</v>
      </c>
      <c r="K1360" s="5">
        <v>45927</v>
      </c>
      <c r="L1360" s="8">
        <f t="shared" si="129"/>
        <v>1.392090205840083E-3</v>
      </c>
      <c r="M1360" s="5">
        <v>45927</v>
      </c>
      <c r="N1360" s="9">
        <f t="shared" si="126"/>
        <v>9.7615021795350253E-4</v>
      </c>
      <c r="O1360" s="5">
        <v>45927</v>
      </c>
      <c r="P1360">
        <f t="shared" si="127"/>
        <v>0.99997719679259212</v>
      </c>
      <c r="Q1360" s="6">
        <f t="shared" si="130"/>
        <v>0.99957018482052729</v>
      </c>
      <c r="R1360">
        <f t="shared" si="131"/>
        <v>4.0710410908875895E-4</v>
      </c>
      <c r="T1360" s="5">
        <v>45927</v>
      </c>
      <c r="U1360" s="1">
        <v>4.0710410908875895E-4</v>
      </c>
    </row>
    <row r="1361" spans="3:21" x14ac:dyDescent="0.2">
      <c r="C1361" s="5">
        <v>45928</v>
      </c>
      <c r="D1361" s="6">
        <v>1.0003</v>
      </c>
      <c r="E1361" s="6">
        <v>112133.5</v>
      </c>
      <c r="F1361" s="6">
        <v>112258.33</v>
      </c>
      <c r="G1361" s="6">
        <v>112164.4</v>
      </c>
      <c r="H1361" s="6">
        <v>112176</v>
      </c>
      <c r="I1361" s="5">
        <v>45928</v>
      </c>
      <c r="J1361" s="7">
        <f t="shared" si="128"/>
        <v>-3.7886892026815007E-4</v>
      </c>
      <c r="K1361" s="5">
        <v>45928</v>
      </c>
      <c r="L1361" s="8">
        <f t="shared" si="129"/>
        <v>8.3743148449960572E-4</v>
      </c>
      <c r="M1361" s="5">
        <v>45928</v>
      </c>
      <c r="N1361" s="9">
        <f t="shared" si="126"/>
        <v>4.5856256423145564E-4</v>
      </c>
      <c r="O1361" s="5">
        <v>45928</v>
      </c>
      <c r="P1361">
        <f t="shared" si="127"/>
        <v>1.0001034196233387</v>
      </c>
      <c r="Q1361" s="6">
        <f t="shared" si="130"/>
        <v>0.99970008997300808</v>
      </c>
      <c r="R1361">
        <f t="shared" si="131"/>
        <v>4.0336928489605693E-4</v>
      </c>
      <c r="T1361" s="5">
        <v>45928</v>
      </c>
      <c r="U1361" s="1">
        <v>4.0336928489605693E-4</v>
      </c>
    </row>
    <row r="1362" spans="3:21" x14ac:dyDescent="0.2">
      <c r="C1362" s="5">
        <v>45929</v>
      </c>
      <c r="D1362" s="6">
        <v>1.0005200000000001</v>
      </c>
      <c r="E1362" s="6">
        <v>114251.4</v>
      </c>
      <c r="F1362" s="6">
        <v>114385.43</v>
      </c>
      <c r="G1362" s="6">
        <v>114320.1</v>
      </c>
      <c r="H1362" s="6">
        <v>114305.60000000001</v>
      </c>
      <c r="I1362" s="5">
        <v>45929</v>
      </c>
      <c r="J1362" s="7">
        <f t="shared" si="128"/>
        <v>-4.7416749485599689E-4</v>
      </c>
      <c r="K1362" s="5">
        <v>45929</v>
      </c>
      <c r="L1362" s="8">
        <f t="shared" si="129"/>
        <v>5.7146556029943278E-4</v>
      </c>
      <c r="M1362" s="5">
        <v>45929</v>
      </c>
      <c r="N1362" s="9">
        <f t="shared" si="126"/>
        <v>9.7298065443435883E-5</v>
      </c>
      <c r="O1362" s="5">
        <v>45929</v>
      </c>
      <c r="P1362">
        <f t="shared" si="127"/>
        <v>0.99987316316203356</v>
      </c>
      <c r="Q1362" s="6">
        <f t="shared" si="130"/>
        <v>0.99948027025946495</v>
      </c>
      <c r="R1362">
        <f t="shared" si="131"/>
        <v>3.9301996441280904E-4</v>
      </c>
      <c r="T1362" s="5">
        <v>45929</v>
      </c>
      <c r="U1362" s="1">
        <v>3.9301996441280904E-4</v>
      </c>
    </row>
    <row r="1363" spans="3:21" x14ac:dyDescent="0.2">
      <c r="C1363" s="5">
        <v>45930</v>
      </c>
      <c r="D1363" s="6">
        <v>1.0001100000000001</v>
      </c>
      <c r="E1363" s="6">
        <v>114013.8</v>
      </c>
      <c r="F1363" s="6">
        <v>114064.06</v>
      </c>
      <c r="G1363" s="6">
        <v>114022.3</v>
      </c>
      <c r="H1363" s="6">
        <v>114051.1</v>
      </c>
      <c r="I1363" s="5">
        <v>45930</v>
      </c>
      <c r="J1363" s="7">
        <f t="shared" si="128"/>
        <v>-3.2704638534834741E-4</v>
      </c>
      <c r="K1363" s="5">
        <v>45930</v>
      </c>
      <c r="L1363" s="8">
        <f t="shared" si="129"/>
        <v>3.6624414697822055E-4</v>
      </c>
      <c r="M1363" s="5">
        <v>45930</v>
      </c>
      <c r="N1363" s="9">
        <f t="shared" si="126"/>
        <v>3.919776162987314E-5</v>
      </c>
      <c r="O1363" s="5">
        <v>45930</v>
      </c>
      <c r="P1363">
        <f t="shared" si="127"/>
        <v>1.0002525821703299</v>
      </c>
      <c r="Q1363" s="6">
        <f t="shared" si="130"/>
        <v>0.99989001209866912</v>
      </c>
      <c r="R1363">
        <f t="shared" si="131"/>
        <v>3.625442272674262E-4</v>
      </c>
      <c r="T1363" s="5">
        <v>45930</v>
      </c>
      <c r="U1363" s="1">
        <v>3.625442272674262E-4</v>
      </c>
    </row>
    <row r="1364" spans="3:21" x14ac:dyDescent="0.2">
      <c r="C1364" s="5">
        <v>45931</v>
      </c>
      <c r="D1364" s="6">
        <v>1.00058</v>
      </c>
      <c r="E1364" s="6">
        <v>118555.4</v>
      </c>
      <c r="F1364" s="6">
        <v>118559.12</v>
      </c>
      <c r="G1364" s="6">
        <v>118618</v>
      </c>
      <c r="H1364" s="6">
        <v>118584</v>
      </c>
      <c r="I1364" s="5">
        <v>45931</v>
      </c>
      <c r="J1364" s="7">
        <f t="shared" si="128"/>
        <v>-2.4117924846527204E-4</v>
      </c>
      <c r="K1364" s="5">
        <v>45931</v>
      </c>
      <c r="L1364" s="8">
        <f t="shared" si="129"/>
        <v>-4.9638334822712116E-4</v>
      </c>
      <c r="M1364" s="5">
        <v>45931</v>
      </c>
      <c r="N1364" s="9">
        <f t="shared" si="126"/>
        <v>-7.3756259669239318E-4</v>
      </c>
      <c r="O1364" s="5">
        <v>45931</v>
      </c>
      <c r="P1364">
        <f t="shared" si="127"/>
        <v>0.99971336559375468</v>
      </c>
      <c r="Q1364" s="6">
        <f t="shared" si="130"/>
        <v>0.99942033620500104</v>
      </c>
      <c r="R1364">
        <f t="shared" si="131"/>
        <v>2.9315637127075316E-4</v>
      </c>
      <c r="T1364" s="5">
        <v>45931</v>
      </c>
      <c r="U1364" s="1">
        <v>2.9315637127075316E-4</v>
      </c>
    </row>
    <row r="1365" spans="3:21" x14ac:dyDescent="0.2">
      <c r="C1365" s="5">
        <v>45932</v>
      </c>
      <c r="D1365" s="6">
        <v>1.00068</v>
      </c>
      <c r="E1365" s="6">
        <v>120484</v>
      </c>
      <c r="F1365" s="6">
        <v>120506.88</v>
      </c>
      <c r="G1365" s="6">
        <v>120546.7</v>
      </c>
      <c r="H1365" s="6">
        <v>120530.8</v>
      </c>
      <c r="I1365" s="5">
        <v>45932</v>
      </c>
      <c r="J1365" s="7">
        <f t="shared" si="128"/>
        <v>-3.8828249708790539E-4</v>
      </c>
      <c r="K1365" s="5">
        <v>45932</v>
      </c>
      <c r="L1365" s="8">
        <f t="shared" si="129"/>
        <v>-3.3032841214228537E-4</v>
      </c>
      <c r="M1365" s="5">
        <v>45932</v>
      </c>
      <c r="N1365" s="9">
        <f t="shared" si="126"/>
        <v>-7.1861090923019076E-4</v>
      </c>
      <c r="O1365" s="5">
        <v>45932</v>
      </c>
      <c r="P1365">
        <f t="shared" si="127"/>
        <v>0.99986810091026967</v>
      </c>
      <c r="Q1365" s="6">
        <f t="shared" si="130"/>
        <v>0.99932046208578162</v>
      </c>
      <c r="R1365">
        <f t="shared" si="131"/>
        <v>5.4786111557704811E-4</v>
      </c>
      <c r="T1365" s="5">
        <v>45932</v>
      </c>
      <c r="U1365" s="1">
        <v>5.4786111557704811E-4</v>
      </c>
    </row>
    <row r="1366" spans="3:21" x14ac:dyDescent="0.2">
      <c r="C1366" s="5">
        <v>45933</v>
      </c>
      <c r="D1366" s="6">
        <v>1.00068</v>
      </c>
      <c r="E1366" s="6">
        <v>122180.2</v>
      </c>
      <c r="F1366" s="6">
        <v>122106.14</v>
      </c>
      <c r="G1366" s="6">
        <v>122271</v>
      </c>
      <c r="H1366" s="6">
        <v>122223.8</v>
      </c>
      <c r="I1366" s="5">
        <v>45933</v>
      </c>
      <c r="J1366" s="7">
        <f t="shared" si="128"/>
        <v>-3.5672266776197285E-4</v>
      </c>
      <c r="K1366" s="5">
        <v>45933</v>
      </c>
      <c r="L1366" s="8">
        <f t="shared" si="129"/>
        <v>-1.348316444618925E-3</v>
      </c>
      <c r="M1366" s="5">
        <v>45933</v>
      </c>
      <c r="N1366" s="9">
        <f t="shared" si="126"/>
        <v>-1.7050391123808978E-3</v>
      </c>
      <c r="O1366" s="5">
        <v>45933</v>
      </c>
      <c r="P1366">
        <f t="shared" si="127"/>
        <v>0.999613972241987</v>
      </c>
      <c r="Q1366" s="6">
        <f t="shared" si="130"/>
        <v>0.99932046208578162</v>
      </c>
      <c r="R1366">
        <f t="shared" si="131"/>
        <v>2.9366661884869694E-4</v>
      </c>
      <c r="T1366" s="5">
        <v>45933</v>
      </c>
      <c r="U1366" s="1">
        <v>2.9366661884869694E-4</v>
      </c>
    </row>
    <row r="1367" spans="3:21" x14ac:dyDescent="0.2">
      <c r="C1367" s="5">
        <v>45934</v>
      </c>
      <c r="D1367" s="6">
        <v>1.00048</v>
      </c>
      <c r="E1367" s="6">
        <v>122359.3</v>
      </c>
      <c r="F1367" s="6">
        <v>122077.58</v>
      </c>
      <c r="G1367" s="6">
        <v>122397.6</v>
      </c>
      <c r="H1367" s="6">
        <v>122397.8</v>
      </c>
      <c r="I1367" s="5">
        <v>45934</v>
      </c>
      <c r="J1367" s="7">
        <f t="shared" si="128"/>
        <v>-3.1454813730312145E-4</v>
      </c>
      <c r="K1367" s="5">
        <v>45934</v>
      </c>
      <c r="L1367" s="8">
        <f t="shared" si="129"/>
        <v>-2.6145937502042855E-3</v>
      </c>
      <c r="M1367" s="5">
        <v>45934</v>
      </c>
      <c r="N1367" s="9">
        <f t="shared" si="126"/>
        <v>-2.9291418875074071E-3</v>
      </c>
      <c r="O1367" s="5">
        <v>45934</v>
      </c>
      <c r="P1367">
        <f t="shared" si="127"/>
        <v>1.0000016340189677</v>
      </c>
      <c r="Q1367" s="6">
        <f t="shared" si="130"/>
        <v>0.99952023028946102</v>
      </c>
      <c r="R1367">
        <f t="shared" si="131"/>
        <v>4.8151885448339301E-4</v>
      </c>
      <c r="T1367" s="5">
        <v>45934</v>
      </c>
      <c r="U1367" s="1">
        <v>4.8151885448339301E-4</v>
      </c>
    </row>
    <row r="1368" spans="3:21" x14ac:dyDescent="0.2">
      <c r="C1368" s="5">
        <v>45935</v>
      </c>
      <c r="D1368" s="6">
        <v>1.0002899999999999</v>
      </c>
      <c r="E1368" s="6">
        <v>123447.9</v>
      </c>
      <c r="F1368" s="6">
        <v>123001.73</v>
      </c>
      <c r="G1368" s="6">
        <v>123521.60000000001</v>
      </c>
      <c r="H1368" s="6">
        <v>123496.8</v>
      </c>
      <c r="I1368" s="5">
        <v>45935</v>
      </c>
      <c r="J1368" s="7">
        <f t="shared" si="128"/>
        <v>-3.9596167673987287E-4</v>
      </c>
      <c r="K1368" s="5">
        <v>45935</v>
      </c>
      <c r="L1368" s="8">
        <f t="shared" si="129"/>
        <v>-4.2087375811194951E-3</v>
      </c>
      <c r="M1368" s="5">
        <v>45935</v>
      </c>
      <c r="N1368" s="9">
        <f t="shared" si="126"/>
        <v>-4.6046992578593678E-3</v>
      </c>
      <c r="O1368" s="5">
        <v>45935</v>
      </c>
      <c r="P1368">
        <f t="shared" si="127"/>
        <v>0.99979922539863475</v>
      </c>
      <c r="Q1368" s="6">
        <f t="shared" si="130"/>
        <v>0.99971008407561812</v>
      </c>
      <c r="R1368">
        <f t="shared" si="131"/>
        <v>8.9163198844045193E-5</v>
      </c>
      <c r="T1368" s="5">
        <v>45935</v>
      </c>
      <c r="U1368" s="1">
        <v>8.9163198844045193E-5</v>
      </c>
    </row>
    <row r="1369" spans="3:21" x14ac:dyDescent="0.2">
      <c r="C1369" s="5">
        <v>45936</v>
      </c>
      <c r="D1369" s="6">
        <v>1.0003899999999999</v>
      </c>
      <c r="E1369" s="6">
        <v>124606.1</v>
      </c>
      <c r="F1369" s="6">
        <v>124373.93</v>
      </c>
      <c r="G1369" s="6">
        <v>124659.4</v>
      </c>
      <c r="H1369" s="6">
        <v>124662.3</v>
      </c>
      <c r="I1369" s="5">
        <v>45936</v>
      </c>
      <c r="J1369" s="7">
        <f t="shared" si="128"/>
        <v>-4.5081792971890533E-4</v>
      </c>
      <c r="K1369" s="5">
        <v>45936</v>
      </c>
      <c r="L1369" s="8">
        <f t="shared" si="129"/>
        <v>-2.2899997914317023E-3</v>
      </c>
      <c r="M1369" s="5">
        <v>45936</v>
      </c>
      <c r="N1369" s="9">
        <f t="shared" si="126"/>
        <v>-2.7408177211506075E-3</v>
      </c>
      <c r="O1369" s="5">
        <v>45936</v>
      </c>
      <c r="P1369">
        <f t="shared" si="127"/>
        <v>1.0000232633880799</v>
      </c>
      <c r="Q1369" s="6">
        <f t="shared" si="130"/>
        <v>0.99961015204070425</v>
      </c>
      <c r="R1369">
        <f t="shared" si="131"/>
        <v>4.1318708725847971E-4</v>
      </c>
      <c r="T1369" s="5">
        <v>45936</v>
      </c>
      <c r="U1369" s="1">
        <v>4.1318708725847971E-4</v>
      </c>
    </row>
    <row r="1370" spans="3:21" x14ac:dyDescent="0.2">
      <c r="C1370" s="5">
        <v>45937</v>
      </c>
      <c r="D1370" s="6">
        <v>1.0004999999999999</v>
      </c>
      <c r="E1370" s="6">
        <v>121299.4</v>
      </c>
      <c r="F1370" s="6">
        <v>121369.27</v>
      </c>
      <c r="G1370" s="6">
        <v>121351.6</v>
      </c>
      <c r="H1370" s="6">
        <v>121344.8</v>
      </c>
      <c r="I1370" s="5">
        <v>45937</v>
      </c>
      <c r="J1370" s="7">
        <f t="shared" si="128"/>
        <v>-3.7414046584615681E-4</v>
      </c>
      <c r="K1370" s="5">
        <v>45937</v>
      </c>
      <c r="L1370" s="8">
        <f t="shared" si="129"/>
        <v>1.456099466343934E-4</v>
      </c>
      <c r="M1370" s="5">
        <v>45937</v>
      </c>
      <c r="N1370" s="9">
        <f t="shared" si="126"/>
        <v>-2.2853051921176341E-4</v>
      </c>
      <c r="O1370" s="5">
        <v>45937</v>
      </c>
      <c r="P1370">
        <f t="shared" si="127"/>
        <v>0.99994396448007272</v>
      </c>
      <c r="Q1370" s="6">
        <f t="shared" si="130"/>
        <v>0.99950024987506247</v>
      </c>
      <c r="R1370">
        <f t="shared" si="131"/>
        <v>4.4383795167538947E-4</v>
      </c>
      <c r="T1370" s="5">
        <v>45937</v>
      </c>
      <c r="U1370" s="1">
        <v>4.4383795167538947E-4</v>
      </c>
    </row>
    <row r="1371" spans="3:21" x14ac:dyDescent="0.2">
      <c r="C1371" s="5">
        <v>45938</v>
      </c>
      <c r="D1371" s="6">
        <v>1.0002899999999999</v>
      </c>
      <c r="E1371" s="6">
        <v>123245.3</v>
      </c>
      <c r="F1371" s="6">
        <v>123313.35</v>
      </c>
      <c r="G1371" s="6">
        <v>123282.9</v>
      </c>
      <c r="H1371" s="6">
        <v>123303.2</v>
      </c>
      <c r="I1371" s="5">
        <v>45938</v>
      </c>
      <c r="J1371" s="7">
        <f t="shared" si="128"/>
        <v>-4.6957418785558021E-4</v>
      </c>
      <c r="K1371" s="5">
        <v>45938</v>
      </c>
      <c r="L1371" s="8">
        <f t="shared" si="129"/>
        <v>2.4699289195834656E-4</v>
      </c>
      <c r="M1371" s="5">
        <v>45938</v>
      </c>
      <c r="N1371" s="9">
        <f t="shared" si="126"/>
        <v>-2.2258129589723365E-4</v>
      </c>
      <c r="O1371" s="5">
        <v>45938</v>
      </c>
      <c r="P1371">
        <f t="shared" si="127"/>
        <v>1.000164661927972</v>
      </c>
      <c r="Q1371" s="6">
        <f t="shared" si="130"/>
        <v>0.99971008407561812</v>
      </c>
      <c r="R1371">
        <f t="shared" si="131"/>
        <v>4.5460633081252937E-4</v>
      </c>
      <c r="T1371" s="5">
        <v>45938</v>
      </c>
      <c r="U1371" s="1">
        <v>4.5460633081252937E-4</v>
      </c>
    </row>
    <row r="1372" spans="3:21" x14ac:dyDescent="0.2">
      <c r="C1372" s="5">
        <v>45939</v>
      </c>
      <c r="D1372" s="6">
        <v>1.00057</v>
      </c>
      <c r="E1372" s="6">
        <v>121603</v>
      </c>
      <c r="F1372" s="6">
        <v>121632.15</v>
      </c>
      <c r="G1372" s="6">
        <v>121671.8</v>
      </c>
      <c r="H1372" s="6">
        <v>121653.6</v>
      </c>
      <c r="I1372" s="5">
        <v>45939</v>
      </c>
      <c r="J1372" s="7">
        <f t="shared" si="128"/>
        <v>-4.1593508124712972E-4</v>
      </c>
      <c r="K1372" s="5">
        <v>45939</v>
      </c>
      <c r="L1372" s="8">
        <f t="shared" si="129"/>
        <v>-3.2587666164229288E-4</v>
      </c>
      <c r="M1372" s="5">
        <v>45939</v>
      </c>
      <c r="N1372" s="9">
        <f t="shared" si="126"/>
        <v>-7.418117428894226E-4</v>
      </c>
      <c r="O1372" s="5">
        <v>45939</v>
      </c>
      <c r="P1372">
        <f t="shared" si="127"/>
        <v>0.99985041727006596</v>
      </c>
      <c r="Q1372" s="6">
        <f t="shared" si="130"/>
        <v>0.99943032471491255</v>
      </c>
      <c r="R1372">
        <f t="shared" si="131"/>
        <v>4.2024369315829269E-4</v>
      </c>
      <c r="T1372" s="5">
        <v>45939</v>
      </c>
      <c r="U1372" s="1">
        <v>4.2024369315829269E-4</v>
      </c>
    </row>
    <row r="1373" spans="3:21" x14ac:dyDescent="0.2">
      <c r="C1373" s="5">
        <v>45940</v>
      </c>
      <c r="D1373" s="6">
        <v>1.0017199999999999</v>
      </c>
      <c r="E1373" s="6">
        <v>112732.5</v>
      </c>
      <c r="F1373" s="6">
        <v>114558.93</v>
      </c>
      <c r="G1373" s="6">
        <v>113000</v>
      </c>
      <c r="H1373" s="6">
        <v>112738.6</v>
      </c>
      <c r="I1373" s="5">
        <v>45940</v>
      </c>
      <c r="J1373" s="7">
        <f t="shared" si="128"/>
        <v>-5.4107466298196184E-5</v>
      </c>
      <c r="K1373" s="5">
        <v>45940</v>
      </c>
      <c r="L1373" s="8">
        <f t="shared" si="129"/>
        <v>1.379584070796454E-2</v>
      </c>
      <c r="M1373" s="5">
        <v>45940</v>
      </c>
      <c r="N1373" s="9">
        <f t="shared" si="126"/>
        <v>1.3741733241666344E-2</v>
      </c>
      <c r="O1373" s="5">
        <v>45940</v>
      </c>
      <c r="P1373">
        <f t="shared" si="127"/>
        <v>0.99768672566371686</v>
      </c>
      <c r="Q1373" s="6">
        <f t="shared" si="130"/>
        <v>0.99828295332028916</v>
      </c>
      <c r="R1373">
        <f t="shared" si="131"/>
        <v>-5.9743159486254577E-4</v>
      </c>
      <c r="T1373" s="5">
        <v>45940</v>
      </c>
      <c r="U1373" s="1">
        <v>-5.9743159486254577E-4</v>
      </c>
    </row>
    <row r="1374" spans="3:21" x14ac:dyDescent="0.2">
      <c r="C1374" s="5">
        <v>45941</v>
      </c>
      <c r="D1374" s="6">
        <v>1.0010699999999999</v>
      </c>
      <c r="E1374" s="6">
        <v>110599.9</v>
      </c>
      <c r="F1374" s="6">
        <v>112469.12</v>
      </c>
      <c r="G1374" s="6">
        <v>110725.1</v>
      </c>
      <c r="H1374" s="6">
        <v>110630.7</v>
      </c>
      <c r="I1374" s="5">
        <v>45941</v>
      </c>
      <c r="J1374" s="7">
        <f t="shared" si="128"/>
        <v>-2.7840373422569786E-4</v>
      </c>
      <c r="K1374" s="5">
        <v>45941</v>
      </c>
      <c r="L1374" s="8">
        <f t="shared" si="129"/>
        <v>1.5750900202393038E-2</v>
      </c>
      <c r="M1374" s="5">
        <v>45941</v>
      </c>
      <c r="N1374" s="9">
        <f t="shared" si="126"/>
        <v>1.547249646816734E-2</v>
      </c>
      <c r="O1374" s="5">
        <v>45941</v>
      </c>
      <c r="P1374">
        <f t="shared" si="127"/>
        <v>0.99914743811475437</v>
      </c>
      <c r="Q1374" s="6">
        <f t="shared" si="130"/>
        <v>0.99893114367626645</v>
      </c>
      <c r="R1374">
        <f t="shared" si="131"/>
        <v>2.1650243519347648E-4</v>
      </c>
      <c r="T1374" s="5">
        <v>45941</v>
      </c>
      <c r="U1374" s="1">
        <v>2.1650243519347648E-4</v>
      </c>
    </row>
    <row r="1375" spans="3:21" x14ac:dyDescent="0.2">
      <c r="C1375" s="5">
        <v>45942</v>
      </c>
      <c r="D1375" s="6">
        <v>1.00098</v>
      </c>
      <c r="E1375" s="6">
        <v>114908.5</v>
      </c>
      <c r="F1375" s="6">
        <v>115247.29</v>
      </c>
      <c r="G1375" s="6">
        <v>115007.1</v>
      </c>
      <c r="H1375" s="6">
        <v>114973.9</v>
      </c>
      <c r="I1375" s="5">
        <v>45942</v>
      </c>
      <c r="J1375" s="7">
        <f t="shared" si="128"/>
        <v>-5.6882475066075155E-4</v>
      </c>
      <c r="K1375" s="5">
        <v>45942</v>
      </c>
      <c r="L1375" s="8">
        <f t="shared" si="129"/>
        <v>2.0884797547280798E-3</v>
      </c>
      <c r="M1375" s="5">
        <v>45942</v>
      </c>
      <c r="N1375" s="9">
        <f t="shared" si="126"/>
        <v>1.5196550040673283E-3</v>
      </c>
      <c r="O1375" s="5">
        <v>45942</v>
      </c>
      <c r="P1375">
        <f t="shared" si="127"/>
        <v>0.99971132217054426</v>
      </c>
      <c r="Q1375" s="6">
        <f t="shared" si="130"/>
        <v>0.99902095945972946</v>
      </c>
      <c r="R1375">
        <f t="shared" si="131"/>
        <v>6.9080060857914008E-4</v>
      </c>
      <c r="T1375" s="5">
        <v>45942</v>
      </c>
      <c r="U1375" s="1">
        <v>6.9080060857914008E-4</v>
      </c>
    </row>
    <row r="1376" spans="3:21" x14ac:dyDescent="0.2">
      <c r="C1376" s="5">
        <v>45943</v>
      </c>
      <c r="D1376" s="6">
        <v>1.00084</v>
      </c>
      <c r="E1376" s="6">
        <v>115116.7</v>
      </c>
      <c r="F1376" s="6">
        <v>115325.22</v>
      </c>
      <c r="G1376" s="6">
        <v>115211.4</v>
      </c>
      <c r="H1376" s="6">
        <v>115168.8</v>
      </c>
      <c r="I1376" s="5">
        <v>45943</v>
      </c>
      <c r="J1376" s="7">
        <f t="shared" si="128"/>
        <v>-4.5237946388262983E-4</v>
      </c>
      <c r="K1376" s="5">
        <v>45943</v>
      </c>
      <c r="L1376" s="8">
        <f t="shared" si="129"/>
        <v>9.879230701129141E-4</v>
      </c>
      <c r="M1376" s="5">
        <v>45943</v>
      </c>
      <c r="N1376" s="9">
        <f t="shared" si="126"/>
        <v>5.3554360623028427E-4</v>
      </c>
      <c r="O1376" s="5">
        <v>45943</v>
      </c>
      <c r="P1376">
        <f t="shared" si="127"/>
        <v>0.99963024492367947</v>
      </c>
      <c r="Q1376" s="6">
        <f t="shared" si="130"/>
        <v>0.99916070500779353</v>
      </c>
      <c r="R1376">
        <f t="shared" si="131"/>
        <v>4.698239448592153E-4</v>
      </c>
      <c r="T1376" s="5">
        <v>45943</v>
      </c>
      <c r="U1376" s="1">
        <v>4.698239448592153E-4</v>
      </c>
    </row>
    <row r="1377" spans="3:21" x14ac:dyDescent="0.2">
      <c r="C1377" s="5">
        <v>45944</v>
      </c>
      <c r="D1377" s="6">
        <v>1.00044</v>
      </c>
      <c r="E1377" s="6">
        <v>112972.1</v>
      </c>
      <c r="F1377" s="6">
        <v>113121.5</v>
      </c>
      <c r="G1377" s="6">
        <v>113049.2</v>
      </c>
      <c r="H1377" s="6">
        <v>113038.39999999999</v>
      </c>
      <c r="I1377" s="5">
        <v>45944</v>
      </c>
      <c r="J1377" s="7">
        <f t="shared" si="128"/>
        <v>-5.8652634856817115E-4</v>
      </c>
      <c r="K1377" s="5">
        <v>45944</v>
      </c>
      <c r="L1377" s="8">
        <f t="shared" si="129"/>
        <v>6.395445522834563E-4</v>
      </c>
      <c r="M1377" s="5">
        <v>45944</v>
      </c>
      <c r="N1377" s="9">
        <f t="shared" si="126"/>
        <v>5.3018203715285146E-5</v>
      </c>
      <c r="O1377" s="5">
        <v>45944</v>
      </c>
      <c r="P1377">
        <f t="shared" si="127"/>
        <v>0.99990446637393282</v>
      </c>
      <c r="Q1377" s="6">
        <f t="shared" si="130"/>
        <v>0.99956019351485348</v>
      </c>
      <c r="R1377">
        <f t="shared" si="131"/>
        <v>3.4436503869054259E-4</v>
      </c>
      <c r="T1377" s="5">
        <v>45944</v>
      </c>
      <c r="U1377" s="1">
        <v>3.4436503869054259E-4</v>
      </c>
    </row>
    <row r="1378" spans="3:21" x14ac:dyDescent="0.2">
      <c r="C1378" s="5">
        <v>45945</v>
      </c>
      <c r="D1378" s="6">
        <v>1.0004900000000001</v>
      </c>
      <c r="E1378" s="6">
        <v>110705.3</v>
      </c>
      <c r="F1378" s="6">
        <v>110814.37</v>
      </c>
      <c r="G1378" s="6">
        <v>110759.9</v>
      </c>
      <c r="H1378" s="6">
        <v>110745.1</v>
      </c>
      <c r="I1378" s="5">
        <v>45945</v>
      </c>
      <c r="J1378" s="7">
        <f t="shared" si="128"/>
        <v>-3.5938384632821596E-4</v>
      </c>
      <c r="K1378" s="5">
        <v>45945</v>
      </c>
      <c r="L1378" s="8">
        <f t="shared" si="129"/>
        <v>4.9178448156779811E-4</v>
      </c>
      <c r="M1378" s="5">
        <v>45945</v>
      </c>
      <c r="N1378" s="9">
        <f t="shared" si="126"/>
        <v>1.3240063523958215E-4</v>
      </c>
      <c r="O1378" s="5">
        <v>45945</v>
      </c>
      <c r="P1378">
        <f t="shared" si="127"/>
        <v>0.99986637763306041</v>
      </c>
      <c r="Q1378" s="6">
        <f t="shared" si="130"/>
        <v>0.99951023998240851</v>
      </c>
      <c r="R1378">
        <f t="shared" si="131"/>
        <v>3.5624869399862586E-4</v>
      </c>
      <c r="T1378" s="5">
        <v>45945</v>
      </c>
      <c r="U1378" s="1">
        <v>3.5624869399862586E-4</v>
      </c>
    </row>
    <row r="1379" spans="3:21" x14ac:dyDescent="0.2">
      <c r="C1379" s="5">
        <v>45946</v>
      </c>
      <c r="D1379" s="6">
        <v>1.00014</v>
      </c>
      <c r="E1379" s="6">
        <v>108137.8</v>
      </c>
      <c r="F1379" s="6">
        <v>108255.95</v>
      </c>
      <c r="G1379" s="6">
        <v>108160.2</v>
      </c>
      <c r="H1379" s="6">
        <v>108182.3</v>
      </c>
      <c r="I1379" s="5">
        <v>45946</v>
      </c>
      <c r="J1379" s="7">
        <f t="shared" si="128"/>
        <v>-4.1134270578458765E-4</v>
      </c>
      <c r="K1379" s="5">
        <v>45946</v>
      </c>
      <c r="L1379" s="8">
        <f t="shared" si="129"/>
        <v>8.8526093701749812E-4</v>
      </c>
      <c r="M1379" s="5">
        <v>45946</v>
      </c>
      <c r="N1379" s="9">
        <f t="shared" si="126"/>
        <v>4.7391823123291046E-4</v>
      </c>
      <c r="O1379" s="5">
        <v>45946</v>
      </c>
      <c r="P1379">
        <f t="shared" si="127"/>
        <v>1.0002043265452543</v>
      </c>
      <c r="Q1379" s="6">
        <f t="shared" si="130"/>
        <v>0.99986001959725634</v>
      </c>
      <c r="R1379">
        <f t="shared" si="131"/>
        <v>3.4429587434328315E-4</v>
      </c>
      <c r="T1379" s="5">
        <v>45946</v>
      </c>
      <c r="U1379" s="1">
        <v>3.4429587434328315E-4</v>
      </c>
    </row>
    <row r="1380" spans="3:21" x14ac:dyDescent="0.2">
      <c r="C1380" s="5">
        <v>45947</v>
      </c>
      <c r="D1380" s="6">
        <v>1.0004200000000001</v>
      </c>
      <c r="E1380" s="6">
        <v>106364.6</v>
      </c>
      <c r="F1380" s="6">
        <v>106554.76</v>
      </c>
      <c r="G1380" s="6">
        <v>106424.8</v>
      </c>
      <c r="H1380" s="6">
        <v>106422.39999999999</v>
      </c>
      <c r="I1380" s="5">
        <v>45947</v>
      </c>
      <c r="J1380" s="7">
        <f t="shared" si="128"/>
        <v>-5.4311874191888515E-4</v>
      </c>
      <c r="K1380" s="5">
        <v>45947</v>
      </c>
      <c r="L1380" s="8">
        <f t="shared" si="129"/>
        <v>1.2211439438927002E-3</v>
      </c>
      <c r="M1380" s="5">
        <v>45947</v>
      </c>
      <c r="N1380" s="9">
        <f t="shared" si="126"/>
        <v>6.7802520197381502E-4</v>
      </c>
      <c r="O1380" s="5">
        <v>45947</v>
      </c>
      <c r="P1380">
        <f t="shared" si="127"/>
        <v>0.99997744886530204</v>
      </c>
      <c r="Q1380" s="6">
        <f t="shared" si="130"/>
        <v>0.99958017632594298</v>
      </c>
      <c r="R1380">
        <f t="shared" si="131"/>
        <v>3.9736043570966272E-4</v>
      </c>
      <c r="T1380" s="5">
        <v>45947</v>
      </c>
      <c r="U1380" s="1">
        <v>3.9736043570966272E-4</v>
      </c>
    </row>
    <row r="1381" spans="3:21" x14ac:dyDescent="0.2">
      <c r="C1381" s="5">
        <v>45948</v>
      </c>
      <c r="D1381" s="6">
        <v>1.00034</v>
      </c>
      <c r="E1381" s="6">
        <v>107122.2</v>
      </c>
      <c r="F1381" s="6">
        <v>107326.97</v>
      </c>
      <c r="G1381" s="6">
        <v>107168.3</v>
      </c>
      <c r="H1381" s="6">
        <v>107171.9</v>
      </c>
      <c r="I1381" s="5">
        <v>45948</v>
      </c>
      <c r="J1381" s="7">
        <f t="shared" si="128"/>
        <v>-4.6374096194988696E-4</v>
      </c>
      <c r="K1381" s="5">
        <v>45948</v>
      </c>
      <c r="L1381" s="8">
        <f t="shared" si="129"/>
        <v>1.4805684143538551E-3</v>
      </c>
      <c r="M1381" s="5">
        <v>45948</v>
      </c>
      <c r="N1381" s="9">
        <f t="shared" si="126"/>
        <v>1.0168274524039681E-3</v>
      </c>
      <c r="O1381" s="5">
        <v>45948</v>
      </c>
      <c r="P1381">
        <f t="shared" si="127"/>
        <v>1.0000335920230141</v>
      </c>
      <c r="Q1381" s="6">
        <f t="shared" si="130"/>
        <v>0.99966011556070933</v>
      </c>
      <c r="R1381">
        <f t="shared" si="131"/>
        <v>3.7353367191283825E-4</v>
      </c>
      <c r="T1381" s="5">
        <v>45948</v>
      </c>
      <c r="U1381" s="1">
        <v>3.7353367191283825E-4</v>
      </c>
    </row>
    <row r="1382" spans="3:21" x14ac:dyDescent="0.2">
      <c r="C1382" s="5">
        <v>45949</v>
      </c>
      <c r="D1382" s="6">
        <v>1.00047</v>
      </c>
      <c r="E1382" s="6">
        <v>108597.3</v>
      </c>
      <c r="F1382" s="6">
        <v>108745.85</v>
      </c>
      <c r="G1382" s="6">
        <v>108635</v>
      </c>
      <c r="H1382" s="6">
        <v>108653</v>
      </c>
      <c r="I1382" s="5">
        <v>45949</v>
      </c>
      <c r="J1382" s="7">
        <f t="shared" si="128"/>
        <v>-5.1264116039131079E-4</v>
      </c>
      <c r="K1382" s="5">
        <v>45949</v>
      </c>
      <c r="L1382" s="8">
        <f t="shared" si="129"/>
        <v>1.0203893772725717E-3</v>
      </c>
      <c r="M1382" s="5">
        <v>45949</v>
      </c>
      <c r="N1382" s="9">
        <f t="shared" si="126"/>
        <v>5.0774821688126092E-4</v>
      </c>
      <c r="O1382" s="5">
        <v>45949</v>
      </c>
      <c r="P1382">
        <f t="shared" si="127"/>
        <v>1.0001656924563906</v>
      </c>
      <c r="Q1382" s="6">
        <f t="shared" si="130"/>
        <v>0.99953022079622578</v>
      </c>
      <c r="R1382">
        <f t="shared" si="131"/>
        <v>6.3556831550717647E-4</v>
      </c>
      <c r="T1382" s="5">
        <v>45949</v>
      </c>
      <c r="U1382" s="1">
        <v>6.3556831550717647E-4</v>
      </c>
    </row>
    <row r="1383" spans="3:21" x14ac:dyDescent="0.2">
      <c r="C1383" s="5">
        <v>45950</v>
      </c>
      <c r="D1383" s="6">
        <v>1.0002899999999999</v>
      </c>
      <c r="E1383" s="6">
        <v>110490</v>
      </c>
      <c r="F1383" s="6">
        <v>110566.48</v>
      </c>
      <c r="G1383" s="6">
        <v>110514.3</v>
      </c>
      <c r="H1383" s="6">
        <v>110542.39999999999</v>
      </c>
      <c r="I1383" s="5">
        <v>45950</v>
      </c>
      <c r="J1383" s="7">
        <f t="shared" si="128"/>
        <v>-4.7402625598859968E-4</v>
      </c>
      <c r="K1383" s="5">
        <v>45950</v>
      </c>
      <c r="L1383" s="8">
        <f t="shared" si="129"/>
        <v>4.7215609201698799E-4</v>
      </c>
      <c r="M1383" s="5">
        <v>45950</v>
      </c>
      <c r="N1383" s="9">
        <f t="shared" si="126"/>
        <v>-1.8701639716116867E-6</v>
      </c>
      <c r="O1383" s="5">
        <v>45950</v>
      </c>
      <c r="P1383">
        <f t="shared" si="127"/>
        <v>1.0002542657375562</v>
      </c>
      <c r="Q1383" s="6">
        <f t="shared" si="130"/>
        <v>0.99971008407561812</v>
      </c>
      <c r="R1383">
        <f t="shared" si="131"/>
        <v>5.4419137562990258E-4</v>
      </c>
      <c r="T1383" s="5">
        <v>45950</v>
      </c>
      <c r="U1383" s="1">
        <v>5.4419137562990258E-4</v>
      </c>
    </row>
    <row r="1384" spans="3:21" x14ac:dyDescent="0.2">
      <c r="C1384" s="5">
        <v>45951</v>
      </c>
      <c r="D1384" s="6">
        <v>1.00041</v>
      </c>
      <c r="E1384" s="6">
        <v>108240.1</v>
      </c>
      <c r="F1384" s="6">
        <v>108342.91</v>
      </c>
      <c r="G1384" s="6">
        <v>108306.3</v>
      </c>
      <c r="H1384" s="6">
        <v>108300.5</v>
      </c>
      <c r="I1384" s="5">
        <v>45951</v>
      </c>
      <c r="J1384" s="7">
        <f t="shared" si="128"/>
        <v>-5.5770748980839594E-4</v>
      </c>
      <c r="K1384" s="5">
        <v>45951</v>
      </c>
      <c r="L1384" s="8">
        <f t="shared" si="129"/>
        <v>3.3802281123074631E-4</v>
      </c>
      <c r="M1384" s="5">
        <v>45951</v>
      </c>
      <c r="N1384" s="9">
        <f t="shared" si="126"/>
        <v>-2.1968467857764963E-4</v>
      </c>
      <c r="O1384" s="5">
        <v>45951</v>
      </c>
      <c r="P1384">
        <f t="shared" si="127"/>
        <v>0.99994644817522149</v>
      </c>
      <c r="Q1384" s="6">
        <f t="shared" si="130"/>
        <v>0.99959016803110723</v>
      </c>
      <c r="R1384">
        <f t="shared" si="131"/>
        <v>3.5636271423785049E-4</v>
      </c>
      <c r="T1384" s="5">
        <v>45951</v>
      </c>
      <c r="U1384" s="1">
        <v>3.5636271423785049E-4</v>
      </c>
    </row>
    <row r="1385" spans="3:21" x14ac:dyDescent="0.2">
      <c r="C1385" s="5">
        <v>45952</v>
      </c>
      <c r="D1385" s="6">
        <v>1.0000599999999999</v>
      </c>
      <c r="E1385" s="6">
        <v>107522.8</v>
      </c>
      <c r="F1385" s="6">
        <v>107589.65</v>
      </c>
      <c r="G1385" s="6">
        <v>107542.2</v>
      </c>
      <c r="H1385" s="6">
        <v>107576.7</v>
      </c>
      <c r="I1385" s="5">
        <v>45952</v>
      </c>
      <c r="J1385" s="7">
        <f t="shared" si="128"/>
        <v>-5.010378641471079E-4</v>
      </c>
      <c r="K1385" s="5">
        <v>45952</v>
      </c>
      <c r="L1385" s="8">
        <f t="shared" si="129"/>
        <v>4.4122214349341085E-4</v>
      </c>
      <c r="M1385" s="5">
        <v>45952</v>
      </c>
      <c r="N1385" s="9">
        <f t="shared" si="126"/>
        <v>-5.9815720653697045E-5</v>
      </c>
      <c r="O1385" s="5">
        <v>45952</v>
      </c>
      <c r="P1385">
        <f t="shared" si="127"/>
        <v>1.0003208042982197</v>
      </c>
      <c r="Q1385" s="6">
        <f t="shared" si="130"/>
        <v>0.99994000359978408</v>
      </c>
      <c r="R1385">
        <f t="shared" si="131"/>
        <v>3.8075105159531675E-4</v>
      </c>
      <c r="T1385" s="5">
        <v>45952</v>
      </c>
      <c r="U1385" s="1">
        <v>3.8075105159531675E-4</v>
      </c>
    </row>
    <row r="1386" spans="3:21" x14ac:dyDescent="0.2">
      <c r="C1386" s="5">
        <v>45953</v>
      </c>
      <c r="D1386" s="6">
        <v>1.00027</v>
      </c>
      <c r="E1386" s="6">
        <v>110015</v>
      </c>
      <c r="F1386" s="6">
        <v>110099.42</v>
      </c>
      <c r="G1386" s="6">
        <v>110047</v>
      </c>
      <c r="H1386" s="6">
        <v>110068.3</v>
      </c>
      <c r="I1386" s="5">
        <v>45953</v>
      </c>
      <c r="J1386" s="7">
        <f t="shared" si="128"/>
        <v>-4.842447825577656E-4</v>
      </c>
      <c r="K1386" s="5">
        <v>45953</v>
      </c>
      <c r="L1386" s="8">
        <f t="shared" si="129"/>
        <v>4.7634192663133256E-4</v>
      </c>
      <c r="M1386" s="5">
        <v>45953</v>
      </c>
      <c r="N1386" s="9">
        <f t="shared" si="126"/>
        <v>-7.9028559264330352E-6</v>
      </c>
      <c r="O1386" s="5">
        <v>45953</v>
      </c>
      <c r="P1386">
        <f t="shared" si="127"/>
        <v>1.0001935536634348</v>
      </c>
      <c r="Q1386" s="6">
        <f t="shared" si="130"/>
        <v>0.99973007288032234</v>
      </c>
      <c r="R1386">
        <f t="shared" si="131"/>
        <v>4.6349849090085145E-4</v>
      </c>
      <c r="T1386" s="5">
        <v>45953</v>
      </c>
      <c r="U1386" s="1">
        <v>4.6349849090085145E-4</v>
      </c>
    </row>
    <row r="1387" spans="3:21" x14ac:dyDescent="0.2">
      <c r="C1387" s="5">
        <v>45954</v>
      </c>
      <c r="D1387" s="6">
        <v>1.0001899999999999</v>
      </c>
      <c r="E1387" s="6">
        <v>110964.7</v>
      </c>
      <c r="F1387" s="6">
        <v>111016.54</v>
      </c>
      <c r="G1387" s="6">
        <v>110986.6</v>
      </c>
      <c r="H1387" s="6">
        <v>111011</v>
      </c>
      <c r="I1387" s="5">
        <v>45954</v>
      </c>
      <c r="J1387" s="7">
        <f t="shared" si="128"/>
        <v>-4.1707578528256579E-4</v>
      </c>
      <c r="K1387" s="5">
        <v>45954</v>
      </c>
      <c r="L1387" s="8">
        <f t="shared" si="129"/>
        <v>2.6976229562837112E-4</v>
      </c>
      <c r="M1387" s="5">
        <v>45954</v>
      </c>
      <c r="N1387" s="9">
        <f t="shared" si="126"/>
        <v>-1.4731348965419468E-4</v>
      </c>
      <c r="O1387" s="5">
        <v>45954</v>
      </c>
      <c r="P1387">
        <f t="shared" si="127"/>
        <v>1.0002198463598306</v>
      </c>
      <c r="Q1387" s="6">
        <f t="shared" si="130"/>
        <v>0.99981003609314234</v>
      </c>
      <c r="R1387">
        <f t="shared" si="131"/>
        <v>4.0980414944690634E-4</v>
      </c>
      <c r="T1387" s="5">
        <v>45954</v>
      </c>
      <c r="U1387" s="1">
        <v>4.0980414944690634E-4</v>
      </c>
    </row>
    <row r="1388" spans="3:21" x14ac:dyDescent="0.2">
      <c r="C1388" s="5">
        <v>45955</v>
      </c>
      <c r="D1388" s="6">
        <v>1.0001500000000001</v>
      </c>
      <c r="E1388" s="6">
        <v>111587.5</v>
      </c>
      <c r="F1388" s="6">
        <v>111608.22</v>
      </c>
      <c r="G1388" s="6">
        <v>111615.9</v>
      </c>
      <c r="H1388" s="6">
        <v>111646.2</v>
      </c>
      <c r="I1388" s="5">
        <v>45955</v>
      </c>
      <c r="J1388" s="7">
        <f t="shared" si="128"/>
        <v>-5.2576800643458618E-4</v>
      </c>
      <c r="K1388" s="5">
        <v>45955</v>
      </c>
      <c r="L1388" s="8">
        <f t="shared" si="129"/>
        <v>-6.8807401096017816E-5</v>
      </c>
      <c r="M1388" s="5">
        <v>45955</v>
      </c>
      <c r="N1388" s="9">
        <f t="shared" si="126"/>
        <v>-5.9457540753060395E-4</v>
      </c>
      <c r="O1388" s="5">
        <v>45955</v>
      </c>
      <c r="P1388">
        <f t="shared" si="127"/>
        <v>1.0002714666996368</v>
      </c>
      <c r="Q1388" s="6">
        <f t="shared" si="130"/>
        <v>0.99985002249662536</v>
      </c>
      <c r="R1388">
        <f t="shared" si="131"/>
        <v>4.2141861034443337E-4</v>
      </c>
      <c r="T1388" s="5">
        <v>45955</v>
      </c>
      <c r="U1388" s="1">
        <v>4.2141861034443337E-4</v>
      </c>
    </row>
    <row r="1389" spans="3:21" x14ac:dyDescent="0.2">
      <c r="C1389" s="5">
        <v>45956</v>
      </c>
      <c r="D1389" s="6">
        <v>1.0001</v>
      </c>
      <c r="E1389" s="6">
        <v>114498.3</v>
      </c>
      <c r="F1389" s="6">
        <v>114502.75</v>
      </c>
      <c r="G1389" s="6">
        <v>114507.9</v>
      </c>
      <c r="H1389" s="6">
        <v>114550.8</v>
      </c>
      <c r="I1389" s="5">
        <v>45956</v>
      </c>
      <c r="J1389" s="7">
        <f t="shared" si="128"/>
        <v>-4.5831194544254601E-4</v>
      </c>
      <c r="K1389" s="5">
        <v>45956</v>
      </c>
      <c r="L1389" s="8">
        <f t="shared" si="129"/>
        <v>-4.4975062855874391E-5</v>
      </c>
      <c r="M1389" s="5">
        <v>45956</v>
      </c>
      <c r="N1389" s="9">
        <f t="shared" si="126"/>
        <v>-5.0328700829842038E-4</v>
      </c>
      <c r="O1389" s="5">
        <v>45956</v>
      </c>
      <c r="P1389">
        <f t="shared" si="127"/>
        <v>1.0003746466401009</v>
      </c>
      <c r="Q1389" s="6">
        <f t="shared" si="130"/>
        <v>0.99990000999900008</v>
      </c>
      <c r="R1389">
        <f t="shared" si="131"/>
        <v>4.7457147790530758E-4</v>
      </c>
      <c r="T1389" s="5">
        <v>45956</v>
      </c>
      <c r="U1389" s="1">
        <v>4.7457147790530758E-4</v>
      </c>
    </row>
    <row r="1390" spans="3:21" x14ac:dyDescent="0.2">
      <c r="C1390" s="5">
        <v>45957</v>
      </c>
      <c r="D1390" s="6">
        <v>0.99995999999999996</v>
      </c>
      <c r="E1390" s="6">
        <v>114061.3</v>
      </c>
      <c r="F1390" s="6">
        <v>114080.07</v>
      </c>
      <c r="G1390" s="6">
        <v>114062.9</v>
      </c>
      <c r="H1390" s="6">
        <v>114110.3</v>
      </c>
      <c r="I1390" s="5">
        <v>45957</v>
      </c>
      <c r="J1390" s="7">
        <f t="shared" si="128"/>
        <v>-4.2940908927590233E-4</v>
      </c>
      <c r="K1390" s="5">
        <v>45957</v>
      </c>
      <c r="L1390" s="8">
        <f t="shared" si="129"/>
        <v>1.5053097895996689E-4</v>
      </c>
      <c r="M1390" s="5">
        <v>45957</v>
      </c>
      <c r="N1390" s="9">
        <f t="shared" si="126"/>
        <v>-2.788781103159354E-4</v>
      </c>
      <c r="O1390" s="5">
        <v>45957</v>
      </c>
      <c r="P1390">
        <f t="shared" si="127"/>
        <v>1.0004155601865288</v>
      </c>
      <c r="Q1390" s="6">
        <f t="shared" si="130"/>
        <v>1.0000400016000641</v>
      </c>
      <c r="R1390">
        <f t="shared" si="131"/>
        <v>3.7547306528671042E-4</v>
      </c>
      <c r="T1390" s="5">
        <v>45957</v>
      </c>
      <c r="U1390" s="1">
        <v>3.7547306528671042E-4</v>
      </c>
    </row>
    <row r="1391" spans="3:21" x14ac:dyDescent="0.2">
      <c r="C1391" s="5">
        <v>45958</v>
      </c>
      <c r="D1391" s="6">
        <v>1.0001</v>
      </c>
      <c r="E1391" s="6">
        <v>112836</v>
      </c>
      <c r="F1391" s="6">
        <v>112986.02</v>
      </c>
      <c r="G1391" s="6">
        <v>112882.2</v>
      </c>
      <c r="H1391" s="6">
        <v>112892.3</v>
      </c>
      <c r="I1391" s="5">
        <v>45958</v>
      </c>
      <c r="J1391" s="7">
        <f t="shared" si="128"/>
        <v>-4.9870540329148138E-4</v>
      </c>
      <c r="K1391" s="5">
        <v>45958</v>
      </c>
      <c r="L1391" s="8">
        <f t="shared" si="129"/>
        <v>9.1971984954232814E-4</v>
      </c>
      <c r="M1391" s="5">
        <v>45958</v>
      </c>
      <c r="N1391" s="9">
        <f t="shared" si="126"/>
        <v>4.2101444625084676E-4</v>
      </c>
      <c r="O1391" s="5">
        <v>45958</v>
      </c>
      <c r="P1391">
        <f t="shared" si="127"/>
        <v>1.0000894738054362</v>
      </c>
      <c r="Q1391" s="6">
        <f t="shared" si="130"/>
        <v>0.99990000999900008</v>
      </c>
      <c r="R1391">
        <f t="shared" si="131"/>
        <v>1.8946480322740923E-4</v>
      </c>
      <c r="T1391" s="5">
        <v>45958</v>
      </c>
      <c r="U1391" s="1">
        <v>1.8946480322740923E-4</v>
      </c>
    </row>
    <row r="1392" spans="3:21" x14ac:dyDescent="0.2">
      <c r="C1392" s="5">
        <v>45959</v>
      </c>
      <c r="D1392" s="6">
        <v>1.0000899999999999</v>
      </c>
      <c r="E1392" s="6">
        <v>109948.8</v>
      </c>
      <c r="F1392" s="6">
        <v>110045.77</v>
      </c>
      <c r="G1392" s="6">
        <v>109986.8</v>
      </c>
      <c r="H1392" s="6">
        <v>110026.1</v>
      </c>
      <c r="I1392" s="5">
        <v>45959</v>
      </c>
      <c r="J1392" s="7">
        <f t="shared" si="128"/>
        <v>-7.0256057426376932E-4</v>
      </c>
      <c r="K1392" s="5">
        <v>45959</v>
      </c>
      <c r="L1392" s="8">
        <f t="shared" si="129"/>
        <v>5.3615524772064615E-4</v>
      </c>
      <c r="M1392" s="5">
        <v>45959</v>
      </c>
      <c r="N1392" s="9">
        <f t="shared" si="126"/>
        <v>-1.6640532654312317E-4</v>
      </c>
      <c r="O1392" s="5">
        <v>45959</v>
      </c>
      <c r="P1392">
        <f t="shared" si="127"/>
        <v>1.0003573156051455</v>
      </c>
      <c r="Q1392" s="6">
        <f t="shared" si="130"/>
        <v>0.99991000809927111</v>
      </c>
      <c r="R1392">
        <f t="shared" si="131"/>
        <v>4.4724773337033967E-4</v>
      </c>
      <c r="T1392" s="5">
        <v>45959</v>
      </c>
      <c r="U1392" s="1">
        <v>4.4724773337033967E-4</v>
      </c>
    </row>
    <row r="1393" spans="3:21" x14ac:dyDescent="0.2">
      <c r="C1393" s="5">
        <v>45960</v>
      </c>
      <c r="D1393" s="6">
        <v>0.99983999999999995</v>
      </c>
      <c r="E1393" s="6">
        <v>108261.7</v>
      </c>
      <c r="F1393" s="6">
        <v>108341.19</v>
      </c>
      <c r="G1393" s="6">
        <v>108253</v>
      </c>
      <c r="H1393" s="6">
        <v>108309.9</v>
      </c>
      <c r="I1393" s="5">
        <v>45960</v>
      </c>
      <c r="J1393" s="7">
        <f t="shared" si="128"/>
        <v>-4.4501933802909143E-4</v>
      </c>
      <c r="K1393" s="5">
        <v>45960</v>
      </c>
      <c r="L1393" s="8">
        <f t="shared" si="129"/>
        <v>8.1466564437015446E-4</v>
      </c>
      <c r="M1393" s="5">
        <v>45960</v>
      </c>
      <c r="N1393" s="9">
        <f t="shared" si="126"/>
        <v>3.6964630634106304E-4</v>
      </c>
      <c r="O1393" s="5">
        <v>45960</v>
      </c>
      <c r="P1393">
        <f t="shared" si="127"/>
        <v>1.0005256205370752</v>
      </c>
      <c r="Q1393" s="6">
        <f t="shared" si="130"/>
        <v>1.0001600256040968</v>
      </c>
      <c r="R1393">
        <f t="shared" si="131"/>
        <v>3.6546964562150276E-4</v>
      </c>
      <c r="T1393" s="5">
        <v>45960</v>
      </c>
      <c r="U1393" s="1">
        <v>3.6546964562150276E-4</v>
      </c>
    </row>
    <row r="1394" spans="3:21" x14ac:dyDescent="0.2">
      <c r="C1394" s="5">
        <v>45961</v>
      </c>
      <c r="D1394" s="6">
        <v>0.99958000000000002</v>
      </c>
      <c r="E1394" s="6">
        <v>109546.7</v>
      </c>
      <c r="F1394" s="6">
        <v>109474.58</v>
      </c>
      <c r="G1394" s="6">
        <v>109520</v>
      </c>
      <c r="H1394" s="6">
        <v>109603.1</v>
      </c>
      <c r="I1394" s="5">
        <v>45961</v>
      </c>
      <c r="J1394" s="7">
        <f t="shared" si="128"/>
        <v>-5.1458398530706455E-4</v>
      </c>
      <c r="K1394" s="5">
        <v>45961</v>
      </c>
      <c r="L1394" s="8">
        <f t="shared" si="129"/>
        <v>-4.1471877282686501E-4</v>
      </c>
      <c r="M1394" s="5">
        <v>45961</v>
      </c>
      <c r="N1394" s="9">
        <f t="shared" si="126"/>
        <v>-9.2930275813392956E-4</v>
      </c>
      <c r="O1394" s="5">
        <v>45961</v>
      </c>
      <c r="P1394">
        <f t="shared" si="127"/>
        <v>1.0007587655222789</v>
      </c>
      <c r="Q1394" s="6">
        <f t="shared" si="130"/>
        <v>1.0004201764741192</v>
      </c>
      <c r="R1394">
        <f t="shared" si="131"/>
        <v>3.3838958054677203E-4</v>
      </c>
      <c r="T1394" s="5">
        <v>45961</v>
      </c>
      <c r="U1394" s="1">
        <v>3.3838958054677203E-4</v>
      </c>
    </row>
    <row r="1395" spans="3:21" x14ac:dyDescent="0.2">
      <c r="C1395" s="5">
        <v>45962</v>
      </c>
      <c r="D1395" s="6">
        <v>0.99955000000000005</v>
      </c>
      <c r="E1395" s="6">
        <v>110046</v>
      </c>
      <c r="F1395" s="6">
        <v>109916.81</v>
      </c>
      <c r="G1395" s="6">
        <v>110016.7</v>
      </c>
      <c r="H1395" s="6">
        <v>110092.3</v>
      </c>
      <c r="I1395" s="5">
        <v>45962</v>
      </c>
      <c r="J1395" s="7">
        <f t="shared" si="128"/>
        <v>-4.205562060198843E-4</v>
      </c>
      <c r="K1395" s="5">
        <v>45962</v>
      </c>
      <c r="L1395" s="8">
        <f t="shared" si="129"/>
        <v>-9.079530653073526E-4</v>
      </c>
      <c r="M1395" s="5">
        <v>45962</v>
      </c>
      <c r="N1395" s="9">
        <f t="shared" si="126"/>
        <v>-1.328509271327237E-3</v>
      </c>
      <c r="O1395" s="5">
        <v>45962</v>
      </c>
      <c r="P1395">
        <f t="shared" si="127"/>
        <v>1.0006871684026153</v>
      </c>
      <c r="Q1395" s="6">
        <f t="shared" si="130"/>
        <v>1.0004502025911659</v>
      </c>
      <c r="R1395">
        <f t="shared" si="131"/>
        <v>2.3683113012808142E-4</v>
      </c>
      <c r="T1395" s="5">
        <v>45962</v>
      </c>
      <c r="U1395" s="1">
        <v>2.3683113012808142E-4</v>
      </c>
    </row>
    <row r="1396" spans="3:21" x14ac:dyDescent="0.2">
      <c r="C1396" s="5">
        <v>45963</v>
      </c>
      <c r="D1396" s="6">
        <v>0.99988999999999995</v>
      </c>
      <c r="E1396" s="6">
        <v>110493.5</v>
      </c>
      <c r="F1396" s="6">
        <v>110473.3</v>
      </c>
      <c r="G1396" s="6">
        <v>110490.4</v>
      </c>
      <c r="H1396" s="6">
        <v>110539.9</v>
      </c>
      <c r="I1396" s="5">
        <v>45963</v>
      </c>
      <c r="J1396" s="7">
        <f t="shared" si="128"/>
        <v>-4.1975793356058928E-4</v>
      </c>
      <c r="K1396" s="5">
        <v>45963</v>
      </c>
      <c r="L1396" s="8">
        <f t="shared" si="129"/>
        <v>-1.5476457683193535E-4</v>
      </c>
      <c r="M1396" s="5">
        <v>45963</v>
      </c>
      <c r="N1396" s="9">
        <f t="shared" si="126"/>
        <v>-5.7452251039252463E-4</v>
      </c>
      <c r="O1396" s="5">
        <v>45963</v>
      </c>
      <c r="P1396">
        <f t="shared" si="127"/>
        <v>1.0004480027224085</v>
      </c>
      <c r="Q1396" s="6">
        <f t="shared" si="130"/>
        <v>1.0001100121013311</v>
      </c>
      <c r="R1396">
        <f t="shared" si="131"/>
        <v>3.3789634870746901E-4</v>
      </c>
      <c r="T1396" s="5">
        <v>45963</v>
      </c>
      <c r="U1396" s="1">
        <v>3.3789634870746901E-4</v>
      </c>
    </row>
    <row r="1397" spans="3:21" x14ac:dyDescent="0.2">
      <c r="C1397" s="5">
        <v>45964</v>
      </c>
      <c r="D1397" s="6">
        <v>0.99973000000000001</v>
      </c>
      <c r="E1397" s="6">
        <v>106536.4</v>
      </c>
      <c r="F1397" s="6">
        <v>106514.23</v>
      </c>
      <c r="G1397" s="6">
        <v>106511.7</v>
      </c>
      <c r="H1397" s="6">
        <v>106581.4</v>
      </c>
      <c r="I1397" s="5">
        <v>45964</v>
      </c>
      <c r="J1397" s="7">
        <f t="shared" si="128"/>
        <v>-4.2221250612208135E-4</v>
      </c>
      <c r="K1397" s="5">
        <v>45964</v>
      </c>
      <c r="L1397" s="8">
        <f t="shared" si="129"/>
        <v>2.375325903162597E-5</v>
      </c>
      <c r="M1397" s="5">
        <v>45964</v>
      </c>
      <c r="N1397" s="9">
        <f t="shared" si="126"/>
        <v>-3.984592470904554E-4</v>
      </c>
      <c r="O1397" s="5">
        <v>45964</v>
      </c>
      <c r="P1397">
        <f t="shared" si="127"/>
        <v>1.0006543882033616</v>
      </c>
      <c r="Q1397" s="6">
        <f t="shared" si="130"/>
        <v>1.0002700729196883</v>
      </c>
      <c r="R1397">
        <f t="shared" si="131"/>
        <v>3.8413772820147649E-4</v>
      </c>
      <c r="T1397" s="5">
        <v>45964</v>
      </c>
      <c r="U1397" s="1">
        <v>3.8413772820147649E-4</v>
      </c>
    </row>
    <row r="1398" spans="3:21" x14ac:dyDescent="0.2">
      <c r="C1398" s="5">
        <v>45965</v>
      </c>
      <c r="D1398" s="6">
        <v>0.99978999999999996</v>
      </c>
      <c r="E1398" s="6">
        <v>101441.9</v>
      </c>
      <c r="F1398" s="6">
        <v>101496.66</v>
      </c>
      <c r="G1398" s="6">
        <v>101418.6</v>
      </c>
      <c r="H1398" s="6">
        <v>101491.7</v>
      </c>
      <c r="I1398" s="5">
        <v>45965</v>
      </c>
      <c r="J1398" s="7">
        <f t="shared" si="128"/>
        <v>-4.9068051870254333E-4</v>
      </c>
      <c r="K1398" s="5">
        <v>45965</v>
      </c>
      <c r="L1398" s="8">
        <f t="shared" si="129"/>
        <v>7.696813010630956E-4</v>
      </c>
      <c r="M1398" s="5">
        <v>45965</v>
      </c>
      <c r="N1398" s="9">
        <f t="shared" si="126"/>
        <v>2.7900078236055227E-4</v>
      </c>
      <c r="O1398" s="5">
        <v>45965</v>
      </c>
      <c r="P1398">
        <f t="shared" si="127"/>
        <v>1.0007207750846492</v>
      </c>
      <c r="Q1398" s="6">
        <f t="shared" si="130"/>
        <v>1.000210044109263</v>
      </c>
      <c r="R1398">
        <f t="shared" si="131"/>
        <v>5.1049339795125246E-4</v>
      </c>
      <c r="T1398" s="5">
        <v>45965</v>
      </c>
      <c r="U1398" s="1">
        <v>5.1049339795125246E-4</v>
      </c>
    </row>
    <row r="1399" spans="3:21" x14ac:dyDescent="0.2">
      <c r="C1399" s="5">
        <v>45966</v>
      </c>
      <c r="D1399" s="6">
        <v>0.99987999999999999</v>
      </c>
      <c r="E1399" s="6">
        <v>103835.2</v>
      </c>
      <c r="F1399" s="6">
        <v>103897.48</v>
      </c>
      <c r="G1399" s="6">
        <v>103821</v>
      </c>
      <c r="H1399" s="6">
        <v>103890.2</v>
      </c>
      <c r="I1399" s="5">
        <v>45966</v>
      </c>
      <c r="J1399" s="7">
        <f t="shared" si="128"/>
        <v>-5.2940508344386666E-4</v>
      </c>
      <c r="K1399" s="5">
        <v>45966</v>
      </c>
      <c r="L1399" s="8">
        <f t="shared" si="129"/>
        <v>7.3665250768145099E-4</v>
      </c>
      <c r="M1399" s="5">
        <v>45966</v>
      </c>
      <c r="N1399" s="9">
        <f t="shared" si="126"/>
        <v>2.0724742423758433E-4</v>
      </c>
      <c r="O1399" s="5">
        <v>45966</v>
      </c>
      <c r="P1399">
        <f t="shared" si="127"/>
        <v>1.0006665318191887</v>
      </c>
      <c r="Q1399" s="6">
        <f t="shared" si="130"/>
        <v>1.0001200144017282</v>
      </c>
      <c r="R1399">
        <f t="shared" si="131"/>
        <v>5.4630258493583818E-4</v>
      </c>
      <c r="T1399" s="5">
        <v>45966</v>
      </c>
      <c r="U1399" s="1">
        <v>5.4630258493583818E-4</v>
      </c>
    </row>
    <row r="1400" spans="3:21" x14ac:dyDescent="0.2">
      <c r="C1400" s="5">
        <v>45967</v>
      </c>
      <c r="D1400" s="6">
        <v>0.99944999999999995</v>
      </c>
      <c r="E1400" s="6">
        <v>101296.2</v>
      </c>
      <c r="F1400" s="6">
        <v>101300.72</v>
      </c>
      <c r="G1400" s="6">
        <v>101237.3</v>
      </c>
      <c r="H1400" s="6">
        <v>101347.2</v>
      </c>
      <c r="I1400" s="5">
        <v>45967</v>
      </c>
      <c r="J1400" s="7">
        <f t="shared" si="128"/>
        <v>-5.0322061191626416E-4</v>
      </c>
      <c r="K1400" s="5">
        <v>45967</v>
      </c>
      <c r="L1400" s="8">
        <f t="shared" si="129"/>
        <v>6.2644894717656682E-4</v>
      </c>
      <c r="M1400" s="5">
        <v>45967</v>
      </c>
      <c r="N1400" s="9">
        <f t="shared" si="126"/>
        <v>1.2322833526030267E-4</v>
      </c>
      <c r="O1400" s="5">
        <v>45967</v>
      </c>
      <c r="P1400">
        <f t="shared" si="127"/>
        <v>1.0010855682638711</v>
      </c>
      <c r="Q1400" s="6">
        <f t="shared" si="130"/>
        <v>1.0005503026664666</v>
      </c>
      <c r="R1400">
        <f t="shared" si="131"/>
        <v>5.3482815524746397E-4</v>
      </c>
      <c r="T1400" s="5">
        <v>45967</v>
      </c>
      <c r="U1400" s="1">
        <v>5.3482815524746397E-4</v>
      </c>
    </row>
    <row r="1401" spans="3:21" x14ac:dyDescent="0.2">
      <c r="C1401" s="5">
        <v>45968</v>
      </c>
      <c r="D1401" s="6">
        <v>0.99946999999999997</v>
      </c>
      <c r="E1401" s="6">
        <v>103300.5</v>
      </c>
      <c r="F1401" s="6">
        <v>103243.46</v>
      </c>
      <c r="G1401" s="6">
        <v>103251</v>
      </c>
      <c r="H1401" s="6">
        <v>103345.2</v>
      </c>
      <c r="I1401" s="5">
        <v>45968</v>
      </c>
      <c r="J1401" s="7">
        <f t="shared" si="128"/>
        <v>-4.3253097386232833E-4</v>
      </c>
      <c r="K1401" s="5">
        <v>45968</v>
      </c>
      <c r="L1401" s="8">
        <f t="shared" si="129"/>
        <v>-7.3025927109602779E-5</v>
      </c>
      <c r="M1401" s="5">
        <v>45968</v>
      </c>
      <c r="N1401" s="9">
        <f t="shared" si="126"/>
        <v>-5.0555690097193106E-4</v>
      </c>
      <c r="O1401" s="5">
        <v>45968</v>
      </c>
      <c r="P1401">
        <f t="shared" si="127"/>
        <v>1.0009123398320598</v>
      </c>
      <c r="Q1401" s="6">
        <f t="shared" si="130"/>
        <v>1.000530281048956</v>
      </c>
      <c r="R1401">
        <f t="shared" si="131"/>
        <v>3.8178340338973022E-4</v>
      </c>
      <c r="T1401" s="5">
        <v>45968</v>
      </c>
      <c r="U1401" s="1">
        <v>3.8178340338973022E-4</v>
      </c>
    </row>
    <row r="1402" spans="3:21" x14ac:dyDescent="0.2">
      <c r="C1402" s="5">
        <v>45969</v>
      </c>
      <c r="D1402" s="6">
        <v>0.99972000000000005</v>
      </c>
      <c r="E1402" s="6">
        <v>102268.6</v>
      </c>
      <c r="F1402" s="6">
        <v>102243.98</v>
      </c>
      <c r="G1402" s="6">
        <v>102249.4</v>
      </c>
      <c r="H1402" s="6">
        <v>102318.7</v>
      </c>
      <c r="I1402" s="5">
        <v>45969</v>
      </c>
      <c r="J1402" s="7">
        <f t="shared" si="128"/>
        <v>-4.896465650950537E-4</v>
      </c>
      <c r="K1402" s="5">
        <v>45969</v>
      </c>
      <c r="L1402" s="8">
        <f t="shared" si="129"/>
        <v>-5.3007646010619662E-5</v>
      </c>
      <c r="M1402" s="5">
        <v>45969</v>
      </c>
      <c r="N1402" s="9">
        <f t="shared" si="126"/>
        <v>-5.4265421110567336E-4</v>
      </c>
      <c r="O1402" s="5">
        <v>45969</v>
      </c>
      <c r="P1402">
        <f t="shared" si="127"/>
        <v>1.000677754588291</v>
      </c>
      <c r="Q1402" s="6">
        <f t="shared" si="130"/>
        <v>1.0002800784219581</v>
      </c>
      <c r="R1402">
        <f t="shared" si="131"/>
        <v>3.9748580905422443E-4</v>
      </c>
      <c r="T1402" s="5">
        <v>45969</v>
      </c>
      <c r="U1402" s="1">
        <v>3.9748580905422443E-4</v>
      </c>
    </row>
    <row r="1403" spans="3:21" x14ac:dyDescent="0.2">
      <c r="C1403" s="5">
        <v>45970</v>
      </c>
      <c r="D1403" s="6">
        <v>0.99970999999999999</v>
      </c>
      <c r="E1403" s="6">
        <v>104665</v>
      </c>
      <c r="F1403" s="6">
        <v>104641.01</v>
      </c>
      <c r="G1403" s="6">
        <v>104652</v>
      </c>
      <c r="H1403" s="6">
        <v>104724.7</v>
      </c>
      <c r="I1403" s="5">
        <v>45970</v>
      </c>
      <c r="J1403" s="7">
        <f t="shared" si="128"/>
        <v>-5.7006608756097739E-4</v>
      </c>
      <c r="K1403" s="5">
        <v>45970</v>
      </c>
      <c r="L1403" s="8">
        <f t="shared" si="129"/>
        <v>-1.0501471543788211E-4</v>
      </c>
      <c r="M1403" s="5">
        <v>45970</v>
      </c>
      <c r="N1403" s="9">
        <f t="shared" si="126"/>
        <v>-6.7508080299885946E-4</v>
      </c>
      <c r="O1403" s="5">
        <v>45970</v>
      </c>
      <c r="P1403">
        <f t="shared" si="127"/>
        <v>1.0006946833314221</v>
      </c>
      <c r="Q1403" s="6">
        <f t="shared" si="130"/>
        <v>1.000290084124396</v>
      </c>
      <c r="R1403">
        <f t="shared" si="131"/>
        <v>4.0440009251494716E-4</v>
      </c>
      <c r="T1403" s="5">
        <v>45970</v>
      </c>
      <c r="U1403" s="1">
        <v>4.0440009251494716E-4</v>
      </c>
    </row>
    <row r="1404" spans="3:21" x14ac:dyDescent="0.2">
      <c r="C1404" s="5">
        <v>45971</v>
      </c>
      <c r="D1404" s="6">
        <v>0.99963999999999997</v>
      </c>
      <c r="E1404" s="6">
        <v>105969.5</v>
      </c>
      <c r="F1404" s="6">
        <v>105939.79</v>
      </c>
      <c r="G1404" s="6">
        <v>105937.9</v>
      </c>
      <c r="H1404" s="6">
        <v>106015.7</v>
      </c>
      <c r="I1404" s="5">
        <v>45971</v>
      </c>
      <c r="J1404" s="7">
        <f t="shared" si="128"/>
        <v>-4.3578451116199857E-4</v>
      </c>
      <c r="K1404" s="5">
        <v>45971</v>
      </c>
      <c r="L1404" s="8">
        <f t="shared" si="129"/>
        <v>1.784064060170551E-5</v>
      </c>
      <c r="M1404" s="5">
        <v>45971</v>
      </c>
      <c r="N1404" s="9">
        <f t="shared" si="126"/>
        <v>-4.1794387056029306E-4</v>
      </c>
      <c r="O1404" s="5">
        <v>45971</v>
      </c>
      <c r="P1404">
        <f t="shared" si="127"/>
        <v>1.0007343925073084</v>
      </c>
      <c r="Q1404" s="6">
        <f t="shared" si="130"/>
        <v>1.0003601296466729</v>
      </c>
      <c r="R1404">
        <f t="shared" si="131"/>
        <v>3.7405815752925117E-4</v>
      </c>
      <c r="T1404" s="5">
        <v>45971</v>
      </c>
      <c r="U1404" s="1">
        <v>3.7405815752925117E-4</v>
      </c>
    </row>
    <row r="1405" spans="3:21" x14ac:dyDescent="0.2">
      <c r="C1405" s="5">
        <v>45972</v>
      </c>
      <c r="D1405" s="6">
        <v>0.99956</v>
      </c>
      <c r="E1405" s="6">
        <v>103009.7</v>
      </c>
      <c r="F1405" s="6">
        <v>103043.33</v>
      </c>
      <c r="G1405" s="6">
        <v>102974.9</v>
      </c>
      <c r="H1405" s="6">
        <v>103058</v>
      </c>
      <c r="I1405" s="5">
        <v>45972</v>
      </c>
      <c r="J1405" s="7">
        <f t="shared" si="128"/>
        <v>-4.6866812862662687E-4</v>
      </c>
      <c r="K1405" s="5">
        <v>45972</v>
      </c>
      <c r="L1405" s="8">
        <f t="shared" si="129"/>
        <v>6.6453087111526758E-4</v>
      </c>
      <c r="M1405" s="5">
        <v>45972</v>
      </c>
      <c r="N1405" s="9">
        <f t="shared" si="126"/>
        <v>1.9586274248864071E-4</v>
      </c>
      <c r="O1405" s="5">
        <v>45972</v>
      </c>
      <c r="P1405">
        <f t="shared" si="127"/>
        <v>1.0008069927720251</v>
      </c>
      <c r="Q1405" s="6">
        <f t="shared" si="130"/>
        <v>1.0004401936852214</v>
      </c>
      <c r="R1405">
        <f t="shared" si="131"/>
        <v>3.6657050002953339E-4</v>
      </c>
      <c r="T1405" s="5">
        <v>45972</v>
      </c>
      <c r="U1405" s="1">
        <v>3.6657050002953339E-4</v>
      </c>
    </row>
    <row r="1406" spans="3:21" x14ac:dyDescent="0.2">
      <c r="C1406" s="5">
        <v>45973</v>
      </c>
      <c r="D1406" s="6">
        <v>0.99978999999999996</v>
      </c>
      <c r="E1406" s="6">
        <v>101595.6</v>
      </c>
      <c r="F1406" s="6">
        <v>101672.37</v>
      </c>
      <c r="G1406" s="6">
        <v>101583.4</v>
      </c>
      <c r="H1406" s="6">
        <v>101647.4</v>
      </c>
      <c r="I1406" s="5">
        <v>45973</v>
      </c>
      <c r="J1406" s="7">
        <f t="shared" si="128"/>
        <v>-5.0960477100239028E-4</v>
      </c>
      <c r="K1406" s="5">
        <v>45973</v>
      </c>
      <c r="L1406" s="8">
        <f t="shared" si="129"/>
        <v>8.7583207492563915E-4</v>
      </c>
      <c r="M1406" s="5">
        <v>45973</v>
      </c>
      <c r="N1406" s="9">
        <f t="shared" si="126"/>
        <v>3.6622730392324887E-4</v>
      </c>
      <c r="O1406" s="5">
        <v>45973</v>
      </c>
      <c r="P1406">
        <f t="shared" si="127"/>
        <v>1.0006300241968666</v>
      </c>
      <c r="Q1406" s="6">
        <f t="shared" si="130"/>
        <v>1.000210044109263</v>
      </c>
      <c r="R1406">
        <f t="shared" si="131"/>
        <v>4.1980376185403483E-4</v>
      </c>
      <c r="T1406" s="5">
        <v>45973</v>
      </c>
      <c r="U1406" s="1">
        <v>4.1980376185403483E-4</v>
      </c>
    </row>
    <row r="1407" spans="3:21" x14ac:dyDescent="0.2">
      <c r="C1407" s="5">
        <v>45974</v>
      </c>
      <c r="D1407" s="6">
        <v>0.99934999999999996</v>
      </c>
      <c r="E1407" s="6">
        <v>99629</v>
      </c>
      <c r="F1407" s="6">
        <v>99675.14</v>
      </c>
      <c r="G1407" s="6">
        <v>99579.6</v>
      </c>
      <c r="H1407" s="6">
        <v>99688.4</v>
      </c>
      <c r="I1407" s="5">
        <v>45974</v>
      </c>
      <c r="J1407" s="7">
        <f t="shared" si="128"/>
        <v>-5.9585668944425014E-4</v>
      </c>
      <c r="K1407" s="5">
        <v>45974</v>
      </c>
      <c r="L1407" s="8">
        <f t="shared" si="129"/>
        <v>9.594334582584545E-4</v>
      </c>
      <c r="M1407" s="5">
        <v>45974</v>
      </c>
      <c r="N1407" s="9">
        <f t="shared" si="126"/>
        <v>3.6357676881420436E-4</v>
      </c>
      <c r="O1407" s="5">
        <v>45974</v>
      </c>
      <c r="P1407">
        <f t="shared" si="127"/>
        <v>1.0010925932620736</v>
      </c>
      <c r="Q1407" s="6">
        <f t="shared" si="130"/>
        <v>1.0006504227748036</v>
      </c>
      <c r="R1407">
        <f t="shared" si="131"/>
        <v>4.4178547487784542E-4</v>
      </c>
      <c r="T1407" s="5">
        <v>45974</v>
      </c>
      <c r="U1407" s="1">
        <v>4.4178547487784542E-4</v>
      </c>
    </row>
    <row r="1408" spans="3:21" x14ac:dyDescent="0.2">
      <c r="C1408" s="5">
        <v>45975</v>
      </c>
      <c r="D1408" s="6">
        <v>0.99912999999999996</v>
      </c>
      <c r="E1408" s="6">
        <v>94533.3</v>
      </c>
      <c r="F1408" s="6">
        <v>94499.28</v>
      </c>
      <c r="G1408" s="6">
        <v>94457.5</v>
      </c>
      <c r="H1408" s="6">
        <v>94583.9</v>
      </c>
      <c r="I1408" s="5">
        <v>45975</v>
      </c>
      <c r="J1408" s="7">
        <f t="shared" si="128"/>
        <v>-5.3497476843301309E-4</v>
      </c>
      <c r="K1408" s="5">
        <v>45975</v>
      </c>
      <c r="L1408" s="8">
        <f t="shared" si="129"/>
        <v>4.4231532699890255E-4</v>
      </c>
      <c r="M1408" s="5">
        <v>45975</v>
      </c>
      <c r="N1408" s="9">
        <f t="shared" si="126"/>
        <v>-9.2659441434110546E-5</v>
      </c>
      <c r="O1408" s="5">
        <v>45975</v>
      </c>
      <c r="P1408">
        <f t="shared" si="127"/>
        <v>1.0013381679591351</v>
      </c>
      <c r="Q1408" s="6">
        <f t="shared" si="130"/>
        <v>1.0008707575590765</v>
      </c>
      <c r="R1408">
        <f t="shared" si="131"/>
        <v>4.6689474069602072E-4</v>
      </c>
      <c r="T1408" s="5">
        <v>45975</v>
      </c>
      <c r="U1408" s="1">
        <v>4.6689474069602072E-4</v>
      </c>
    </row>
    <row r="1409" spans="3:21" x14ac:dyDescent="0.2">
      <c r="C1409" s="5">
        <v>45976</v>
      </c>
      <c r="D1409" s="6">
        <v>0.99938000000000005</v>
      </c>
      <c r="E1409" s="6">
        <v>95559.1</v>
      </c>
      <c r="F1409" s="6">
        <v>95575.86</v>
      </c>
      <c r="G1409" s="6">
        <v>95495.1</v>
      </c>
      <c r="H1409" s="6">
        <v>95604.6</v>
      </c>
      <c r="I1409" s="5">
        <v>45976</v>
      </c>
      <c r="J1409" s="7">
        <f t="shared" si="128"/>
        <v>-4.7591852274890534E-4</v>
      </c>
      <c r="K1409" s="5">
        <v>45976</v>
      </c>
      <c r="L1409" s="8">
        <f t="shared" si="129"/>
        <v>8.4569784208817791E-4</v>
      </c>
      <c r="M1409" s="5">
        <v>45976</v>
      </c>
      <c r="N1409" s="9">
        <f t="shared" si="126"/>
        <v>3.6977931933927257E-4</v>
      </c>
      <c r="O1409" s="5">
        <v>45976</v>
      </c>
      <c r="P1409">
        <f t="shared" si="127"/>
        <v>1.0011466556922817</v>
      </c>
      <c r="Q1409" s="6">
        <f t="shared" si="130"/>
        <v>1.0006203846384758</v>
      </c>
      <c r="R1409">
        <f t="shared" si="131"/>
        <v>5.2580650528021879E-4</v>
      </c>
      <c r="T1409" s="5">
        <v>45976</v>
      </c>
      <c r="U1409" s="1">
        <v>5.2580650528021879E-4</v>
      </c>
    </row>
    <row r="1410" spans="3:21" x14ac:dyDescent="0.2">
      <c r="C1410" s="5">
        <v>45977</v>
      </c>
      <c r="D1410" s="6">
        <v>0.99922999999999995</v>
      </c>
      <c r="E1410" s="6">
        <v>94215.9</v>
      </c>
      <c r="F1410" s="6">
        <v>94117.89</v>
      </c>
      <c r="G1410" s="6">
        <v>94159.9</v>
      </c>
      <c r="H1410" s="6">
        <v>94260.3</v>
      </c>
      <c r="I1410" s="5">
        <v>45977</v>
      </c>
      <c r="J1410" s="7">
        <f t="shared" si="128"/>
        <v>-4.7103605653715011E-4</v>
      </c>
      <c r="K1410" s="5">
        <v>45977</v>
      </c>
      <c r="L1410" s="8">
        <f t="shared" si="129"/>
        <v>-4.4615595386140772E-4</v>
      </c>
      <c r="M1410" s="5">
        <v>45977</v>
      </c>
      <c r="N1410" s="9">
        <f t="shared" si="126"/>
        <v>-9.1719201039855783E-4</v>
      </c>
      <c r="O1410" s="5">
        <v>45977</v>
      </c>
      <c r="P1410">
        <f t="shared" si="127"/>
        <v>1.0010662713108234</v>
      </c>
      <c r="Q1410" s="6">
        <f t="shared" si="130"/>
        <v>1.0007705933568849</v>
      </c>
      <c r="R1410">
        <f t="shared" si="131"/>
        <v>2.9540664507416949E-4</v>
      </c>
      <c r="T1410" s="5">
        <v>45977</v>
      </c>
      <c r="U1410" s="1">
        <v>2.9540664507416949E-4</v>
      </c>
    </row>
    <row r="1411" spans="3:21" x14ac:dyDescent="0.2">
      <c r="C1411" s="5">
        <v>45978</v>
      </c>
      <c r="D1411" s="6">
        <v>0.99880999999999998</v>
      </c>
      <c r="E1411" s="6">
        <v>92171.4</v>
      </c>
      <c r="F1411" s="6">
        <v>92006.91</v>
      </c>
      <c r="G1411" s="6">
        <v>92060.9</v>
      </c>
      <c r="H1411" s="6">
        <v>92211</v>
      </c>
      <c r="I1411" s="5">
        <v>45978</v>
      </c>
      <c r="J1411" s="7">
        <f t="shared" si="128"/>
        <v>-4.2944984871659368E-4</v>
      </c>
      <c r="K1411" s="5">
        <v>45978</v>
      </c>
      <c r="L1411" s="8">
        <f t="shared" si="129"/>
        <v>-5.8645961531975782E-4</v>
      </c>
      <c r="M1411" s="5">
        <v>45978</v>
      </c>
      <c r="N1411" s="9">
        <f t="shared" si="126"/>
        <v>-1.0159094640363516E-3</v>
      </c>
      <c r="O1411" s="5">
        <v>45978</v>
      </c>
      <c r="P1411">
        <f t="shared" si="127"/>
        <v>1.0016304424571127</v>
      </c>
      <c r="Q1411" s="6">
        <f t="shared" si="130"/>
        <v>1.0011914177871668</v>
      </c>
      <c r="R1411">
        <f t="shared" si="131"/>
        <v>4.3840611658193981E-4</v>
      </c>
      <c r="T1411" s="5">
        <v>45978</v>
      </c>
      <c r="U1411" s="1">
        <v>4.3840611658193981E-4</v>
      </c>
    </row>
    <row r="1412" spans="3:21" x14ac:dyDescent="0.2">
      <c r="C1412" s="5">
        <v>45979</v>
      </c>
      <c r="D1412" s="6">
        <v>0.99946000000000002</v>
      </c>
      <c r="E1412" s="6">
        <v>92925</v>
      </c>
      <c r="F1412" s="6">
        <v>92899.61</v>
      </c>
      <c r="G1412" s="6">
        <v>92877.2</v>
      </c>
      <c r="H1412" s="6">
        <v>92964.2</v>
      </c>
      <c r="I1412" s="5">
        <v>45979</v>
      </c>
      <c r="J1412" s="7">
        <f t="shared" si="128"/>
        <v>-4.2166769573660713E-4</v>
      </c>
      <c r="K1412" s="5">
        <v>45979</v>
      </c>
      <c r="L1412" s="8">
        <f t="shared" si="129"/>
        <v>2.4128634368826248E-4</v>
      </c>
      <c r="M1412" s="5">
        <v>45979</v>
      </c>
      <c r="N1412" s="9">
        <f t="shared" si="126"/>
        <v>-1.8038135204834465E-4</v>
      </c>
      <c r="O1412" s="5">
        <v>45979</v>
      </c>
      <c r="P1412">
        <f t="shared" si="127"/>
        <v>1.000936720745242</v>
      </c>
      <c r="Q1412" s="6">
        <f t="shared" si="130"/>
        <v>1.000540291757549</v>
      </c>
      <c r="R1412">
        <f t="shared" si="131"/>
        <v>3.9613644363712156E-4</v>
      </c>
      <c r="T1412" s="5">
        <v>45979</v>
      </c>
      <c r="U1412" s="1">
        <v>3.9613644363712156E-4</v>
      </c>
    </row>
    <row r="1413" spans="3:21" x14ac:dyDescent="0.2">
      <c r="C1413" s="5">
        <v>45980</v>
      </c>
      <c r="D1413" s="6">
        <v>0.99897999999999998</v>
      </c>
      <c r="E1413" s="6">
        <v>91509</v>
      </c>
      <c r="F1413" s="6">
        <v>91474.55</v>
      </c>
      <c r="G1413" s="6">
        <v>91428.4</v>
      </c>
      <c r="H1413" s="6">
        <v>91558.8</v>
      </c>
      <c r="I1413" s="5">
        <v>45980</v>
      </c>
      <c r="J1413" s="7">
        <f t="shared" si="128"/>
        <v>-5.4391276425644407E-4</v>
      </c>
      <c r="K1413" s="5">
        <v>45980</v>
      </c>
      <c r="L1413" s="8">
        <f t="shared" si="129"/>
        <v>5.0476657143741694E-4</v>
      </c>
      <c r="M1413" s="5">
        <v>45980</v>
      </c>
      <c r="N1413" s="9">
        <f t="shared" si="126"/>
        <v>-3.9146192819027124E-5</v>
      </c>
      <c r="O1413" s="5">
        <v>45980</v>
      </c>
      <c r="P1413">
        <f t="shared" si="127"/>
        <v>1.0014262526742239</v>
      </c>
      <c r="Q1413" s="6">
        <f t="shared" si="130"/>
        <v>1.0010210414622915</v>
      </c>
      <c r="R1413">
        <f t="shared" si="131"/>
        <v>4.0471598793130555E-4</v>
      </c>
      <c r="T1413" s="5">
        <v>45980</v>
      </c>
      <c r="U1413" s="1">
        <v>4.0471598793130555E-4</v>
      </c>
    </row>
    <row r="1414" spans="3:21" x14ac:dyDescent="0.2">
      <c r="C1414" s="5">
        <v>45981</v>
      </c>
      <c r="D1414" s="6">
        <v>0.99877000000000005</v>
      </c>
      <c r="E1414" s="6">
        <v>86583</v>
      </c>
      <c r="F1414" s="6">
        <v>86534.12</v>
      </c>
      <c r="G1414" s="6">
        <v>86488.3</v>
      </c>
      <c r="H1414" s="6">
        <v>86629.1</v>
      </c>
      <c r="I1414" s="5">
        <v>45981</v>
      </c>
      <c r="J1414" s="7">
        <f t="shared" si="128"/>
        <v>-5.3215374510419498E-4</v>
      </c>
      <c r="K1414" s="5">
        <v>45981</v>
      </c>
      <c r="L1414" s="8">
        <f t="shared" si="129"/>
        <v>5.2978264112015655E-4</v>
      </c>
      <c r="M1414" s="5">
        <v>45981</v>
      </c>
      <c r="N1414" s="9">
        <f t="shared" si="126"/>
        <v>-2.3711039840384291E-6</v>
      </c>
      <c r="O1414" s="5">
        <v>45981</v>
      </c>
      <c r="P1414">
        <f t="shared" si="127"/>
        <v>1.0016279658635907</v>
      </c>
      <c r="Q1414" s="6">
        <f t="shared" si="130"/>
        <v>1.0012315147631587</v>
      </c>
      <c r="R1414">
        <f t="shared" si="131"/>
        <v>3.9588509273315618E-4</v>
      </c>
      <c r="T1414" s="5">
        <v>45981</v>
      </c>
      <c r="U1414" s="1">
        <v>3.9588509273315618E-4</v>
      </c>
    </row>
    <row r="1415" spans="3:21" x14ac:dyDescent="0.2">
      <c r="C1415" s="5">
        <v>45982</v>
      </c>
      <c r="D1415" s="6">
        <v>0.99919999999999998</v>
      </c>
      <c r="E1415" s="6">
        <v>85097.1</v>
      </c>
      <c r="F1415" s="6">
        <v>85108.96</v>
      </c>
      <c r="G1415" s="6">
        <v>85035.1</v>
      </c>
      <c r="H1415" s="6">
        <v>85132.1</v>
      </c>
      <c r="I1415" s="5">
        <v>45982</v>
      </c>
      <c r="J1415" s="7">
        <f t="shared" si="128"/>
        <v>-4.1112576807103313E-4</v>
      </c>
      <c r="K1415" s="5">
        <v>45982</v>
      </c>
      <c r="L1415" s="8">
        <f t="shared" si="129"/>
        <v>8.6858250298994853E-4</v>
      </c>
      <c r="M1415" s="5">
        <v>45982</v>
      </c>
      <c r="N1415" s="9">
        <f t="shared" si="126"/>
        <v>4.574567349189154E-4</v>
      </c>
      <c r="O1415" s="5">
        <v>45982</v>
      </c>
      <c r="P1415">
        <f t="shared" si="127"/>
        <v>1.0011407054263475</v>
      </c>
      <c r="Q1415" s="6">
        <f t="shared" si="130"/>
        <v>1.0008006405124099</v>
      </c>
      <c r="R1415">
        <f t="shared" si="131"/>
        <v>3.3973514548589636E-4</v>
      </c>
      <c r="T1415" s="5">
        <v>45982</v>
      </c>
      <c r="U1415" s="1">
        <v>3.3973514548589636E-4</v>
      </c>
    </row>
    <row r="1416" spans="3:21" x14ac:dyDescent="0.2">
      <c r="C1416" s="5">
        <v>45983</v>
      </c>
      <c r="D1416" s="6">
        <v>0.99939999999999996</v>
      </c>
      <c r="E1416" s="6">
        <v>84701.5</v>
      </c>
      <c r="F1416" s="6">
        <v>84759.01</v>
      </c>
      <c r="G1416" s="6">
        <v>84642</v>
      </c>
      <c r="H1416" s="6">
        <v>84738</v>
      </c>
      <c r="I1416" s="5">
        <v>45983</v>
      </c>
      <c r="J1416" s="7">
        <f t="shared" si="128"/>
        <v>-4.3073945573414527E-4</v>
      </c>
      <c r="K1416" s="5">
        <v>45983</v>
      </c>
      <c r="L1416" s="8">
        <f t="shared" si="129"/>
        <v>1.3824106235674342E-3</v>
      </c>
      <c r="M1416" s="5">
        <v>45983</v>
      </c>
      <c r="N1416" s="9">
        <f t="shared" ref="N1416:N1479" si="132">J1416+L1416</f>
        <v>9.516711678332889E-4</v>
      </c>
      <c r="O1416" s="5">
        <v>45983</v>
      </c>
      <c r="P1416">
        <f t="shared" ref="P1416:P1479" si="133">(1/G1416)*H1416</f>
        <v>1.0011341887006451</v>
      </c>
      <c r="Q1416" s="6">
        <f t="shared" si="130"/>
        <v>1.0006003602161297</v>
      </c>
      <c r="R1416">
        <f t="shared" si="131"/>
        <v>5.3336592252908692E-4</v>
      </c>
      <c r="T1416" s="5">
        <v>45983</v>
      </c>
      <c r="U1416" s="1">
        <v>5.3336592252908692E-4</v>
      </c>
    </row>
    <row r="1417" spans="3:21" x14ac:dyDescent="0.2">
      <c r="C1417" s="5">
        <v>45984</v>
      </c>
      <c r="D1417" s="6">
        <v>0.99953999999999998</v>
      </c>
      <c r="E1417" s="6">
        <v>86802.8</v>
      </c>
      <c r="F1417" s="6">
        <v>86857.52</v>
      </c>
      <c r="G1417" s="6">
        <v>86774.9</v>
      </c>
      <c r="H1417" s="6">
        <v>86841.3</v>
      </c>
      <c r="I1417" s="5">
        <v>45984</v>
      </c>
      <c r="J1417" s="7">
        <f t="shared" ref="J1417:J1480" si="134">(E1417-H1417)/H1417</f>
        <v>-4.4333744428054391E-4</v>
      </c>
      <c r="K1417" s="5">
        <v>45984</v>
      </c>
      <c r="L1417" s="8">
        <f t="shared" ref="L1417:L1480" si="135">(F1417-G1417)/G1417</f>
        <v>9.5211864260298662E-4</v>
      </c>
      <c r="M1417" s="5">
        <v>45984</v>
      </c>
      <c r="N1417" s="9">
        <f t="shared" si="132"/>
        <v>5.087811983224427E-4</v>
      </c>
      <c r="O1417" s="5">
        <v>45984</v>
      </c>
      <c r="P1417">
        <f t="shared" si="133"/>
        <v>1.0007651982312857</v>
      </c>
      <c r="Q1417" s="6">
        <f t="shared" ref="Q1417:Q1480" si="136">1/D1417</f>
        <v>1.0004602116973809</v>
      </c>
      <c r="R1417">
        <f t="shared" ref="R1417:R1480" si="137">LN(P1417/Q1417)</f>
        <v>3.0479978392522358E-4</v>
      </c>
      <c r="T1417" s="5">
        <v>45984</v>
      </c>
      <c r="U1417" s="1">
        <v>3.0479978392522358E-4</v>
      </c>
    </row>
    <row r="1418" spans="3:21" x14ac:dyDescent="0.2">
      <c r="C1418" s="5">
        <v>45985</v>
      </c>
      <c r="D1418" s="6">
        <v>0.99968000000000001</v>
      </c>
      <c r="E1418" s="6">
        <v>88240.1</v>
      </c>
      <c r="F1418" s="6">
        <v>88303.26</v>
      </c>
      <c r="G1418" s="6">
        <v>88230</v>
      </c>
      <c r="H1418" s="6">
        <v>88278</v>
      </c>
      <c r="I1418" s="5">
        <v>45985</v>
      </c>
      <c r="J1418" s="7">
        <f t="shared" si="134"/>
        <v>-4.293255397720177E-4</v>
      </c>
      <c r="K1418" s="5">
        <v>45985</v>
      </c>
      <c r="L1418" s="8">
        <f t="shared" si="135"/>
        <v>8.3032981978912795E-4</v>
      </c>
      <c r="M1418" s="5">
        <v>45985</v>
      </c>
      <c r="N1418" s="9">
        <f t="shared" si="132"/>
        <v>4.0100428001711025E-4</v>
      </c>
      <c r="O1418" s="5">
        <v>45985</v>
      </c>
      <c r="P1418">
        <f t="shared" si="133"/>
        <v>1.0005440326419586</v>
      </c>
      <c r="Q1418" s="6">
        <f t="shared" si="136"/>
        <v>1.0003201024327786</v>
      </c>
      <c r="R1418">
        <f t="shared" si="137"/>
        <v>2.2383349892629001E-4</v>
      </c>
      <c r="T1418" s="5">
        <v>45985</v>
      </c>
      <c r="U1418" s="1">
        <v>2.2383349892629001E-4</v>
      </c>
    </row>
    <row r="1419" spans="3:21" x14ac:dyDescent="0.2">
      <c r="C1419" s="5">
        <v>45986</v>
      </c>
      <c r="D1419" s="6">
        <v>0.99953000000000003</v>
      </c>
      <c r="E1419" s="6">
        <v>87315.5</v>
      </c>
      <c r="F1419" s="6">
        <v>87368.29</v>
      </c>
      <c r="G1419" s="6">
        <v>87291.6</v>
      </c>
      <c r="H1419" s="6">
        <v>87359.3</v>
      </c>
      <c r="I1419" s="5">
        <v>45986</v>
      </c>
      <c r="J1419" s="7">
        <f t="shared" si="134"/>
        <v>-5.0137764382272875E-4</v>
      </c>
      <c r="K1419" s="5">
        <v>45986</v>
      </c>
      <c r="L1419" s="8">
        <f t="shared" si="135"/>
        <v>8.7854959698284571E-4</v>
      </c>
      <c r="M1419" s="5">
        <v>45986</v>
      </c>
      <c r="N1419" s="9">
        <f t="shared" si="132"/>
        <v>3.7717195316011695E-4</v>
      </c>
      <c r="O1419" s="5">
        <v>45986</v>
      </c>
      <c r="P1419">
        <f t="shared" si="133"/>
        <v>1.0007755614515028</v>
      </c>
      <c r="Q1419" s="6">
        <f t="shared" si="136"/>
        <v>1.0004702210038718</v>
      </c>
      <c r="R1419">
        <f t="shared" si="137"/>
        <v>3.0515037450899398E-4</v>
      </c>
      <c r="T1419" s="5">
        <v>45986</v>
      </c>
      <c r="U1419" s="1">
        <v>3.0515037450899398E-4</v>
      </c>
    </row>
    <row r="1420" spans="3:21" x14ac:dyDescent="0.2">
      <c r="C1420" s="5">
        <v>45987</v>
      </c>
      <c r="D1420" s="6">
        <v>0.99982000000000004</v>
      </c>
      <c r="E1420" s="6">
        <v>90427</v>
      </c>
      <c r="F1420" s="6">
        <v>90515.1</v>
      </c>
      <c r="G1420" s="6">
        <v>90440.4</v>
      </c>
      <c r="H1420" s="6">
        <v>90486</v>
      </c>
      <c r="I1420" s="5">
        <v>45987</v>
      </c>
      <c r="J1420" s="7">
        <f t="shared" si="134"/>
        <v>-6.5203456888358424E-4</v>
      </c>
      <c r="K1420" s="5">
        <v>45987</v>
      </c>
      <c r="L1420" s="8">
        <f t="shared" si="135"/>
        <v>8.2595831066660085E-4</v>
      </c>
      <c r="M1420" s="5">
        <v>45987</v>
      </c>
      <c r="N1420" s="9">
        <f t="shared" si="132"/>
        <v>1.7392374178301661E-4</v>
      </c>
      <c r="O1420" s="5">
        <v>45987</v>
      </c>
      <c r="P1420">
        <f t="shared" si="133"/>
        <v>1.000504199450688</v>
      </c>
      <c r="Q1420" s="6">
        <f t="shared" si="136"/>
        <v>1.000180032405833</v>
      </c>
      <c r="R1420">
        <f t="shared" si="137"/>
        <v>3.240561829099858E-4</v>
      </c>
      <c r="T1420" s="5">
        <v>45987</v>
      </c>
      <c r="U1420" s="1">
        <v>3.240561829099858E-4</v>
      </c>
    </row>
    <row r="1421" spans="3:21" x14ac:dyDescent="0.2">
      <c r="C1421" s="5">
        <v>45988</v>
      </c>
      <c r="D1421" s="6">
        <v>0.99980999999999998</v>
      </c>
      <c r="E1421" s="6">
        <v>91284.2</v>
      </c>
      <c r="F1421" s="6">
        <v>91359.31</v>
      </c>
      <c r="G1421" s="6">
        <v>91292.7</v>
      </c>
      <c r="H1421" s="6">
        <v>91331.3</v>
      </c>
      <c r="I1421" s="5">
        <v>45988</v>
      </c>
      <c r="J1421" s="7">
        <f t="shared" si="134"/>
        <v>-5.1570491167875437E-4</v>
      </c>
      <c r="K1421" s="5">
        <v>45988</v>
      </c>
      <c r="L1421" s="8">
        <f t="shared" si="135"/>
        <v>7.2963117532946862E-4</v>
      </c>
      <c r="M1421" s="5">
        <v>45988</v>
      </c>
      <c r="N1421" s="9">
        <f t="shared" si="132"/>
        <v>2.1392626365071424E-4</v>
      </c>
      <c r="O1421" s="5">
        <v>45988</v>
      </c>
      <c r="P1421">
        <f t="shared" si="133"/>
        <v>1.0004228158439832</v>
      </c>
      <c r="Q1421" s="6">
        <f t="shared" si="136"/>
        <v>1.0001900361068603</v>
      </c>
      <c r="R1421">
        <f t="shared" si="137"/>
        <v>2.3270843026564902E-4</v>
      </c>
      <c r="T1421" s="5">
        <v>45988</v>
      </c>
      <c r="U1421" s="1">
        <v>2.3270843026564902E-4</v>
      </c>
    </row>
    <row r="1422" spans="3:21" x14ac:dyDescent="0.2">
      <c r="C1422" s="5">
        <v>45989</v>
      </c>
      <c r="D1422" s="6">
        <v>1.0001500000000001</v>
      </c>
      <c r="E1422" s="6">
        <v>90845.7</v>
      </c>
      <c r="F1422" s="6">
        <v>90955.98</v>
      </c>
      <c r="G1422" s="6">
        <v>90868.2</v>
      </c>
      <c r="H1422" s="6">
        <v>90885</v>
      </c>
      <c r="I1422" s="5">
        <v>45989</v>
      </c>
      <c r="J1422" s="7">
        <f t="shared" si="134"/>
        <v>-4.3241458986634657E-4</v>
      </c>
      <c r="K1422" s="5">
        <v>45989</v>
      </c>
      <c r="L1422" s="8">
        <f t="shared" si="135"/>
        <v>9.6601451332808215E-4</v>
      </c>
      <c r="M1422" s="5">
        <v>45989</v>
      </c>
      <c r="N1422" s="9">
        <f t="shared" si="132"/>
        <v>5.3359992346173552E-4</v>
      </c>
      <c r="O1422" s="5">
        <v>45989</v>
      </c>
      <c r="P1422">
        <f t="shared" si="133"/>
        <v>1.0001848831604456</v>
      </c>
      <c r="Q1422" s="6">
        <f t="shared" si="136"/>
        <v>0.99985002249662536</v>
      </c>
      <c r="R1422">
        <f t="shared" si="137"/>
        <v>3.3485482278536695E-4</v>
      </c>
      <c r="T1422" s="5">
        <v>45989</v>
      </c>
      <c r="U1422" s="1">
        <v>3.3485482278536695E-4</v>
      </c>
    </row>
    <row r="1423" spans="3:21" x14ac:dyDescent="0.2">
      <c r="C1423" s="5">
        <v>45990</v>
      </c>
      <c r="D1423" s="6">
        <v>1.00021</v>
      </c>
      <c r="E1423" s="6">
        <v>90766.9</v>
      </c>
      <c r="F1423" s="6">
        <v>90906.28</v>
      </c>
      <c r="G1423" s="6">
        <v>90791.4</v>
      </c>
      <c r="H1423" s="6">
        <v>90814.8</v>
      </c>
      <c r="I1423" s="5">
        <v>45990</v>
      </c>
      <c r="J1423" s="7">
        <f t="shared" si="134"/>
        <v>-5.2744706809912845E-4</v>
      </c>
      <c r="K1423" s="5">
        <v>45990</v>
      </c>
      <c r="L1423" s="8">
        <f t="shared" si="135"/>
        <v>1.2653180807874387E-3</v>
      </c>
      <c r="M1423" s="5">
        <v>45990</v>
      </c>
      <c r="N1423" s="9">
        <f t="shared" si="132"/>
        <v>7.3787101268831022E-4</v>
      </c>
      <c r="O1423" s="5">
        <v>45990</v>
      </c>
      <c r="P1423">
        <f t="shared" si="133"/>
        <v>1.0002577336619989</v>
      </c>
      <c r="Q1423" s="6">
        <f t="shared" si="136"/>
        <v>0.9997900440907409</v>
      </c>
      <c r="R1423">
        <f t="shared" si="137"/>
        <v>4.6767840747085157E-4</v>
      </c>
      <c r="T1423" s="5">
        <v>45990</v>
      </c>
      <c r="U1423" s="1">
        <v>4.6767840747085157E-4</v>
      </c>
    </row>
    <row r="1424" spans="3:21" x14ac:dyDescent="0.2">
      <c r="C1424" s="5">
        <v>45991</v>
      </c>
      <c r="D1424" s="6">
        <v>1.0000899999999999</v>
      </c>
      <c r="E1424" s="6">
        <v>90308.6</v>
      </c>
      <c r="F1424" s="6">
        <v>90408.56</v>
      </c>
      <c r="G1424" s="6">
        <v>90329.3</v>
      </c>
      <c r="H1424" s="6">
        <v>90352.3</v>
      </c>
      <c r="I1424" s="5">
        <v>45991</v>
      </c>
      <c r="J1424" s="7">
        <f t="shared" si="134"/>
        <v>-4.8366228640551583E-4</v>
      </c>
      <c r="K1424" s="5">
        <v>45991</v>
      </c>
      <c r="L1424" s="8">
        <f t="shared" si="135"/>
        <v>8.7745615210119816E-4</v>
      </c>
      <c r="M1424" s="5">
        <v>45991</v>
      </c>
      <c r="N1424" s="9">
        <f t="shared" si="132"/>
        <v>3.9379386569568232E-4</v>
      </c>
      <c r="O1424" s="5">
        <v>45991</v>
      </c>
      <c r="P1424">
        <f t="shared" si="133"/>
        <v>1.0002546239149424</v>
      </c>
      <c r="Q1424" s="6">
        <f t="shared" si="136"/>
        <v>0.99991000809927111</v>
      </c>
      <c r="R1424">
        <f t="shared" si="137"/>
        <v>3.445874540178501E-4</v>
      </c>
      <c r="T1424" s="5">
        <v>45991</v>
      </c>
      <c r="U1424" s="1">
        <v>3.445874540178501E-4</v>
      </c>
    </row>
    <row r="1425" spans="3:21" x14ac:dyDescent="0.2">
      <c r="C1425" s="5">
        <v>45992</v>
      </c>
      <c r="D1425" s="6">
        <v>0.99992000000000003</v>
      </c>
      <c r="E1425" s="6">
        <v>86244.1</v>
      </c>
      <c r="F1425" s="6">
        <v>86295.35</v>
      </c>
      <c r="G1425" s="6">
        <v>86268.2</v>
      </c>
      <c r="H1425" s="6">
        <v>86284.800000000003</v>
      </c>
      <c r="I1425" s="5">
        <v>45992</v>
      </c>
      <c r="J1425" s="7">
        <f t="shared" si="134"/>
        <v>-4.7169373980118269E-4</v>
      </c>
      <c r="K1425" s="5">
        <v>45992</v>
      </c>
      <c r="L1425" s="8">
        <f t="shared" si="135"/>
        <v>3.1471619901665655E-4</v>
      </c>
      <c r="M1425" s="5">
        <v>45992</v>
      </c>
      <c r="N1425" s="9">
        <f t="shared" si="132"/>
        <v>-1.5697754078452614E-4</v>
      </c>
      <c r="O1425" s="5">
        <v>45992</v>
      </c>
      <c r="P1425">
        <f t="shared" si="133"/>
        <v>1.0001924231640396</v>
      </c>
      <c r="Q1425" s="6">
        <f t="shared" si="136"/>
        <v>1.000080006400512</v>
      </c>
      <c r="R1425">
        <f t="shared" si="137"/>
        <v>1.1240145290639969E-4</v>
      </c>
      <c r="T1425" s="5">
        <v>45992</v>
      </c>
      <c r="U1425" s="1">
        <v>1.1240145290639969E-4</v>
      </c>
    </row>
    <row r="1426" spans="3:21" x14ac:dyDescent="0.2">
      <c r="C1426" s="5">
        <v>45993</v>
      </c>
      <c r="D1426" s="6">
        <v>1.0002599999999999</v>
      </c>
      <c r="E1426" s="6">
        <v>91241.7</v>
      </c>
      <c r="F1426" s="6">
        <v>91301.78</v>
      </c>
      <c r="G1426" s="6">
        <v>91285</v>
      </c>
      <c r="H1426" s="6">
        <v>91288.5</v>
      </c>
      <c r="I1426" s="5">
        <v>45993</v>
      </c>
      <c r="J1426" s="7">
        <f t="shared" si="134"/>
        <v>-5.1266041177150368E-4</v>
      </c>
      <c r="K1426" s="5">
        <v>45993</v>
      </c>
      <c r="L1426" s="8">
        <f t="shared" si="135"/>
        <v>1.8381990469407719E-4</v>
      </c>
      <c r="M1426" s="5">
        <v>45993</v>
      </c>
      <c r="N1426" s="9">
        <f t="shared" si="132"/>
        <v>-3.2884050707742649E-4</v>
      </c>
      <c r="O1426" s="5">
        <v>45993</v>
      </c>
      <c r="P1426">
        <f t="shared" si="133"/>
        <v>1.0000383414580709</v>
      </c>
      <c r="Q1426" s="6">
        <f t="shared" si="136"/>
        <v>0.99974006758242862</v>
      </c>
      <c r="R1426">
        <f t="shared" si="137"/>
        <v>2.9830692891348446E-4</v>
      </c>
      <c r="T1426" s="5">
        <v>45993</v>
      </c>
      <c r="U1426" s="1">
        <v>2.9830692891348446E-4</v>
      </c>
    </row>
    <row r="1427" spans="3:21" x14ac:dyDescent="0.2">
      <c r="C1427" s="5">
        <v>45994</v>
      </c>
      <c r="D1427" s="6">
        <v>1.0001899999999999</v>
      </c>
      <c r="E1427" s="6">
        <v>93390.1</v>
      </c>
      <c r="F1427" s="6">
        <v>93450.14</v>
      </c>
      <c r="G1427" s="6">
        <v>93412</v>
      </c>
      <c r="H1427" s="6">
        <v>93430.3</v>
      </c>
      <c r="I1427" s="5">
        <v>45994</v>
      </c>
      <c r="J1427" s="7">
        <f t="shared" si="134"/>
        <v>-4.3026726875539399E-4</v>
      </c>
      <c r="K1427" s="5">
        <v>45994</v>
      </c>
      <c r="L1427" s="8">
        <f t="shared" si="135"/>
        <v>4.0829871965057397E-4</v>
      </c>
      <c r="M1427" s="5">
        <v>45994</v>
      </c>
      <c r="N1427" s="9">
        <f t="shared" si="132"/>
        <v>-2.1968549104820021E-5</v>
      </c>
      <c r="O1427" s="5">
        <v>45994</v>
      </c>
      <c r="P1427">
        <f t="shared" si="133"/>
        <v>1.0001959063075407</v>
      </c>
      <c r="Q1427" s="6">
        <f t="shared" si="136"/>
        <v>0.99981003609314234</v>
      </c>
      <c r="R1427">
        <f t="shared" si="137"/>
        <v>3.8586907269187298E-4</v>
      </c>
      <c r="T1427" s="5">
        <v>45994</v>
      </c>
      <c r="U1427" s="1">
        <v>3.8586907269187298E-4</v>
      </c>
    </row>
    <row r="1428" spans="3:21" x14ac:dyDescent="0.2">
      <c r="C1428" s="5">
        <v>45995</v>
      </c>
      <c r="D1428" s="6">
        <v>1.0001599999999999</v>
      </c>
      <c r="E1428" s="6">
        <v>92031.8</v>
      </c>
      <c r="F1428" s="6">
        <v>92409.95</v>
      </c>
      <c r="G1428" s="6">
        <v>92055.2</v>
      </c>
      <c r="H1428" s="6">
        <v>92073.2</v>
      </c>
      <c r="I1428" s="5">
        <v>45995</v>
      </c>
      <c r="J1428" s="7">
        <f t="shared" si="134"/>
        <v>-4.4964224117326413E-4</v>
      </c>
      <c r="K1428" s="5">
        <v>45995</v>
      </c>
      <c r="L1428" s="8">
        <f t="shared" si="135"/>
        <v>3.8536660612328256E-3</v>
      </c>
      <c r="M1428" s="5">
        <v>45995</v>
      </c>
      <c r="N1428" s="9">
        <f t="shared" si="132"/>
        <v>3.4040238200595614E-3</v>
      </c>
      <c r="O1428" s="5">
        <v>45995</v>
      </c>
      <c r="P1428">
        <f t="shared" si="133"/>
        <v>1.0001955348530012</v>
      </c>
      <c r="Q1428" s="6">
        <f t="shared" si="136"/>
        <v>0.99984002559590468</v>
      </c>
      <c r="R1428">
        <f t="shared" si="137"/>
        <v>3.5550293991865213E-4</v>
      </c>
      <c r="T1428" s="5">
        <v>45995</v>
      </c>
      <c r="U1428" s="1">
        <v>3.5550293991865213E-4</v>
      </c>
    </row>
    <row r="1429" spans="3:21" x14ac:dyDescent="0.2">
      <c r="C1429" s="5">
        <v>45996</v>
      </c>
      <c r="D1429" s="6">
        <v>1.0001899999999999</v>
      </c>
      <c r="E1429" s="6">
        <v>89273.7</v>
      </c>
      <c r="F1429" s="6">
        <v>89307.57</v>
      </c>
      <c r="G1429" s="6">
        <v>89309.2</v>
      </c>
      <c r="H1429" s="6">
        <v>89322</v>
      </c>
      <c r="I1429" s="5">
        <v>45996</v>
      </c>
      <c r="J1429" s="7">
        <f t="shared" si="134"/>
        <v>-5.4074024316521025E-4</v>
      </c>
      <c r="K1429" s="5">
        <v>45996</v>
      </c>
      <c r="L1429" s="8">
        <f t="shared" si="135"/>
        <v>-1.8251199204450436E-5</v>
      </c>
      <c r="M1429" s="5">
        <v>45996</v>
      </c>
      <c r="N1429" s="9">
        <f t="shared" si="132"/>
        <v>-5.5899144236966065E-4</v>
      </c>
      <c r="O1429" s="5">
        <v>45996</v>
      </c>
      <c r="P1429">
        <f t="shared" si="133"/>
        <v>1.0001433223005021</v>
      </c>
      <c r="Q1429" s="6">
        <f t="shared" si="136"/>
        <v>0.99981003609314234</v>
      </c>
      <c r="R1429">
        <f t="shared" si="137"/>
        <v>3.3329398312826187E-4</v>
      </c>
      <c r="T1429" s="5">
        <v>45996</v>
      </c>
      <c r="U1429" s="1">
        <v>3.3329398312826187E-4</v>
      </c>
    </row>
    <row r="1430" spans="3:21" x14ac:dyDescent="0.2">
      <c r="C1430" s="5">
        <v>45997</v>
      </c>
      <c r="D1430" s="6">
        <v>1.0001899999999999</v>
      </c>
      <c r="E1430" s="6">
        <v>89185.4</v>
      </c>
      <c r="F1430" s="6">
        <v>89253.49</v>
      </c>
      <c r="G1430" s="6">
        <v>89206.399999999994</v>
      </c>
      <c r="H1430" s="6">
        <v>89231.6</v>
      </c>
      <c r="I1430" s="5">
        <v>45997</v>
      </c>
      <c r="J1430" s="7">
        <f t="shared" si="134"/>
        <v>-5.1775380022336969E-4</v>
      </c>
      <c r="K1430" s="5">
        <v>45997</v>
      </c>
      <c r="L1430" s="8">
        <f t="shared" si="135"/>
        <v>5.2787692362892197E-4</v>
      </c>
      <c r="M1430" s="5">
        <v>45997</v>
      </c>
      <c r="N1430" s="9">
        <f t="shared" si="132"/>
        <v>1.0123123405552281E-5</v>
      </c>
      <c r="O1430" s="5">
        <v>45997</v>
      </c>
      <c r="P1430">
        <f t="shared" si="133"/>
        <v>1.000282490942354</v>
      </c>
      <c r="Q1430" s="6">
        <f t="shared" si="136"/>
        <v>0.99981003609314234</v>
      </c>
      <c r="R1430">
        <f t="shared" si="137"/>
        <v>4.7243300158654201E-4</v>
      </c>
      <c r="T1430" s="5">
        <v>45997</v>
      </c>
      <c r="U1430" s="1">
        <v>4.7243300158654201E-4</v>
      </c>
    </row>
    <row r="1431" spans="3:21" x14ac:dyDescent="0.2">
      <c r="C1431" s="5">
        <v>45998</v>
      </c>
      <c r="D1431" s="6">
        <v>1.0001199999999999</v>
      </c>
      <c r="E1431" s="6">
        <v>90335.4</v>
      </c>
      <c r="F1431" s="6">
        <v>90350</v>
      </c>
      <c r="G1431" s="6">
        <v>90364.6</v>
      </c>
      <c r="H1431" s="6">
        <v>90384.3</v>
      </c>
      <c r="I1431" s="5">
        <v>45998</v>
      </c>
      <c r="J1431" s="7">
        <f t="shared" si="134"/>
        <v>-5.4102316442135117E-4</v>
      </c>
      <c r="K1431" s="5">
        <v>45998</v>
      </c>
      <c r="L1431" s="8">
        <f t="shared" si="135"/>
        <v>-1.6156769354377511E-4</v>
      </c>
      <c r="M1431" s="5">
        <v>45998</v>
      </c>
      <c r="N1431" s="9">
        <f t="shared" si="132"/>
        <v>-7.0259085796512625E-4</v>
      </c>
      <c r="O1431" s="5">
        <v>45998</v>
      </c>
      <c r="P1431">
        <f t="shared" si="133"/>
        <v>1.0002180057234802</v>
      </c>
      <c r="Q1431" s="6">
        <f t="shared" si="136"/>
        <v>0.99988001439827234</v>
      </c>
      <c r="R1431">
        <f t="shared" si="137"/>
        <v>3.3797476426132534E-4</v>
      </c>
      <c r="T1431" s="5">
        <v>45998</v>
      </c>
      <c r="U1431" s="1">
        <v>3.3797476426132534E-4</v>
      </c>
    </row>
    <row r="1432" spans="3:21" x14ac:dyDescent="0.2">
      <c r="C1432" s="5">
        <v>45999</v>
      </c>
      <c r="D1432" s="6">
        <v>1.0000899999999999</v>
      </c>
      <c r="E1432" s="6">
        <v>90598</v>
      </c>
      <c r="F1432" s="6">
        <v>90692.04</v>
      </c>
      <c r="G1432" s="6">
        <v>90613.2</v>
      </c>
      <c r="H1432" s="6">
        <v>90639.1</v>
      </c>
      <c r="I1432" s="5">
        <v>45999</v>
      </c>
      <c r="J1432" s="7">
        <f t="shared" si="134"/>
        <v>-4.5344669132864091E-4</v>
      </c>
      <c r="K1432" s="5">
        <v>45999</v>
      </c>
      <c r="L1432" s="8">
        <f t="shared" si="135"/>
        <v>8.7007191005280149E-4</v>
      </c>
      <c r="M1432" s="5">
        <v>45999</v>
      </c>
      <c r="N1432" s="9">
        <f t="shared" si="132"/>
        <v>4.1662521872416059E-4</v>
      </c>
      <c r="O1432" s="5">
        <v>45999</v>
      </c>
      <c r="P1432">
        <f t="shared" si="133"/>
        <v>1.0002858303205273</v>
      </c>
      <c r="Q1432" s="6">
        <f t="shared" si="136"/>
        <v>0.99991000809927111</v>
      </c>
      <c r="R1432">
        <f t="shared" si="137"/>
        <v>3.7578542906644487E-4</v>
      </c>
      <c r="T1432" s="5">
        <v>45999</v>
      </c>
      <c r="U1432" s="1">
        <v>3.7578542906644487E-4</v>
      </c>
    </row>
    <row r="1433" spans="3:21" x14ac:dyDescent="0.2">
      <c r="C1433" s="5">
        <v>46000</v>
      </c>
      <c r="D1433" s="6">
        <v>1.0001100000000001</v>
      </c>
      <c r="E1433" s="6">
        <v>92636.1</v>
      </c>
      <c r="F1433" s="6">
        <v>92701.440000000002</v>
      </c>
      <c r="G1433" s="6">
        <v>92662.7</v>
      </c>
      <c r="H1433" s="6">
        <v>92676.800000000003</v>
      </c>
      <c r="I1433" s="5">
        <v>46000</v>
      </c>
      <c r="J1433" s="7">
        <f t="shared" si="134"/>
        <v>-4.3916060977501479E-4</v>
      </c>
      <c r="K1433" s="5">
        <v>46000</v>
      </c>
      <c r="L1433" s="8">
        <f t="shared" si="135"/>
        <v>4.1807544999234038E-4</v>
      </c>
      <c r="M1433" s="5">
        <v>46000</v>
      </c>
      <c r="N1433" s="9">
        <f t="shared" si="132"/>
        <v>-2.1085159782674402E-5</v>
      </c>
      <c r="O1433" s="5">
        <v>46000</v>
      </c>
      <c r="P1433">
        <f t="shared" si="133"/>
        <v>1.0001521647869098</v>
      </c>
      <c r="Q1433" s="6">
        <f t="shared" si="136"/>
        <v>0.99989001209866912</v>
      </c>
      <c r="R1433">
        <f t="shared" si="137"/>
        <v>2.6214716146648255E-4</v>
      </c>
      <c r="T1433" s="5">
        <v>46000</v>
      </c>
      <c r="U1433" s="1">
        <v>2.6214716146648255E-4</v>
      </c>
    </row>
    <row r="1434" spans="3:21" x14ac:dyDescent="0.2">
      <c r="C1434" s="5">
        <v>46001</v>
      </c>
      <c r="D1434" s="6">
        <v>1.0002200000000001</v>
      </c>
      <c r="E1434" s="6">
        <v>91971.7</v>
      </c>
      <c r="F1434" s="6">
        <v>92001.59</v>
      </c>
      <c r="G1434" s="6">
        <v>91996.1</v>
      </c>
      <c r="H1434" s="6">
        <v>92017.8</v>
      </c>
      <c r="I1434" s="5">
        <v>46001</v>
      </c>
      <c r="J1434" s="7">
        <f t="shared" si="134"/>
        <v>-5.0099002584288934E-4</v>
      </c>
      <c r="K1434" s="5">
        <v>46001</v>
      </c>
      <c r="L1434" s="8">
        <f t="shared" si="135"/>
        <v>5.9676442805626397E-5</v>
      </c>
      <c r="M1434" s="5">
        <v>46001</v>
      </c>
      <c r="N1434" s="9">
        <f t="shared" si="132"/>
        <v>-4.4131358303726293E-4</v>
      </c>
      <c r="O1434" s="5">
        <v>46001</v>
      </c>
      <c r="P1434">
        <f t="shared" si="133"/>
        <v>1.0002358795644597</v>
      </c>
      <c r="Q1434" s="6">
        <f t="shared" si="136"/>
        <v>0.99978004838935419</v>
      </c>
      <c r="R1434">
        <f t="shared" si="137"/>
        <v>4.5582755279800736E-4</v>
      </c>
      <c r="T1434" s="5">
        <v>46001</v>
      </c>
      <c r="U1434" s="1">
        <v>4.5582755279800736E-4</v>
      </c>
    </row>
    <row r="1435" spans="3:21" x14ac:dyDescent="0.2">
      <c r="C1435" s="5">
        <v>46002</v>
      </c>
      <c r="D1435" s="6">
        <v>1.0002</v>
      </c>
      <c r="E1435" s="6">
        <v>92483.7</v>
      </c>
      <c r="F1435" s="6">
        <v>92530.57</v>
      </c>
      <c r="G1435" s="6">
        <v>92505.2</v>
      </c>
      <c r="H1435" s="6">
        <v>92517.8</v>
      </c>
      <c r="I1435" s="5">
        <v>46002</v>
      </c>
      <c r="J1435" s="7">
        <f t="shared" si="134"/>
        <v>-3.6857772234106108E-4</v>
      </c>
      <c r="K1435" s="5">
        <v>46002</v>
      </c>
      <c r="L1435" s="8">
        <f t="shared" si="135"/>
        <v>2.7425485270027951E-4</v>
      </c>
      <c r="M1435" s="5">
        <v>46002</v>
      </c>
      <c r="N1435" s="9">
        <f t="shared" si="132"/>
        <v>-9.4322869640781569E-5</v>
      </c>
      <c r="O1435" s="5">
        <v>46002</v>
      </c>
      <c r="P1435">
        <f t="shared" si="133"/>
        <v>1.0001362085590866</v>
      </c>
      <c r="Q1435" s="6">
        <f t="shared" si="136"/>
        <v>0.99980003999200162</v>
      </c>
      <c r="R1435">
        <f t="shared" si="137"/>
        <v>3.3617928620926254E-4</v>
      </c>
      <c r="T1435" s="5">
        <v>46002</v>
      </c>
      <c r="U1435" s="1">
        <v>3.3617928620926254E-4</v>
      </c>
    </row>
    <row r="1436" spans="3:21" x14ac:dyDescent="0.2">
      <c r="C1436" s="5">
        <v>46003</v>
      </c>
      <c r="D1436" s="6">
        <v>1.0000599999999999</v>
      </c>
      <c r="E1436" s="6">
        <v>90230.9</v>
      </c>
      <c r="F1436" s="6">
        <v>90335.84</v>
      </c>
      <c r="G1436" s="6">
        <v>90230</v>
      </c>
      <c r="H1436" s="6">
        <v>90270.1</v>
      </c>
      <c r="I1436" s="5">
        <v>46003</v>
      </c>
      <c r="J1436" s="7">
        <f t="shared" si="134"/>
        <v>-4.3425231610479706E-4</v>
      </c>
      <c r="K1436" s="5">
        <v>46003</v>
      </c>
      <c r="L1436" s="8">
        <f t="shared" si="135"/>
        <v>1.1730023273855315E-3</v>
      </c>
      <c r="M1436" s="5">
        <v>46003</v>
      </c>
      <c r="N1436" s="9">
        <f t="shared" si="132"/>
        <v>7.3875001128073442E-4</v>
      </c>
      <c r="O1436" s="5">
        <v>46003</v>
      </c>
      <c r="P1436">
        <f t="shared" si="133"/>
        <v>1.0004444198160258</v>
      </c>
      <c r="Q1436" s="6">
        <f t="shared" si="136"/>
        <v>0.99994000359978408</v>
      </c>
      <c r="R1436">
        <f t="shared" si="137"/>
        <v>5.0431929086054163E-4</v>
      </c>
      <c r="T1436" s="5">
        <v>46003</v>
      </c>
      <c r="U1436" s="1">
        <v>5.0431929086054163E-4</v>
      </c>
    </row>
    <row r="1437" spans="3:21" x14ac:dyDescent="0.2">
      <c r="C1437" s="5">
        <v>46004</v>
      </c>
      <c r="D1437" s="6">
        <v>1.0001800000000001</v>
      </c>
      <c r="E1437" s="6">
        <v>90186.4</v>
      </c>
      <c r="F1437" s="6">
        <v>90250.15</v>
      </c>
      <c r="G1437" s="6">
        <v>90225.5</v>
      </c>
      <c r="H1437" s="6">
        <v>90233.5</v>
      </c>
      <c r="I1437" s="5">
        <v>46004</v>
      </c>
      <c r="J1437" s="7">
        <f t="shared" si="134"/>
        <v>-5.2197908758948525E-4</v>
      </c>
      <c r="K1437" s="5">
        <v>46004</v>
      </c>
      <c r="L1437" s="8">
        <f t="shared" si="135"/>
        <v>2.7320436018635728E-4</v>
      </c>
      <c r="M1437" s="5">
        <v>46004</v>
      </c>
      <c r="N1437" s="9">
        <f t="shared" si="132"/>
        <v>-2.4877472740312797E-4</v>
      </c>
      <c r="O1437" s="5">
        <v>46004</v>
      </c>
      <c r="P1437">
        <f t="shared" si="133"/>
        <v>1.0000886667294724</v>
      </c>
      <c r="Q1437" s="6">
        <f t="shared" si="136"/>
        <v>0.99982003239416894</v>
      </c>
      <c r="R1437">
        <f t="shared" si="137"/>
        <v>2.6864660075408709E-4</v>
      </c>
      <c r="T1437" s="5">
        <v>46004</v>
      </c>
      <c r="U1437" s="1">
        <v>2.6864660075408709E-4</v>
      </c>
    </row>
    <row r="1438" spans="3:21" x14ac:dyDescent="0.2">
      <c r="C1438" s="5">
        <v>46005</v>
      </c>
      <c r="D1438" s="6">
        <v>1.00003</v>
      </c>
      <c r="E1438" s="6">
        <v>88116</v>
      </c>
      <c r="F1438" s="6">
        <v>88200.76</v>
      </c>
      <c r="G1438" s="6">
        <v>88121.600000000006</v>
      </c>
      <c r="H1438" s="6">
        <v>88159.8</v>
      </c>
      <c r="I1438" s="5">
        <v>46005</v>
      </c>
      <c r="J1438" s="7">
        <f t="shared" si="134"/>
        <v>-4.9682508354151106E-4</v>
      </c>
      <c r="K1438" s="5">
        <v>46005</v>
      </c>
      <c r="L1438" s="8">
        <f t="shared" si="135"/>
        <v>8.9830416152213459E-4</v>
      </c>
      <c r="M1438" s="5">
        <v>46005</v>
      </c>
      <c r="N1438" s="9">
        <f t="shared" si="132"/>
        <v>4.0147907798062353E-4</v>
      </c>
      <c r="O1438" s="5">
        <v>46005</v>
      </c>
      <c r="P1438">
        <f t="shared" si="133"/>
        <v>1.000433491902099</v>
      </c>
      <c r="Q1438" s="6">
        <f t="shared" si="136"/>
        <v>0.99997000089997301</v>
      </c>
      <c r="R1438">
        <f t="shared" si="137"/>
        <v>4.6339752163774526E-4</v>
      </c>
      <c r="T1438" s="5">
        <v>46005</v>
      </c>
      <c r="U1438" s="1">
        <v>4.6339752163774526E-4</v>
      </c>
    </row>
    <row r="1439" spans="3:21" x14ac:dyDescent="0.2">
      <c r="C1439" s="5">
        <v>46006</v>
      </c>
      <c r="D1439" s="6">
        <v>0.99983999999999995</v>
      </c>
      <c r="E1439" s="6">
        <v>86391.7</v>
      </c>
      <c r="F1439" s="6">
        <v>86480.75</v>
      </c>
      <c r="G1439" s="6">
        <v>86378.3</v>
      </c>
      <c r="H1439" s="6">
        <v>86429.9</v>
      </c>
      <c r="I1439" s="5">
        <v>46006</v>
      </c>
      <c r="J1439" s="7">
        <f t="shared" si="134"/>
        <v>-4.4197667705269929E-4</v>
      </c>
      <c r="K1439" s="5">
        <v>46006</v>
      </c>
      <c r="L1439" s="8">
        <f t="shared" si="135"/>
        <v>1.1860617770898141E-3</v>
      </c>
      <c r="M1439" s="5">
        <v>46006</v>
      </c>
      <c r="N1439" s="9">
        <f t="shared" si="132"/>
        <v>7.4408510003711489E-4</v>
      </c>
      <c r="O1439" s="5">
        <v>46006</v>
      </c>
      <c r="P1439">
        <f t="shared" si="133"/>
        <v>1.0005973722566894</v>
      </c>
      <c r="Q1439" s="6">
        <f t="shared" si="136"/>
        <v>1.0001600256040968</v>
      </c>
      <c r="R1439">
        <f t="shared" si="137"/>
        <v>4.3718109954371033E-4</v>
      </c>
      <c r="T1439" s="5">
        <v>46006</v>
      </c>
      <c r="U1439" s="1">
        <v>4.3718109954371033E-4</v>
      </c>
    </row>
    <row r="1440" spans="3:21" x14ac:dyDescent="0.2">
      <c r="C1440" s="5">
        <v>46007</v>
      </c>
      <c r="D1440" s="6">
        <v>0.99983</v>
      </c>
      <c r="E1440" s="6">
        <v>87821.3</v>
      </c>
      <c r="F1440" s="6">
        <v>87846.93</v>
      </c>
      <c r="G1440" s="6">
        <v>87806</v>
      </c>
      <c r="H1440" s="6">
        <v>87864.8</v>
      </c>
      <c r="I1440" s="5">
        <v>46007</v>
      </c>
      <c r="J1440" s="7">
        <f t="shared" si="134"/>
        <v>-4.9507880288807344E-4</v>
      </c>
      <c r="K1440" s="5">
        <v>46007</v>
      </c>
      <c r="L1440" s="8">
        <f t="shared" si="135"/>
        <v>4.6614126597263302E-4</v>
      </c>
      <c r="M1440" s="5">
        <v>46007</v>
      </c>
      <c r="N1440" s="9">
        <f t="shared" si="132"/>
        <v>-2.8937536915440423E-5</v>
      </c>
      <c r="O1440" s="5">
        <v>46007</v>
      </c>
      <c r="P1440">
        <f t="shared" si="133"/>
        <v>1.0006696581099241</v>
      </c>
      <c r="Q1440" s="6">
        <f t="shared" si="136"/>
        <v>1.0001700289049138</v>
      </c>
      <c r="R1440">
        <f t="shared" si="137"/>
        <v>4.9941953734495561E-4</v>
      </c>
      <c r="T1440" s="5">
        <v>46007</v>
      </c>
      <c r="U1440" s="1">
        <v>4.9941953734495561E-4</v>
      </c>
    </row>
    <row r="1441" spans="3:21" x14ac:dyDescent="0.2">
      <c r="C1441" s="5">
        <v>46008</v>
      </c>
      <c r="D1441" s="6">
        <v>0.99963999999999997</v>
      </c>
      <c r="E1441" s="6">
        <v>86197.3</v>
      </c>
      <c r="F1441" s="6">
        <v>86000</v>
      </c>
      <c r="G1441" s="6">
        <v>86171.4</v>
      </c>
      <c r="H1441" s="6">
        <v>86240.5</v>
      </c>
      <c r="I1441" s="5">
        <v>46008</v>
      </c>
      <c r="J1441" s="7">
        <f t="shared" si="134"/>
        <v>-5.009247395364949E-4</v>
      </c>
      <c r="K1441" s="5">
        <v>46008</v>
      </c>
      <c r="L1441" s="8">
        <f t="shared" si="135"/>
        <v>-1.9890590149399244E-3</v>
      </c>
      <c r="M1441" s="5">
        <v>46008</v>
      </c>
      <c r="N1441" s="9">
        <f t="shared" si="132"/>
        <v>-2.4899837544764191E-3</v>
      </c>
      <c r="O1441" s="5">
        <v>46008</v>
      </c>
      <c r="P1441">
        <f t="shared" si="133"/>
        <v>1.0008018901863032</v>
      </c>
      <c r="Q1441" s="6">
        <f t="shared" si="136"/>
        <v>1.0003601296466729</v>
      </c>
      <c r="R1441">
        <f t="shared" si="137"/>
        <v>4.4150402858730815E-4</v>
      </c>
      <c r="T1441" s="5">
        <v>46008</v>
      </c>
      <c r="U1441" s="1">
        <v>4.4150402858730815E-4</v>
      </c>
    </row>
    <row r="1442" spans="3:21" x14ac:dyDescent="0.2">
      <c r="C1442" s="5">
        <v>46009</v>
      </c>
      <c r="D1442" s="6">
        <v>0.99939</v>
      </c>
      <c r="E1442" s="6">
        <v>85470.1</v>
      </c>
      <c r="F1442" s="6">
        <v>85461.37</v>
      </c>
      <c r="G1442" s="6">
        <v>85426.5</v>
      </c>
      <c r="H1442" s="6">
        <v>85506.9</v>
      </c>
      <c r="I1442" s="5">
        <v>46009</v>
      </c>
      <c r="J1442" s="7">
        <f t="shared" si="134"/>
        <v>-4.3037462473775054E-4</v>
      </c>
      <c r="K1442" s="5">
        <v>46009</v>
      </c>
      <c r="L1442" s="8">
        <f t="shared" si="135"/>
        <v>4.0818715503965799E-4</v>
      </c>
      <c r="M1442" s="5">
        <v>46009</v>
      </c>
      <c r="N1442" s="9">
        <f t="shared" si="132"/>
        <v>-2.218746969809255E-5</v>
      </c>
      <c r="O1442" s="5">
        <v>46009</v>
      </c>
      <c r="P1442">
        <f t="shared" si="133"/>
        <v>1.0009411599445135</v>
      </c>
      <c r="Q1442" s="6">
        <f t="shared" si="136"/>
        <v>1.0006103723271196</v>
      </c>
      <c r="R1442">
        <f t="shared" si="137"/>
        <v>3.3053120548946985E-4</v>
      </c>
      <c r="T1442" s="5">
        <v>46009</v>
      </c>
      <c r="U1442" s="1">
        <v>3.3053120548946985E-4</v>
      </c>
    </row>
    <row r="1443" spans="3:21" x14ac:dyDescent="0.2">
      <c r="C1443" s="5">
        <v>46010</v>
      </c>
      <c r="D1443" s="6">
        <v>0.99944</v>
      </c>
      <c r="E1443" s="6">
        <v>88101.1</v>
      </c>
      <c r="F1443" s="6">
        <v>88211.88</v>
      </c>
      <c r="G1443" s="6">
        <v>88046.1</v>
      </c>
      <c r="H1443" s="6">
        <v>88141.3</v>
      </c>
      <c r="I1443" s="5">
        <v>46010</v>
      </c>
      <c r="J1443" s="7">
        <f t="shared" si="134"/>
        <v>-4.5608585305636617E-4</v>
      </c>
      <c r="K1443" s="5">
        <v>46010</v>
      </c>
      <c r="L1443" s="8">
        <f t="shared" si="135"/>
        <v>1.8828772654325271E-3</v>
      </c>
      <c r="M1443" s="5">
        <v>46010</v>
      </c>
      <c r="N1443" s="9">
        <f t="shared" si="132"/>
        <v>1.4267914123761609E-3</v>
      </c>
      <c r="O1443" s="5">
        <v>46010</v>
      </c>
      <c r="P1443">
        <f t="shared" si="133"/>
        <v>1.0010812517533427</v>
      </c>
      <c r="Q1443" s="6">
        <f t="shared" si="136"/>
        <v>1.0005603137757144</v>
      </c>
      <c r="R1443">
        <f t="shared" si="137"/>
        <v>5.2051076312669851E-4</v>
      </c>
      <c r="T1443" s="5">
        <v>46010</v>
      </c>
      <c r="U1443" s="1">
        <v>5.2051076312669851E-4</v>
      </c>
    </row>
    <row r="1444" spans="3:21" x14ac:dyDescent="0.2">
      <c r="C1444" s="5">
        <v>46011</v>
      </c>
      <c r="D1444" s="6">
        <v>0.99956999999999996</v>
      </c>
      <c r="E1444" s="6">
        <v>88314.8</v>
      </c>
      <c r="F1444" s="6">
        <v>88392.7</v>
      </c>
      <c r="G1444" s="6">
        <v>88291.7</v>
      </c>
      <c r="H1444" s="6">
        <v>88356</v>
      </c>
      <c r="I1444" s="5">
        <v>46011</v>
      </c>
      <c r="J1444" s="7">
        <f t="shared" si="134"/>
        <v>-4.662954411697801E-4</v>
      </c>
      <c r="K1444" s="5">
        <v>46011</v>
      </c>
      <c r="L1444" s="8">
        <f t="shared" si="135"/>
        <v>1.1439353869049978E-3</v>
      </c>
      <c r="M1444" s="5">
        <v>46011</v>
      </c>
      <c r="N1444" s="9">
        <f t="shared" si="132"/>
        <v>6.7763994573521774E-4</v>
      </c>
      <c r="O1444" s="5">
        <v>46011</v>
      </c>
      <c r="P1444">
        <f t="shared" si="133"/>
        <v>1.0007282677760199</v>
      </c>
      <c r="Q1444" s="6">
        <f t="shared" si="136"/>
        <v>1.0004301849795412</v>
      </c>
      <c r="R1444">
        <f t="shared" si="137"/>
        <v>2.9791024121326499E-4</v>
      </c>
      <c r="T1444" s="5">
        <v>46011</v>
      </c>
      <c r="U1444" s="1">
        <v>2.9791024121326499E-4</v>
      </c>
    </row>
    <row r="1445" spans="3:21" x14ac:dyDescent="0.2">
      <c r="C1445" s="5">
        <v>46012</v>
      </c>
      <c r="D1445" s="6">
        <v>0.99970999999999999</v>
      </c>
      <c r="E1445" s="6">
        <v>88629</v>
      </c>
      <c r="F1445" s="6">
        <v>88465.74</v>
      </c>
      <c r="G1445" s="6">
        <v>88592.9</v>
      </c>
      <c r="H1445" s="6">
        <v>88660.800000000003</v>
      </c>
      <c r="I1445" s="5">
        <v>46012</v>
      </c>
      <c r="J1445" s="7">
        <f t="shared" si="134"/>
        <v>-3.5867034811329145E-4</v>
      </c>
      <c r="K1445" s="5">
        <v>46012</v>
      </c>
      <c r="L1445" s="8">
        <f t="shared" si="135"/>
        <v>-1.4353294677111703E-3</v>
      </c>
      <c r="M1445" s="5">
        <v>46012</v>
      </c>
      <c r="N1445" s="9">
        <f t="shared" si="132"/>
        <v>-1.7939998158244617E-3</v>
      </c>
      <c r="O1445" s="5">
        <v>46012</v>
      </c>
      <c r="P1445">
        <f t="shared" si="133"/>
        <v>1.0007664271064611</v>
      </c>
      <c r="Q1445" s="6">
        <f t="shared" si="136"/>
        <v>1.000290084124396</v>
      </c>
      <c r="R1445">
        <f t="shared" si="137"/>
        <v>4.7609149305794012E-4</v>
      </c>
      <c r="T1445" s="5">
        <v>46012</v>
      </c>
      <c r="U1445" s="1">
        <v>4.7609149305794012E-4</v>
      </c>
    </row>
    <row r="1446" spans="3:21" x14ac:dyDescent="0.2">
      <c r="C1446" s="5">
        <v>46013</v>
      </c>
      <c r="D1446" s="6">
        <v>0.99939</v>
      </c>
      <c r="E1446" s="6">
        <v>88578.3</v>
      </c>
      <c r="F1446" s="6">
        <v>88540.87</v>
      </c>
      <c r="G1446" s="6">
        <v>88538</v>
      </c>
      <c r="H1446" s="6">
        <v>88623.8</v>
      </c>
      <c r="I1446" s="5">
        <v>46013</v>
      </c>
      <c r="J1446" s="7">
        <f t="shared" si="134"/>
        <v>-5.1340610535770303E-4</v>
      </c>
      <c r="K1446" s="5">
        <v>46013</v>
      </c>
      <c r="L1446" s="8">
        <f t="shared" si="135"/>
        <v>3.2415460028409762E-5</v>
      </c>
      <c r="M1446" s="5">
        <v>46013</v>
      </c>
      <c r="N1446" s="9">
        <f t="shared" si="132"/>
        <v>-4.8099064532929325E-4</v>
      </c>
      <c r="O1446" s="5">
        <v>46013</v>
      </c>
      <c r="P1446">
        <f t="shared" si="133"/>
        <v>1.0009690754252412</v>
      </c>
      <c r="Q1446" s="6">
        <f t="shared" si="136"/>
        <v>1.0006103723271196</v>
      </c>
      <c r="R1446">
        <f t="shared" si="137"/>
        <v>3.5842004909113564E-4</v>
      </c>
      <c r="T1446" s="5">
        <v>46013</v>
      </c>
      <c r="U1446" s="1">
        <v>3.5842004909113564E-4</v>
      </c>
    </row>
    <row r="1447" spans="3:21" x14ac:dyDescent="0.2">
      <c r="C1447" s="5">
        <v>46014</v>
      </c>
      <c r="D1447" s="6">
        <v>0.99931000000000003</v>
      </c>
      <c r="E1447" s="6">
        <v>87444</v>
      </c>
      <c r="F1447" s="6">
        <v>87203.02</v>
      </c>
      <c r="G1447" s="6">
        <v>87394.8</v>
      </c>
      <c r="H1447" s="6">
        <v>87486.5</v>
      </c>
      <c r="I1447" s="5">
        <v>46014</v>
      </c>
      <c r="J1447" s="7">
        <f t="shared" si="134"/>
        <v>-4.8578923605356253E-4</v>
      </c>
      <c r="K1447" s="5">
        <v>46014</v>
      </c>
      <c r="L1447" s="8">
        <f t="shared" si="135"/>
        <v>-2.1944097360483555E-3</v>
      </c>
      <c r="M1447" s="5">
        <v>46014</v>
      </c>
      <c r="N1447" s="9">
        <f t="shared" si="132"/>
        <v>-2.680198972101918E-3</v>
      </c>
      <c r="O1447" s="5">
        <v>46014</v>
      </c>
      <c r="P1447">
        <f t="shared" si="133"/>
        <v>1.0010492615121267</v>
      </c>
      <c r="Q1447" s="6">
        <f t="shared" si="136"/>
        <v>1.0006904764287359</v>
      </c>
      <c r="R1447">
        <f t="shared" si="137"/>
        <v>3.5847326246511859E-4</v>
      </c>
      <c r="T1447" s="5">
        <v>46014</v>
      </c>
      <c r="U1447" s="1">
        <v>3.5847326246511859E-4</v>
      </c>
    </row>
    <row r="1448" spans="3:21" x14ac:dyDescent="0.2">
      <c r="C1448" s="5">
        <v>46015</v>
      </c>
      <c r="D1448" s="6">
        <v>0.99921000000000004</v>
      </c>
      <c r="E1448" s="6">
        <v>87636.3</v>
      </c>
      <c r="F1448" s="6">
        <v>87691.1</v>
      </c>
      <c r="G1448" s="6">
        <v>87585.5</v>
      </c>
      <c r="H1448" s="6">
        <v>87675</v>
      </c>
      <c r="I1448" s="5">
        <v>46015</v>
      </c>
      <c r="J1448" s="7">
        <f t="shared" si="134"/>
        <v>-4.4140290846874351E-4</v>
      </c>
      <c r="K1448" s="5">
        <v>46015</v>
      </c>
      <c r="L1448" s="8">
        <f t="shared" si="135"/>
        <v>1.2056790222126474E-3</v>
      </c>
      <c r="M1448" s="5">
        <v>46015</v>
      </c>
      <c r="N1448" s="9">
        <f t="shared" si="132"/>
        <v>7.6427611374390388E-4</v>
      </c>
      <c r="O1448" s="5">
        <v>46015</v>
      </c>
      <c r="P1448">
        <f t="shared" si="133"/>
        <v>1.0010218586409851</v>
      </c>
      <c r="Q1448" s="6">
        <f t="shared" si="136"/>
        <v>1.0007906245934288</v>
      </c>
      <c r="R1448">
        <f t="shared" si="137"/>
        <v>2.3102468440108664E-4</v>
      </c>
      <c r="T1448" s="5">
        <v>46015</v>
      </c>
      <c r="U1448" s="1">
        <v>2.3102468440108664E-4</v>
      </c>
    </row>
    <row r="1449" spans="3:21" x14ac:dyDescent="0.2">
      <c r="C1449" s="5">
        <v>46016</v>
      </c>
      <c r="D1449" s="6">
        <v>0.99931999999999999</v>
      </c>
      <c r="E1449" s="6">
        <v>87178.1</v>
      </c>
      <c r="F1449" s="6">
        <v>87204.13</v>
      </c>
      <c r="G1449" s="6">
        <v>87138.4</v>
      </c>
      <c r="H1449" s="6">
        <v>87216.7</v>
      </c>
      <c r="I1449" s="5">
        <v>46016</v>
      </c>
      <c r="J1449" s="7">
        <f t="shared" si="134"/>
        <v>-4.425757911041265E-4</v>
      </c>
      <c r="K1449" s="5">
        <v>46016</v>
      </c>
      <c r="L1449" s="8">
        <f t="shared" si="135"/>
        <v>7.5431726999819232E-4</v>
      </c>
      <c r="M1449" s="5">
        <v>46016</v>
      </c>
      <c r="N1449" s="9">
        <f t="shared" si="132"/>
        <v>3.1174147889406582E-4</v>
      </c>
      <c r="O1449" s="5">
        <v>46016</v>
      </c>
      <c r="P1449">
        <f t="shared" si="133"/>
        <v>1.0008985705498381</v>
      </c>
      <c r="Q1449" s="6">
        <f t="shared" si="136"/>
        <v>1.0006804627146459</v>
      </c>
      <c r="R1449">
        <f t="shared" si="137"/>
        <v>2.1793577213865688E-4</v>
      </c>
      <c r="T1449" s="5">
        <v>46016</v>
      </c>
      <c r="U1449" s="1">
        <v>2.1793577213865688E-4</v>
      </c>
    </row>
    <row r="1450" spans="3:21" x14ac:dyDescent="0.2">
      <c r="C1450" s="5">
        <v>46017</v>
      </c>
      <c r="D1450" s="6">
        <v>0.99921000000000004</v>
      </c>
      <c r="E1450" s="6">
        <v>87328.8</v>
      </c>
      <c r="F1450" s="6">
        <v>87323.1</v>
      </c>
      <c r="G1450" s="6">
        <v>87265.9</v>
      </c>
      <c r="H1450" s="6">
        <v>87368</v>
      </c>
      <c r="I1450" s="5">
        <v>46017</v>
      </c>
      <c r="J1450" s="7">
        <f t="shared" si="134"/>
        <v>-4.4867686109327314E-4</v>
      </c>
      <c r="K1450" s="5">
        <v>46017</v>
      </c>
      <c r="L1450" s="8">
        <f t="shared" si="135"/>
        <v>6.5546794337778731E-4</v>
      </c>
      <c r="M1450" s="5">
        <v>46017</v>
      </c>
      <c r="N1450" s="9">
        <f t="shared" si="132"/>
        <v>2.0679108228451417E-4</v>
      </c>
      <c r="O1450" s="5">
        <v>46017</v>
      </c>
      <c r="P1450">
        <f t="shared" si="133"/>
        <v>1.0011699873604696</v>
      </c>
      <c r="Q1450" s="6">
        <f t="shared" si="136"/>
        <v>1.0007906245934288</v>
      </c>
      <c r="R1450">
        <f t="shared" si="137"/>
        <v>3.7899124419962197E-4</v>
      </c>
      <c r="T1450" s="5">
        <v>46017</v>
      </c>
      <c r="U1450" s="1">
        <v>3.7899124419962197E-4</v>
      </c>
    </row>
    <row r="1451" spans="3:21" x14ac:dyDescent="0.2">
      <c r="C1451" s="5">
        <v>46018</v>
      </c>
      <c r="D1451" s="6">
        <v>0.99921000000000004</v>
      </c>
      <c r="E1451" s="6">
        <v>87835.6</v>
      </c>
      <c r="F1451" s="6">
        <v>87846.93</v>
      </c>
      <c r="G1451" s="6">
        <v>87786.8</v>
      </c>
      <c r="H1451" s="6">
        <v>87871.7</v>
      </c>
      <c r="I1451" s="5">
        <v>46018</v>
      </c>
      <c r="J1451" s="7">
        <f t="shared" si="134"/>
        <v>-4.1082623870929174E-4</v>
      </c>
      <c r="K1451" s="5">
        <v>46018</v>
      </c>
      <c r="L1451" s="8">
        <f t="shared" si="135"/>
        <v>6.8495491349485462E-4</v>
      </c>
      <c r="M1451" s="5">
        <v>46018</v>
      </c>
      <c r="N1451" s="9">
        <f t="shared" si="132"/>
        <v>2.7412867478556288E-4</v>
      </c>
      <c r="O1451" s="5">
        <v>46018</v>
      </c>
      <c r="P1451">
        <f t="shared" si="133"/>
        <v>1.000967115785061</v>
      </c>
      <c r="Q1451" s="6">
        <f t="shared" si="136"/>
        <v>1.0007906245934288</v>
      </c>
      <c r="R1451">
        <f t="shared" si="137"/>
        <v>1.7633621544655036E-4</v>
      </c>
      <c r="T1451" s="5">
        <v>46018</v>
      </c>
      <c r="U1451" s="1">
        <v>1.7633621544655036E-4</v>
      </c>
    </row>
    <row r="1452" spans="3:21" x14ac:dyDescent="0.2">
      <c r="C1452" s="5">
        <v>46019</v>
      </c>
      <c r="D1452" s="6">
        <v>0.99917</v>
      </c>
      <c r="E1452" s="6">
        <v>87909.9</v>
      </c>
      <c r="F1452" s="6">
        <v>87648.61</v>
      </c>
      <c r="G1452" s="6">
        <v>87849.8</v>
      </c>
      <c r="H1452" s="6">
        <v>87950.9</v>
      </c>
      <c r="I1452" s="5">
        <v>46019</v>
      </c>
      <c r="J1452" s="7">
        <f t="shared" si="134"/>
        <v>-4.6616919212879009E-4</v>
      </c>
      <c r="K1452" s="5">
        <v>46019</v>
      </c>
      <c r="L1452" s="8">
        <f t="shared" si="135"/>
        <v>-2.290158884823896E-3</v>
      </c>
      <c r="M1452" s="5">
        <v>46019</v>
      </c>
      <c r="N1452" s="9">
        <f t="shared" si="132"/>
        <v>-2.7563280769526861E-3</v>
      </c>
      <c r="O1452" s="5">
        <v>46019</v>
      </c>
      <c r="P1452">
        <f t="shared" si="133"/>
        <v>1.0011508278903309</v>
      </c>
      <c r="Q1452" s="6">
        <f t="shared" si="136"/>
        <v>1.0008306894722621</v>
      </c>
      <c r="R1452">
        <f t="shared" si="137"/>
        <v>3.1982155481580005E-4</v>
      </c>
      <c r="T1452" s="5">
        <v>46019</v>
      </c>
      <c r="U1452" s="1">
        <v>3.1982155481580005E-4</v>
      </c>
    </row>
    <row r="1453" spans="3:21" x14ac:dyDescent="0.2">
      <c r="C1453" s="5">
        <v>46020</v>
      </c>
      <c r="D1453" s="6">
        <v>0.99873999999999996</v>
      </c>
      <c r="E1453" s="6">
        <v>87184.6</v>
      </c>
      <c r="F1453" s="6">
        <v>87185.69</v>
      </c>
      <c r="G1453" s="6">
        <v>87126.6</v>
      </c>
      <c r="H1453" s="6">
        <v>87231.2</v>
      </c>
      <c r="I1453" s="5">
        <v>46020</v>
      </c>
      <c r="J1453" s="7">
        <f t="shared" si="134"/>
        <v>-5.3421252946183554E-4</v>
      </c>
      <c r="K1453" s="5">
        <v>46020</v>
      </c>
      <c r="L1453" s="8">
        <f t="shared" si="135"/>
        <v>6.7820849201043654E-4</v>
      </c>
      <c r="M1453" s="5">
        <v>46020</v>
      </c>
      <c r="N1453" s="9">
        <f t="shared" si="132"/>
        <v>1.43995962548601E-4</v>
      </c>
      <c r="O1453" s="5">
        <v>46020</v>
      </c>
      <c r="P1453">
        <f t="shared" si="133"/>
        <v>1.0012005518406548</v>
      </c>
      <c r="Q1453" s="6">
        <f t="shared" si="136"/>
        <v>1.0012615896028998</v>
      </c>
      <c r="R1453">
        <f t="shared" si="137"/>
        <v>-6.0962712852979076E-5</v>
      </c>
      <c r="T1453" s="5">
        <v>46020</v>
      </c>
      <c r="U1453" s="1">
        <v>-6.0962712852979076E-5</v>
      </c>
    </row>
    <row r="1454" spans="3:21" x14ac:dyDescent="0.2">
      <c r="C1454" s="5">
        <v>46021</v>
      </c>
      <c r="D1454" s="6">
        <v>0.99883999999999995</v>
      </c>
      <c r="E1454" s="6">
        <v>88458</v>
      </c>
      <c r="F1454" s="6">
        <v>88483.16</v>
      </c>
      <c r="G1454" s="6">
        <v>88385.9</v>
      </c>
      <c r="H1454" s="6">
        <v>88499</v>
      </c>
      <c r="I1454" s="5">
        <v>46021</v>
      </c>
      <c r="J1454" s="7">
        <f t="shared" si="134"/>
        <v>-4.6328207098385294E-4</v>
      </c>
      <c r="K1454" s="5">
        <v>46021</v>
      </c>
      <c r="L1454" s="8">
        <f t="shared" si="135"/>
        <v>1.1004017609144595E-3</v>
      </c>
      <c r="M1454" s="5">
        <v>46021</v>
      </c>
      <c r="N1454" s="9">
        <f t="shared" si="132"/>
        <v>6.3711968993060658E-4</v>
      </c>
      <c r="O1454" s="5">
        <v>46021</v>
      </c>
      <c r="P1454">
        <f t="shared" si="133"/>
        <v>1.0012796158663317</v>
      </c>
      <c r="Q1454" s="6">
        <f t="shared" si="136"/>
        <v>1.0011613471627088</v>
      </c>
      <c r="R1454">
        <f t="shared" si="137"/>
        <v>1.1812453494915135E-4</v>
      </c>
      <c r="T1454" s="5">
        <v>46021</v>
      </c>
      <c r="U1454" s="1">
        <v>1.1812453494915135E-4</v>
      </c>
    </row>
    <row r="1455" spans="3:21" x14ac:dyDescent="0.2">
      <c r="C1455" s="5">
        <v>46022</v>
      </c>
      <c r="D1455" s="6">
        <v>0.99841999999999997</v>
      </c>
      <c r="E1455" s="6">
        <v>87594.9</v>
      </c>
      <c r="F1455" s="6">
        <v>87552.07</v>
      </c>
      <c r="G1455" s="6">
        <v>87500.1</v>
      </c>
      <c r="H1455" s="6">
        <v>87643.3</v>
      </c>
      <c r="I1455" s="5">
        <v>46022</v>
      </c>
      <c r="J1455" s="7">
        <f t="shared" si="134"/>
        <v>-5.5223844834697839E-4</v>
      </c>
      <c r="K1455" s="5">
        <v>46022</v>
      </c>
      <c r="L1455" s="8">
        <f t="shared" si="135"/>
        <v>5.9394217835180942E-4</v>
      </c>
      <c r="M1455" s="5">
        <v>46022</v>
      </c>
      <c r="N1455" s="9">
        <f t="shared" si="132"/>
        <v>4.1703730004831029E-5</v>
      </c>
      <c r="O1455" s="5">
        <v>46022</v>
      </c>
      <c r="P1455">
        <f t="shared" si="133"/>
        <v>1.0016365695582061</v>
      </c>
      <c r="Q1455" s="6">
        <f t="shared" si="136"/>
        <v>1.0015825003505539</v>
      </c>
      <c r="R1455">
        <f t="shared" si="137"/>
        <v>5.3982321232512655E-5</v>
      </c>
      <c r="T1455" s="5">
        <v>46022</v>
      </c>
      <c r="U1455" s="1">
        <v>5.3982321232512655E-5</v>
      </c>
    </row>
    <row r="1456" spans="3:21" x14ac:dyDescent="0.2">
      <c r="C1456" s="5">
        <v>46023</v>
      </c>
      <c r="D1456" s="6">
        <v>0.99856999999999996</v>
      </c>
      <c r="E1456" s="6">
        <v>88810.1</v>
      </c>
      <c r="F1456" s="6">
        <v>88739.43</v>
      </c>
      <c r="G1456" s="6">
        <v>88697.600000000006</v>
      </c>
      <c r="H1456" s="6">
        <v>88848.2</v>
      </c>
      <c r="I1456" s="5">
        <v>46023</v>
      </c>
      <c r="J1456" s="7">
        <f t="shared" si="134"/>
        <v>-4.2882129294674815E-4</v>
      </c>
      <c r="K1456" s="5">
        <v>46023</v>
      </c>
      <c r="L1456" s="8">
        <f t="shared" si="135"/>
        <v>4.7160238833956266E-4</v>
      </c>
      <c r="M1456" s="5">
        <v>46023</v>
      </c>
      <c r="N1456" s="9">
        <f t="shared" si="132"/>
        <v>4.2781095392814507E-5</v>
      </c>
      <c r="O1456" s="5">
        <v>46023</v>
      </c>
      <c r="P1456">
        <f t="shared" si="133"/>
        <v>1.0016979038891693</v>
      </c>
      <c r="Q1456" s="6">
        <f t="shared" si="136"/>
        <v>1.0014320478283947</v>
      </c>
      <c r="R1456">
        <f t="shared" si="137"/>
        <v>2.6544065412011862E-4</v>
      </c>
      <c r="T1456" s="5">
        <v>46023</v>
      </c>
      <c r="U1456" s="1">
        <v>2.6544065412011862E-4</v>
      </c>
    </row>
    <row r="1457" spans="3:21" x14ac:dyDescent="0.2">
      <c r="C1457" s="5">
        <v>46024</v>
      </c>
      <c r="D1457" s="6">
        <v>0.99953999999999998</v>
      </c>
      <c r="E1457" s="6">
        <v>89953.8</v>
      </c>
      <c r="F1457" s="6">
        <v>89932.07</v>
      </c>
      <c r="G1457" s="6">
        <v>89917.5</v>
      </c>
      <c r="H1457" s="6">
        <v>89991.8</v>
      </c>
      <c r="I1457" s="5">
        <v>46024</v>
      </c>
      <c r="J1457" s="7">
        <f t="shared" si="134"/>
        <v>-4.2226069486330978E-4</v>
      </c>
      <c r="K1457" s="5">
        <v>46024</v>
      </c>
      <c r="L1457" s="8">
        <f t="shared" si="135"/>
        <v>1.6203742319356059E-4</v>
      </c>
      <c r="M1457" s="5">
        <v>46024</v>
      </c>
      <c r="N1457" s="9">
        <f t="shared" si="132"/>
        <v>-2.6022327166974916E-4</v>
      </c>
      <c r="O1457" s="5">
        <v>46024</v>
      </c>
      <c r="P1457">
        <f t="shared" si="133"/>
        <v>1.0008263130091473</v>
      </c>
      <c r="Q1457" s="6">
        <f t="shared" si="136"/>
        <v>1.0004602116973809</v>
      </c>
      <c r="R1457">
        <f t="shared" si="137"/>
        <v>3.6586596804669277E-4</v>
      </c>
      <c r="T1457" s="5">
        <v>46024</v>
      </c>
      <c r="U1457" s="1">
        <v>3.6586596804669277E-4</v>
      </c>
    </row>
    <row r="1458" spans="3:21" x14ac:dyDescent="0.2">
      <c r="C1458" s="5">
        <v>46025</v>
      </c>
      <c r="D1458" s="6">
        <v>0.99953000000000003</v>
      </c>
      <c r="E1458" s="6">
        <v>90599.9</v>
      </c>
      <c r="F1458" s="6">
        <v>90638.44</v>
      </c>
      <c r="G1458" s="6">
        <v>90566</v>
      </c>
      <c r="H1458" s="6">
        <v>90640.4</v>
      </c>
      <c r="I1458" s="5">
        <v>46025</v>
      </c>
      <c r="J1458" s="7">
        <f t="shared" si="134"/>
        <v>-4.4682062303343767E-4</v>
      </c>
      <c r="K1458" s="5">
        <v>46025</v>
      </c>
      <c r="L1458" s="8">
        <f t="shared" si="135"/>
        <v>7.9985866660780343E-4</v>
      </c>
      <c r="M1458" s="5">
        <v>46025</v>
      </c>
      <c r="N1458" s="9">
        <f t="shared" si="132"/>
        <v>3.5303804357436576E-4</v>
      </c>
      <c r="O1458" s="5">
        <v>46025</v>
      </c>
      <c r="P1458">
        <f t="shared" si="133"/>
        <v>1.0008215003422918</v>
      </c>
      <c r="Q1458" s="6">
        <f t="shared" si="136"/>
        <v>1.0004702210038718</v>
      </c>
      <c r="R1458">
        <f t="shared" si="137"/>
        <v>3.5105261095189544E-4</v>
      </c>
      <c r="T1458" s="5">
        <v>46025</v>
      </c>
      <c r="U1458" s="1">
        <v>3.5105261095189544E-4</v>
      </c>
    </row>
    <row r="1459" spans="3:21" x14ac:dyDescent="0.2">
      <c r="C1459" s="5">
        <v>46026</v>
      </c>
      <c r="D1459" s="6">
        <v>0.99948000000000004</v>
      </c>
      <c r="E1459" s="6">
        <v>91490.7</v>
      </c>
      <c r="F1459" s="6">
        <v>91576.51</v>
      </c>
      <c r="G1459" s="6">
        <v>91463.5</v>
      </c>
      <c r="H1459" s="6">
        <v>91531.199999999997</v>
      </c>
      <c r="I1459" s="5">
        <v>46026</v>
      </c>
      <c r="J1459" s="7">
        <f t="shared" si="134"/>
        <v>-4.4247207509570506E-4</v>
      </c>
      <c r="K1459" s="5">
        <v>46026</v>
      </c>
      <c r="L1459" s="8">
        <f t="shared" si="135"/>
        <v>1.2355748467967524E-3</v>
      </c>
      <c r="M1459" s="5">
        <v>46026</v>
      </c>
      <c r="N1459" s="9">
        <f t="shared" si="132"/>
        <v>7.9310277170104742E-4</v>
      </c>
      <c r="O1459" s="5">
        <v>46026</v>
      </c>
      <c r="P1459">
        <f t="shared" si="133"/>
        <v>1.0007401859758265</v>
      </c>
      <c r="Q1459" s="6">
        <f t="shared" si="136"/>
        <v>1.000520270540681</v>
      </c>
      <c r="R1459">
        <f t="shared" si="137"/>
        <v>2.1977692640117049E-4</v>
      </c>
      <c r="T1459" s="5">
        <v>46026</v>
      </c>
      <c r="U1459" s="1">
        <v>2.1977692640117049E-4</v>
      </c>
    </row>
    <row r="1460" spans="3:21" x14ac:dyDescent="0.2">
      <c r="C1460" s="5">
        <v>46027</v>
      </c>
      <c r="D1460" s="6">
        <v>0.99995000000000001</v>
      </c>
      <c r="E1460" s="6">
        <v>93825.5</v>
      </c>
      <c r="F1460" s="6">
        <v>93903.62</v>
      </c>
      <c r="G1460" s="6">
        <v>93829.1</v>
      </c>
      <c r="H1460" s="6">
        <v>93862.9</v>
      </c>
      <c r="I1460" s="5">
        <v>46027</v>
      </c>
      <c r="J1460" s="7">
        <f t="shared" si="134"/>
        <v>-3.9845348907815742E-4</v>
      </c>
      <c r="K1460" s="5">
        <v>46027</v>
      </c>
      <c r="L1460" s="8">
        <f t="shared" si="135"/>
        <v>7.9420989863474673E-4</v>
      </c>
      <c r="M1460" s="5">
        <v>46027</v>
      </c>
      <c r="N1460" s="9">
        <f t="shared" si="132"/>
        <v>3.9575640955658931E-4</v>
      </c>
      <c r="O1460" s="5">
        <v>46027</v>
      </c>
      <c r="P1460">
        <f t="shared" si="133"/>
        <v>1.0003602293957845</v>
      </c>
      <c r="Q1460" s="6">
        <f t="shared" si="136"/>
        <v>1.0000500025001251</v>
      </c>
      <c r="R1460">
        <f t="shared" si="137"/>
        <v>3.1016327871139686E-4</v>
      </c>
      <c r="T1460" s="5">
        <v>46027</v>
      </c>
      <c r="U1460" s="1">
        <v>3.1016327871139686E-4</v>
      </c>
    </row>
    <row r="1461" spans="3:21" x14ac:dyDescent="0.2">
      <c r="C1461" s="5">
        <v>46028</v>
      </c>
      <c r="D1461" s="6">
        <v>0.99956</v>
      </c>
      <c r="E1461" s="6">
        <v>93714.6</v>
      </c>
      <c r="F1461" s="6">
        <v>93745.01</v>
      </c>
      <c r="G1461" s="6">
        <v>93669.1</v>
      </c>
      <c r="H1461" s="6">
        <v>93763.3</v>
      </c>
      <c r="I1461" s="5">
        <v>46028</v>
      </c>
      <c r="J1461" s="7">
        <f t="shared" si="134"/>
        <v>-5.1939298211557282E-4</v>
      </c>
      <c r="K1461" s="5">
        <v>46028</v>
      </c>
      <c r="L1461" s="8">
        <f t="shared" si="135"/>
        <v>8.1040599301145132E-4</v>
      </c>
      <c r="M1461" s="5">
        <v>46028</v>
      </c>
      <c r="N1461" s="9">
        <f t="shared" si="132"/>
        <v>2.9101301089587851E-4</v>
      </c>
      <c r="O1461" s="5">
        <v>46028</v>
      </c>
      <c r="P1461">
        <f t="shared" si="133"/>
        <v>1.0010056678242878</v>
      </c>
      <c r="Q1461" s="6">
        <f t="shared" si="136"/>
        <v>1.0004401936852214</v>
      </c>
      <c r="R1461">
        <f t="shared" si="137"/>
        <v>5.6506565077519275E-4</v>
      </c>
      <c r="T1461" s="5">
        <v>46028</v>
      </c>
      <c r="U1461" s="1">
        <v>5.6506565077519275E-4</v>
      </c>
    </row>
    <row r="1462" spans="3:21" x14ac:dyDescent="0.2">
      <c r="C1462" s="5">
        <v>46029</v>
      </c>
      <c r="D1462" s="6">
        <v>0.99899000000000004</v>
      </c>
      <c r="E1462" s="6">
        <v>91332</v>
      </c>
      <c r="F1462" s="6">
        <v>91306.99</v>
      </c>
      <c r="G1462" s="6">
        <v>91256.6</v>
      </c>
      <c r="H1462" s="6">
        <v>91369.9</v>
      </c>
      <c r="I1462" s="5">
        <v>46029</v>
      </c>
      <c r="J1462" s="7">
        <f t="shared" si="134"/>
        <v>-4.1479743329033065E-4</v>
      </c>
      <c r="K1462" s="5">
        <v>46029</v>
      </c>
      <c r="L1462" s="8">
        <f t="shared" si="135"/>
        <v>5.5217923963855127E-4</v>
      </c>
      <c r="M1462" s="5">
        <v>46029</v>
      </c>
      <c r="N1462" s="9">
        <f t="shared" si="132"/>
        <v>1.3738180634822062E-4</v>
      </c>
      <c r="O1462" s="5">
        <v>46029</v>
      </c>
      <c r="P1462">
        <f t="shared" si="133"/>
        <v>1.0012415540355437</v>
      </c>
      <c r="Q1462" s="6">
        <f t="shared" si="136"/>
        <v>1.0010110211313425</v>
      </c>
      <c r="R1462">
        <f t="shared" si="137"/>
        <v>2.3027355097869073E-4</v>
      </c>
      <c r="T1462" s="5">
        <v>46029</v>
      </c>
      <c r="U1462" s="1">
        <v>2.3027355097869073E-4</v>
      </c>
    </row>
    <row r="1463" spans="3:21" x14ac:dyDescent="0.2">
      <c r="C1463" s="5">
        <v>46030</v>
      </c>
      <c r="D1463" s="6">
        <v>0.99912000000000001</v>
      </c>
      <c r="E1463" s="6">
        <v>91061.9</v>
      </c>
      <c r="F1463" s="6">
        <v>91024</v>
      </c>
      <c r="G1463" s="6">
        <v>90970.1</v>
      </c>
      <c r="H1463" s="6">
        <v>91104.7</v>
      </c>
      <c r="I1463" s="5">
        <v>46030</v>
      </c>
      <c r="J1463" s="7">
        <f t="shared" si="134"/>
        <v>-4.6978915467591587E-4</v>
      </c>
      <c r="K1463" s="5">
        <v>46030</v>
      </c>
      <c r="L1463" s="8">
        <f t="shared" si="135"/>
        <v>5.9250237165831606E-4</v>
      </c>
      <c r="M1463" s="5">
        <v>46030</v>
      </c>
      <c r="N1463" s="9">
        <f t="shared" si="132"/>
        <v>1.2271321698240019E-4</v>
      </c>
      <c r="O1463" s="5">
        <v>46030</v>
      </c>
      <c r="P1463">
        <f t="shared" si="133"/>
        <v>1.0014796070357184</v>
      </c>
      <c r="Q1463" s="6">
        <f t="shared" si="136"/>
        <v>1.0008807750820723</v>
      </c>
      <c r="R1463">
        <f t="shared" si="137"/>
        <v>5.9812606846083383E-4</v>
      </c>
      <c r="T1463" s="5">
        <v>46030</v>
      </c>
      <c r="U1463" s="1">
        <v>5.9812606846083383E-4</v>
      </c>
    </row>
    <row r="1464" spans="3:21" x14ac:dyDescent="0.2">
      <c r="C1464" s="5">
        <v>46031</v>
      </c>
      <c r="D1464" s="6">
        <v>0.99863999999999997</v>
      </c>
      <c r="E1464" s="6">
        <v>90608.4</v>
      </c>
      <c r="F1464" s="6">
        <v>90570.03</v>
      </c>
      <c r="G1464" s="6">
        <v>90489.9</v>
      </c>
      <c r="H1464" s="6">
        <v>90643.1</v>
      </c>
      <c r="I1464" s="5">
        <v>46031</v>
      </c>
      <c r="J1464" s="7">
        <f t="shared" si="134"/>
        <v>-3.8282009331114714E-4</v>
      </c>
      <c r="K1464" s="5">
        <v>46031</v>
      </c>
      <c r="L1464" s="8">
        <f t="shared" si="135"/>
        <v>8.8551318986986017E-4</v>
      </c>
      <c r="M1464" s="5">
        <v>46031</v>
      </c>
      <c r="N1464" s="9">
        <f t="shared" si="132"/>
        <v>5.0269309655871309E-4</v>
      </c>
      <c r="O1464" s="5">
        <v>46031</v>
      </c>
      <c r="P1464">
        <f t="shared" si="133"/>
        <v>1.0016930066228387</v>
      </c>
      <c r="Q1464" s="6">
        <f t="shared" si="136"/>
        <v>1.0013618521188816</v>
      </c>
      <c r="R1464">
        <f t="shared" si="137"/>
        <v>3.306494632724153E-4</v>
      </c>
      <c r="T1464" s="5">
        <v>46031</v>
      </c>
      <c r="U1464" s="1">
        <v>3.306494632724153E-4</v>
      </c>
    </row>
    <row r="1465" spans="3:21" x14ac:dyDescent="0.2">
      <c r="C1465" s="5">
        <v>46032</v>
      </c>
      <c r="D1465" s="6">
        <v>0.99860000000000004</v>
      </c>
      <c r="E1465" s="6">
        <v>90479.6</v>
      </c>
      <c r="F1465" s="6">
        <v>90414.99</v>
      </c>
      <c r="G1465" s="6">
        <v>90361.7</v>
      </c>
      <c r="H1465" s="6">
        <v>90514.7</v>
      </c>
      <c r="I1465" s="5">
        <v>46032</v>
      </c>
      <c r="J1465" s="7">
        <f t="shared" si="134"/>
        <v>-3.8778231602150002E-4</v>
      </c>
      <c r="K1465" s="5">
        <v>46032</v>
      </c>
      <c r="L1465" s="8">
        <f t="shared" si="135"/>
        <v>5.897410075287224E-4</v>
      </c>
      <c r="M1465" s="5">
        <v>46032</v>
      </c>
      <c r="N1465" s="9">
        <f t="shared" si="132"/>
        <v>2.0195869150722238E-4</v>
      </c>
      <c r="O1465" s="5">
        <v>46032</v>
      </c>
      <c r="P1465">
        <f t="shared" si="133"/>
        <v>1.0016931952364774</v>
      </c>
      <c r="Q1465" s="6">
        <f t="shared" si="136"/>
        <v>1.001401962747847</v>
      </c>
      <c r="R1465">
        <f t="shared" si="137"/>
        <v>2.9078248182235589E-4</v>
      </c>
      <c r="T1465" s="5">
        <v>46032</v>
      </c>
      <c r="U1465" s="1">
        <v>2.9078248182235589E-4</v>
      </c>
    </row>
    <row r="1466" spans="3:21" x14ac:dyDescent="0.2">
      <c r="C1466" s="5">
        <v>46033</v>
      </c>
      <c r="D1466" s="6">
        <v>0.99848000000000003</v>
      </c>
      <c r="E1466" s="6">
        <v>90962.6</v>
      </c>
      <c r="F1466" s="6">
        <v>90849.64</v>
      </c>
      <c r="G1466" s="6">
        <v>90863.1</v>
      </c>
      <c r="H1466" s="6">
        <v>91004</v>
      </c>
      <c r="I1466" s="5">
        <v>46033</v>
      </c>
      <c r="J1466" s="7">
        <f t="shared" si="134"/>
        <v>-4.5492505823913434E-4</v>
      </c>
      <c r="K1466" s="5">
        <v>46033</v>
      </c>
      <c r="L1466" s="8">
        <f t="shared" si="135"/>
        <v>-1.4813494146695855E-4</v>
      </c>
      <c r="M1466" s="5">
        <v>46033</v>
      </c>
      <c r="N1466" s="9">
        <f t="shared" si="132"/>
        <v>-6.0305999970609284E-4</v>
      </c>
      <c r="O1466" s="5">
        <v>46033</v>
      </c>
      <c r="P1466">
        <f t="shared" si="133"/>
        <v>1.001550684491284</v>
      </c>
      <c r="Q1466" s="6">
        <f t="shared" si="136"/>
        <v>1.0015223139171541</v>
      </c>
      <c r="R1466">
        <f t="shared" si="137"/>
        <v>2.8327049642575964E-5</v>
      </c>
      <c r="T1466" s="5">
        <v>46033</v>
      </c>
      <c r="U1466" s="1">
        <v>2.8327049642575964E-5</v>
      </c>
    </row>
    <row r="1467" spans="3:21" x14ac:dyDescent="0.2">
      <c r="C1467" s="5">
        <v>46034</v>
      </c>
      <c r="D1467" s="6">
        <v>0.99880999999999998</v>
      </c>
      <c r="E1467" s="6">
        <v>91248.7</v>
      </c>
      <c r="F1467" s="6">
        <v>91197.22</v>
      </c>
      <c r="G1467" s="6">
        <v>91166</v>
      </c>
      <c r="H1467" s="6">
        <v>91295.1</v>
      </c>
      <c r="I1467" s="5">
        <v>46034</v>
      </c>
      <c r="J1467" s="7">
        <f t="shared" si="134"/>
        <v>-5.0824195383989638E-4</v>
      </c>
      <c r="K1467" s="5">
        <v>46034</v>
      </c>
      <c r="L1467" s="8">
        <f t="shared" si="135"/>
        <v>3.4245222999803834E-4</v>
      </c>
      <c r="M1467" s="5">
        <v>46034</v>
      </c>
      <c r="N1467" s="9">
        <f t="shared" si="132"/>
        <v>-1.6578972384185804E-4</v>
      </c>
      <c r="O1467" s="5">
        <v>46034</v>
      </c>
      <c r="P1467">
        <f t="shared" si="133"/>
        <v>1.0014160981067504</v>
      </c>
      <c r="Q1467" s="6">
        <f t="shared" si="136"/>
        <v>1.0011914177871668</v>
      </c>
      <c r="R1467">
        <f t="shared" si="137"/>
        <v>2.2438777318383994E-4</v>
      </c>
      <c r="T1467" s="5">
        <v>46034</v>
      </c>
      <c r="U1467" s="1">
        <v>2.2438777318383994E-4</v>
      </c>
    </row>
    <row r="1468" spans="3:21" x14ac:dyDescent="0.2">
      <c r="C1468" s="5">
        <v>46035</v>
      </c>
      <c r="D1468" s="6">
        <v>0.99939999999999996</v>
      </c>
      <c r="E1468" s="6">
        <v>95389.5</v>
      </c>
      <c r="F1468" s="6">
        <v>95383.64</v>
      </c>
      <c r="G1468" s="6">
        <v>95352</v>
      </c>
      <c r="H1468" s="6">
        <v>95412.800000000003</v>
      </c>
      <c r="I1468" s="5">
        <v>46035</v>
      </c>
      <c r="J1468" s="7">
        <f t="shared" si="134"/>
        <v>-2.4420203578558549E-4</v>
      </c>
      <c r="K1468" s="5">
        <v>46035</v>
      </c>
      <c r="L1468" s="8">
        <f t="shared" si="135"/>
        <v>3.3182313952512184E-4</v>
      </c>
      <c r="M1468" s="5">
        <v>46035</v>
      </c>
      <c r="N1468" s="9">
        <f t="shared" si="132"/>
        <v>8.762110373953635E-5</v>
      </c>
      <c r="O1468" s="5">
        <v>46035</v>
      </c>
      <c r="P1468">
        <f t="shared" si="133"/>
        <v>1.0006376373856869</v>
      </c>
      <c r="Q1468" s="6">
        <f t="shared" si="136"/>
        <v>1.0006003602161297</v>
      </c>
      <c r="R1468">
        <f t="shared" si="137"/>
        <v>3.7254109312501006E-5</v>
      </c>
      <c r="T1468" s="5">
        <v>46035</v>
      </c>
      <c r="U1468" s="1">
        <v>3.7254109312501006E-5</v>
      </c>
    </row>
    <row r="1469" spans="3:21" x14ac:dyDescent="0.2">
      <c r="C1469" s="5">
        <v>46036</v>
      </c>
      <c r="D1469" s="6">
        <v>0.99992999999999999</v>
      </c>
      <c r="E1469" s="6">
        <v>96900</v>
      </c>
      <c r="F1469" s="6">
        <v>97038.53</v>
      </c>
      <c r="G1469" s="6">
        <v>96905.9</v>
      </c>
      <c r="H1469" s="6">
        <v>96950.8</v>
      </c>
      <c r="I1469" s="5">
        <v>46036</v>
      </c>
      <c r="J1469" s="7">
        <f t="shared" si="134"/>
        <v>-5.2397711003934896E-4</v>
      </c>
      <c r="K1469" s="5">
        <v>46036</v>
      </c>
      <c r="L1469" s="8">
        <f t="shared" si="135"/>
        <v>1.3686473166237005E-3</v>
      </c>
      <c r="M1469" s="5">
        <v>46036</v>
      </c>
      <c r="N1469" s="9">
        <f t="shared" si="132"/>
        <v>8.4467020658435157E-4</v>
      </c>
      <c r="O1469" s="5">
        <v>46036</v>
      </c>
      <c r="P1469">
        <f t="shared" si="133"/>
        <v>1.0004633360817041</v>
      </c>
      <c r="Q1469" s="6">
        <f t="shared" si="136"/>
        <v>1.000070004900343</v>
      </c>
      <c r="R1469">
        <f t="shared" si="137"/>
        <v>3.9322632457240481E-4</v>
      </c>
      <c r="T1469" s="5">
        <v>46036</v>
      </c>
      <c r="U1469" s="1">
        <v>3.9322632457240481E-4</v>
      </c>
    </row>
    <row r="1470" spans="3:21" x14ac:dyDescent="0.2">
      <c r="C1470" s="5">
        <v>46037</v>
      </c>
      <c r="D1470" s="6">
        <v>0.99973999999999996</v>
      </c>
      <c r="E1470" s="6">
        <v>95559.9</v>
      </c>
      <c r="F1470" s="6">
        <v>95551.77</v>
      </c>
      <c r="G1470" s="6">
        <v>95521</v>
      </c>
      <c r="H1470" s="6">
        <v>95599.7</v>
      </c>
      <c r="I1470" s="5">
        <v>46037</v>
      </c>
      <c r="J1470" s="7">
        <f t="shared" si="134"/>
        <v>-4.1631929807314159E-4</v>
      </c>
      <c r="K1470" s="5">
        <v>46037</v>
      </c>
      <c r="L1470" s="8">
        <f t="shared" si="135"/>
        <v>3.2212811842426348E-4</v>
      </c>
      <c r="M1470" s="5">
        <v>46037</v>
      </c>
      <c r="N1470" s="9">
        <f t="shared" si="132"/>
        <v>-9.419117964887811E-5</v>
      </c>
      <c r="O1470" s="5">
        <v>46037</v>
      </c>
      <c r="P1470">
        <f t="shared" si="133"/>
        <v>1.0008239025973347</v>
      </c>
      <c r="Q1470" s="6">
        <f t="shared" si="136"/>
        <v>1.0002600676175806</v>
      </c>
      <c r="R1470">
        <f t="shared" si="137"/>
        <v>5.6352957004078769E-4</v>
      </c>
      <c r="T1470" s="5">
        <v>46037</v>
      </c>
      <c r="U1470" s="1">
        <v>5.6352957004078769E-4</v>
      </c>
    </row>
    <row r="1471" spans="3:21" x14ac:dyDescent="0.2">
      <c r="C1471" s="5">
        <v>46038</v>
      </c>
      <c r="D1471" s="6">
        <v>0.99953000000000003</v>
      </c>
      <c r="E1471" s="6">
        <v>95504.9</v>
      </c>
      <c r="F1471" s="6">
        <v>95512.19</v>
      </c>
      <c r="G1471" s="6">
        <v>95467.9</v>
      </c>
      <c r="H1471" s="6">
        <v>95550.6</v>
      </c>
      <c r="I1471" s="5">
        <v>46038</v>
      </c>
      <c r="J1471" s="7">
        <f t="shared" si="134"/>
        <v>-4.7828061780890585E-4</v>
      </c>
      <c r="K1471" s="5">
        <v>46038</v>
      </c>
      <c r="L1471" s="8">
        <f t="shared" si="135"/>
        <v>4.6392557079403813E-4</v>
      </c>
      <c r="M1471" s="5">
        <v>46038</v>
      </c>
      <c r="N1471" s="9">
        <f t="shared" si="132"/>
        <v>-1.4355047014867714E-5</v>
      </c>
      <c r="O1471" s="5">
        <v>46038</v>
      </c>
      <c r="P1471">
        <f t="shared" si="133"/>
        <v>1.0008662597585158</v>
      </c>
      <c r="Q1471" s="6">
        <f t="shared" si="136"/>
        <v>1.0004702210038718</v>
      </c>
      <c r="R1471">
        <f t="shared" si="137"/>
        <v>3.9577428745288663E-4</v>
      </c>
      <c r="T1471" s="5">
        <v>46038</v>
      </c>
      <c r="U1471" s="1">
        <v>3.9577428745288663E-4</v>
      </c>
    </row>
    <row r="1472" spans="3:21" x14ac:dyDescent="0.2">
      <c r="C1472" s="5">
        <v>46039</v>
      </c>
      <c r="D1472" s="6">
        <v>0.99958000000000002</v>
      </c>
      <c r="E1472" s="6">
        <v>95103</v>
      </c>
      <c r="F1472" s="6">
        <v>95168.83</v>
      </c>
      <c r="G1472" s="6">
        <v>95083.1</v>
      </c>
      <c r="H1472" s="6">
        <v>95144</v>
      </c>
      <c r="I1472" s="5">
        <v>46039</v>
      </c>
      <c r="J1472" s="7">
        <f t="shared" si="134"/>
        <v>-4.3092575464558986E-4</v>
      </c>
      <c r="K1472" s="5">
        <v>46039</v>
      </c>
      <c r="L1472" s="8">
        <f t="shared" si="135"/>
        <v>9.0163236158682166E-4</v>
      </c>
      <c r="M1472" s="5">
        <v>46039</v>
      </c>
      <c r="N1472" s="9">
        <f t="shared" si="132"/>
        <v>4.707066069412318E-4</v>
      </c>
      <c r="O1472" s="5">
        <v>46039</v>
      </c>
      <c r="P1472">
        <f t="shared" si="133"/>
        <v>1.0006404923693064</v>
      </c>
      <c r="Q1472" s="6">
        <f t="shared" si="136"/>
        <v>1.0004201764741192</v>
      </c>
      <c r="R1472">
        <f t="shared" si="137"/>
        <v>2.2019911690613188E-4</v>
      </c>
      <c r="T1472" s="5">
        <v>46039</v>
      </c>
      <c r="U1472" s="1">
        <v>2.2019911690613188E-4</v>
      </c>
    </row>
    <row r="1473" spans="3:21" x14ac:dyDescent="0.2">
      <c r="C1473" s="5">
        <v>46040</v>
      </c>
      <c r="D1473" s="6">
        <v>0.99958000000000002</v>
      </c>
      <c r="E1473" s="6">
        <v>93624.6</v>
      </c>
      <c r="F1473" s="6">
        <v>93628.05</v>
      </c>
      <c r="G1473" s="6">
        <v>93593.9</v>
      </c>
      <c r="H1473" s="6">
        <v>93660.6</v>
      </c>
      <c r="I1473" s="5">
        <v>46040</v>
      </c>
      <c r="J1473" s="7">
        <f t="shared" si="134"/>
        <v>-3.843665319248435E-4</v>
      </c>
      <c r="K1473" s="5">
        <v>46040</v>
      </c>
      <c r="L1473" s="8">
        <f t="shared" si="135"/>
        <v>3.6487420654560538E-4</v>
      </c>
      <c r="M1473" s="5">
        <v>46040</v>
      </c>
      <c r="N1473" s="9">
        <f t="shared" si="132"/>
        <v>-1.9492325379238116E-5</v>
      </c>
      <c r="O1473" s="5">
        <v>46040</v>
      </c>
      <c r="P1473">
        <f t="shared" si="133"/>
        <v>1.0007126532818915</v>
      </c>
      <c r="Q1473" s="6">
        <f t="shared" si="136"/>
        <v>1.0004201764741192</v>
      </c>
      <c r="R1473">
        <f t="shared" si="137"/>
        <v>2.9231124041929755E-4</v>
      </c>
      <c r="T1473" s="5">
        <v>46040</v>
      </c>
      <c r="U1473" s="1">
        <v>2.9231124041929755E-4</v>
      </c>
    </row>
    <row r="1474" spans="3:21" x14ac:dyDescent="0.2">
      <c r="C1474" s="5">
        <v>46041</v>
      </c>
      <c r="D1474" s="6">
        <v>0.99926999999999999</v>
      </c>
      <c r="E1474" s="6">
        <v>92584.3</v>
      </c>
      <c r="F1474" s="6">
        <v>92615.92</v>
      </c>
      <c r="G1474" s="6">
        <v>92521.600000000006</v>
      </c>
      <c r="H1474" s="6">
        <v>92631.4</v>
      </c>
      <c r="I1474" s="5">
        <v>46041</v>
      </c>
      <c r="J1474" s="7">
        <f t="shared" si="134"/>
        <v>-5.0846689135640043E-4</v>
      </c>
      <c r="K1474" s="5">
        <v>46041</v>
      </c>
      <c r="L1474" s="8">
        <f t="shared" si="135"/>
        <v>1.0194376232143892E-3</v>
      </c>
      <c r="M1474" s="5">
        <v>46041</v>
      </c>
      <c r="N1474" s="9">
        <f t="shared" si="132"/>
        <v>5.1097073185798873E-4</v>
      </c>
      <c r="O1474" s="5">
        <v>46041</v>
      </c>
      <c r="P1474">
        <f t="shared" si="133"/>
        <v>1.001186749904887</v>
      </c>
      <c r="Q1474" s="6">
        <f t="shared" si="136"/>
        <v>1.0007305332893013</v>
      </c>
      <c r="R1474">
        <f t="shared" si="137"/>
        <v>4.5577969410958444E-4</v>
      </c>
      <c r="T1474" s="5">
        <v>46041</v>
      </c>
      <c r="U1474" s="1">
        <v>4.5577969410958444E-4</v>
      </c>
    </row>
    <row r="1475" spans="3:21" x14ac:dyDescent="0.2">
      <c r="C1475" s="5">
        <v>46042</v>
      </c>
      <c r="D1475" s="6">
        <v>0.99872000000000005</v>
      </c>
      <c r="E1475" s="6">
        <v>88379.9</v>
      </c>
      <c r="F1475" s="6">
        <v>88371.68</v>
      </c>
      <c r="G1475" s="6">
        <v>88275.6</v>
      </c>
      <c r="H1475" s="6">
        <v>88423.2</v>
      </c>
      <c r="I1475" s="5">
        <v>46042</v>
      </c>
      <c r="J1475" s="7">
        <f t="shared" si="134"/>
        <v>-4.8969048846912245E-4</v>
      </c>
      <c r="K1475" s="5">
        <v>46042</v>
      </c>
      <c r="L1475" s="8">
        <f t="shared" si="135"/>
        <v>1.0884094812155022E-3</v>
      </c>
      <c r="M1475" s="5">
        <v>46042</v>
      </c>
      <c r="N1475" s="9">
        <f t="shared" si="132"/>
        <v>5.9871899274637971E-4</v>
      </c>
      <c r="O1475" s="5">
        <v>46042</v>
      </c>
      <c r="P1475">
        <f t="shared" si="133"/>
        <v>1.0016720362138574</v>
      </c>
      <c r="Q1475" s="6">
        <f t="shared" si="136"/>
        <v>1.0012816404998397</v>
      </c>
      <c r="R1475">
        <f t="shared" si="137"/>
        <v>3.8982001780679822E-4</v>
      </c>
      <c r="T1475" s="5">
        <v>46042</v>
      </c>
      <c r="U1475" s="1">
        <v>3.8982001780679822E-4</v>
      </c>
    </row>
    <row r="1476" spans="3:21" x14ac:dyDescent="0.2">
      <c r="C1476" s="5">
        <v>46043</v>
      </c>
      <c r="D1476" s="6">
        <v>0.99909000000000003</v>
      </c>
      <c r="E1476" s="6">
        <v>89410.1</v>
      </c>
      <c r="F1476" s="6">
        <v>89423.87</v>
      </c>
      <c r="G1476" s="6">
        <v>89336</v>
      </c>
      <c r="H1476" s="6">
        <v>89453.9</v>
      </c>
      <c r="I1476" s="5">
        <v>46043</v>
      </c>
      <c r="J1476" s="7">
        <f t="shared" si="134"/>
        <v>-4.8963767929613314E-4</v>
      </c>
      <c r="K1476" s="5">
        <v>46043</v>
      </c>
      <c r="L1476" s="8">
        <f t="shared" si="135"/>
        <v>9.8359004208824381E-4</v>
      </c>
      <c r="M1476" s="5">
        <v>46043</v>
      </c>
      <c r="N1476" s="9">
        <f t="shared" si="132"/>
        <v>4.9395236279211067E-4</v>
      </c>
      <c r="O1476" s="5">
        <v>46043</v>
      </c>
      <c r="P1476">
        <f t="shared" si="133"/>
        <v>1.001319736724277</v>
      </c>
      <c r="Q1476" s="6">
        <f t="shared" si="136"/>
        <v>1.0009108288542574</v>
      </c>
      <c r="R1476">
        <f t="shared" si="137"/>
        <v>4.0845233584417833E-4</v>
      </c>
      <c r="T1476" s="5">
        <v>46043</v>
      </c>
      <c r="U1476" s="1">
        <v>4.0845233584417833E-4</v>
      </c>
    </row>
    <row r="1477" spans="3:21" x14ac:dyDescent="0.2">
      <c r="C1477" s="5">
        <v>46044</v>
      </c>
      <c r="D1477" s="6">
        <v>0.99895</v>
      </c>
      <c r="E1477" s="6">
        <v>89511.7</v>
      </c>
      <c r="F1477" s="6">
        <v>89460.25</v>
      </c>
      <c r="G1477" s="6">
        <v>89441.1</v>
      </c>
      <c r="H1477" s="6">
        <v>89557.9</v>
      </c>
      <c r="I1477" s="5">
        <v>46044</v>
      </c>
      <c r="J1477" s="7">
        <f t="shared" si="134"/>
        <v>-5.1586738858321924E-4</v>
      </c>
      <c r="K1477" s="5">
        <v>46044</v>
      </c>
      <c r="L1477" s="8">
        <f t="shared" si="135"/>
        <v>2.1410738463630455E-4</v>
      </c>
      <c r="M1477" s="5">
        <v>46044</v>
      </c>
      <c r="N1477" s="9">
        <f t="shared" si="132"/>
        <v>-3.0176000394691472E-4</v>
      </c>
      <c r="O1477" s="5">
        <v>46044</v>
      </c>
      <c r="P1477">
        <f t="shared" si="133"/>
        <v>1.0013058873381475</v>
      </c>
      <c r="Q1477" s="6">
        <f t="shared" si="136"/>
        <v>1.0010511036588419</v>
      </c>
      <c r="R1477">
        <f t="shared" si="137"/>
        <v>2.544837727001813E-4</v>
      </c>
      <c r="T1477" s="5">
        <v>46044</v>
      </c>
      <c r="U1477" s="1">
        <v>2.544837727001813E-4</v>
      </c>
    </row>
    <row r="1478" spans="3:21" x14ac:dyDescent="0.2">
      <c r="C1478" s="5">
        <v>46045</v>
      </c>
      <c r="D1478" s="6">
        <v>0.99870000000000003</v>
      </c>
      <c r="E1478" s="6">
        <v>89551.7</v>
      </c>
      <c r="F1478" s="6">
        <v>89516.72</v>
      </c>
      <c r="G1478" s="6">
        <v>89454.1</v>
      </c>
      <c r="H1478" s="6">
        <v>89600.9</v>
      </c>
      <c r="I1478" s="5">
        <v>46045</v>
      </c>
      <c r="J1478" s="7">
        <f t="shared" si="134"/>
        <v>-5.4910162732737166E-4</v>
      </c>
      <c r="K1478" s="5">
        <v>46045</v>
      </c>
      <c r="L1478" s="8">
        <f t="shared" si="135"/>
        <v>7.0002381109412917E-4</v>
      </c>
      <c r="M1478" s="5">
        <v>46045</v>
      </c>
      <c r="N1478" s="9">
        <f t="shared" si="132"/>
        <v>1.5092218376675751E-4</v>
      </c>
      <c r="O1478" s="5">
        <v>46045</v>
      </c>
      <c r="P1478">
        <f t="shared" si="133"/>
        <v>1.0016410650825394</v>
      </c>
      <c r="Q1478" s="6">
        <f t="shared" si="136"/>
        <v>1.0013016921998599</v>
      </c>
      <c r="R1478">
        <f t="shared" si="137"/>
        <v>3.3887427355908329E-4</v>
      </c>
      <c r="T1478" s="5">
        <v>46045</v>
      </c>
      <c r="U1478" s="1">
        <v>3.3887427355908329E-4</v>
      </c>
    </row>
    <row r="1479" spans="3:21" x14ac:dyDescent="0.2">
      <c r="C1479" s="5">
        <v>46046</v>
      </c>
      <c r="D1479" s="6">
        <v>0.99839</v>
      </c>
      <c r="E1479" s="6">
        <v>89177.1</v>
      </c>
      <c r="F1479" s="6">
        <v>89128.69</v>
      </c>
      <c r="G1479" s="6">
        <v>89058</v>
      </c>
      <c r="H1479" s="6">
        <v>89227.7</v>
      </c>
      <c r="I1479" s="5">
        <v>46046</v>
      </c>
      <c r="J1479" s="7">
        <f t="shared" si="134"/>
        <v>-5.6708847140508238E-4</v>
      </c>
      <c r="K1479" s="5">
        <v>46046</v>
      </c>
      <c r="L1479" s="8">
        <f t="shared" si="135"/>
        <v>7.9375238608549853E-4</v>
      </c>
      <c r="M1479" s="5">
        <v>46046</v>
      </c>
      <c r="N1479" s="9">
        <f t="shared" si="132"/>
        <v>2.2666391468041615E-4</v>
      </c>
      <c r="O1479" s="5">
        <v>46046</v>
      </c>
      <c r="P1479">
        <f t="shared" si="133"/>
        <v>1.0019054997866559</v>
      </c>
      <c r="Q1479" s="6">
        <f t="shared" si="136"/>
        <v>1.0016125962800109</v>
      </c>
      <c r="R1479">
        <f t="shared" si="137"/>
        <v>2.9238918211589528E-4</v>
      </c>
      <c r="T1479" s="5">
        <v>46046</v>
      </c>
      <c r="U1479" s="1">
        <v>2.9238918211589528E-4</v>
      </c>
    </row>
    <row r="1480" spans="3:21" x14ac:dyDescent="0.2">
      <c r="C1480" s="5">
        <v>46047</v>
      </c>
      <c r="D1480" s="6">
        <v>0.99885999999999997</v>
      </c>
      <c r="E1480" s="6">
        <v>86625.600000000006</v>
      </c>
      <c r="F1480" s="6">
        <v>86563.18</v>
      </c>
      <c r="G1480" s="6">
        <v>86549.7</v>
      </c>
      <c r="H1480" s="6">
        <v>86669.4</v>
      </c>
      <c r="I1480" s="5">
        <v>46047</v>
      </c>
      <c r="J1480" s="7">
        <f t="shared" si="134"/>
        <v>-5.0536867683390399E-4</v>
      </c>
      <c r="K1480" s="5">
        <v>46047</v>
      </c>
      <c r="L1480" s="8">
        <f t="shared" si="135"/>
        <v>1.5574866232922731E-4</v>
      </c>
      <c r="M1480" s="5">
        <v>46047</v>
      </c>
      <c r="N1480" s="9">
        <f t="shared" ref="N1480:N1489" si="138">J1480+L1480</f>
        <v>-3.4962001450467668E-4</v>
      </c>
      <c r="O1480" s="5">
        <v>46047</v>
      </c>
      <c r="P1480">
        <f t="shared" ref="P1480:P1489" si="139">(1/G1480)*H1480</f>
        <v>1.0013830203917518</v>
      </c>
      <c r="Q1480" s="6">
        <f t="shared" si="136"/>
        <v>1.0011413010832348</v>
      </c>
      <c r="R1480">
        <f t="shared" si="137"/>
        <v>2.4141460565417575E-4</v>
      </c>
      <c r="T1480" s="5">
        <v>46047</v>
      </c>
      <c r="U1480" s="1">
        <v>2.4141460565417575E-4</v>
      </c>
    </row>
    <row r="1481" spans="3:21" x14ac:dyDescent="0.2">
      <c r="C1481" s="5">
        <v>46048</v>
      </c>
      <c r="D1481" s="6">
        <v>0.99887999999999999</v>
      </c>
      <c r="E1481" s="6">
        <v>88305.1</v>
      </c>
      <c r="F1481" s="6">
        <v>88311.6</v>
      </c>
      <c r="G1481" s="6">
        <v>88223.6</v>
      </c>
      <c r="H1481" s="6">
        <v>88345.1</v>
      </c>
      <c r="I1481" s="5">
        <v>46048</v>
      </c>
      <c r="J1481" s="7">
        <f t="shared" ref="J1481:J1489" si="140">(E1481-H1481)/H1481</f>
        <v>-4.5276987631458898E-4</v>
      </c>
      <c r="K1481" s="5">
        <v>46048</v>
      </c>
      <c r="L1481" s="8">
        <f t="shared" ref="L1481:L1489" si="141">(F1481-G1481)/G1481</f>
        <v>9.9746553076501062E-4</v>
      </c>
      <c r="M1481" s="5">
        <v>46048</v>
      </c>
      <c r="N1481" s="9">
        <f t="shared" si="138"/>
        <v>5.4469565445042158E-4</v>
      </c>
      <c r="O1481" s="5">
        <v>46048</v>
      </c>
      <c r="P1481">
        <f t="shared" si="139"/>
        <v>1.0013771825225903</v>
      </c>
      <c r="Q1481" s="6">
        <f t="shared" ref="Q1481:Q1489" si="142">1/D1481</f>
        <v>1.0011212558065032</v>
      </c>
      <c r="R1481">
        <f t="shared" ref="R1481:R1489" si="143">LN(P1481/Q1481)</f>
        <v>2.5560740780803244E-4</v>
      </c>
      <c r="T1481" s="5">
        <v>46048</v>
      </c>
      <c r="U1481" s="1">
        <v>2.5560740780803244E-4</v>
      </c>
    </row>
    <row r="1482" spans="3:21" x14ac:dyDescent="0.2">
      <c r="C1482" s="5">
        <v>46049</v>
      </c>
      <c r="D1482" s="6">
        <v>0.99856999999999996</v>
      </c>
      <c r="E1482" s="6">
        <v>89202.3</v>
      </c>
      <c r="F1482" s="6">
        <v>89136.9</v>
      </c>
      <c r="G1482" s="6">
        <v>89092.5</v>
      </c>
      <c r="H1482" s="6">
        <v>89247.2</v>
      </c>
      <c r="I1482" s="5">
        <v>46049</v>
      </c>
      <c r="J1482" s="7">
        <f t="shared" si="140"/>
        <v>-5.0309701592872588E-4</v>
      </c>
      <c r="K1482" s="5">
        <v>46049</v>
      </c>
      <c r="L1482" s="8">
        <f t="shared" si="141"/>
        <v>4.9835844768071592E-4</v>
      </c>
      <c r="M1482" s="5">
        <v>46049</v>
      </c>
      <c r="N1482" s="9">
        <f t="shared" si="138"/>
        <v>-4.738568248009961E-6</v>
      </c>
      <c r="O1482" s="5">
        <v>46049</v>
      </c>
      <c r="P1482">
        <f t="shared" si="139"/>
        <v>1.0017363975643292</v>
      </c>
      <c r="Q1482" s="6">
        <f t="shared" si="142"/>
        <v>1.0014320478283947</v>
      </c>
      <c r="R1482">
        <f t="shared" si="143"/>
        <v>3.0386834315046198E-4</v>
      </c>
      <c r="T1482" s="5">
        <v>46049</v>
      </c>
      <c r="U1482" s="1">
        <v>3.0386834315046198E-4</v>
      </c>
    </row>
    <row r="1483" spans="3:21" x14ac:dyDescent="0.2">
      <c r="C1483" s="5">
        <v>46050</v>
      </c>
      <c r="D1483" s="6">
        <v>0.99846000000000001</v>
      </c>
      <c r="E1483" s="6">
        <v>89261.7</v>
      </c>
      <c r="F1483" s="6">
        <v>89194.06</v>
      </c>
      <c r="G1483" s="6">
        <v>89148</v>
      </c>
      <c r="H1483" s="6">
        <v>89301.9</v>
      </c>
      <c r="I1483" s="5">
        <v>46050</v>
      </c>
      <c r="J1483" s="7">
        <f t="shared" si="140"/>
        <v>-4.5015839528606997E-4</v>
      </c>
      <c r="K1483" s="5">
        <v>46050</v>
      </c>
      <c r="L1483" s="8">
        <f t="shared" si="141"/>
        <v>5.1666891012695369E-4</v>
      </c>
      <c r="M1483" s="5">
        <v>46050</v>
      </c>
      <c r="N1483" s="9">
        <f t="shared" si="138"/>
        <v>6.6510514840883723E-5</v>
      </c>
      <c r="O1483" s="5">
        <v>46050</v>
      </c>
      <c r="P1483">
        <f t="shared" si="139"/>
        <v>1.0017263427109975</v>
      </c>
      <c r="Q1483" s="6">
        <f t="shared" si="142"/>
        <v>1.0015423752578971</v>
      </c>
      <c r="R1483">
        <f t="shared" si="143"/>
        <v>1.8366727535586798E-4</v>
      </c>
      <c r="T1483" s="5">
        <v>46050</v>
      </c>
      <c r="U1483" s="1">
        <v>1.8366727535586798E-4</v>
      </c>
    </row>
    <row r="1484" spans="3:21" x14ac:dyDescent="0.2">
      <c r="C1484" s="5">
        <v>46051</v>
      </c>
      <c r="D1484" s="6">
        <v>0.99831999999999999</v>
      </c>
      <c r="E1484" s="6">
        <v>84599.8</v>
      </c>
      <c r="F1484" s="6">
        <v>84614.57</v>
      </c>
      <c r="G1484" s="6">
        <v>84472</v>
      </c>
      <c r="H1484" s="6">
        <v>84649.600000000006</v>
      </c>
      <c r="I1484" s="5">
        <v>46051</v>
      </c>
      <c r="J1484" s="7">
        <f t="shared" si="140"/>
        <v>-5.8830756435946426E-4</v>
      </c>
      <c r="K1484" s="5">
        <v>46051</v>
      </c>
      <c r="L1484" s="8">
        <f t="shared" si="141"/>
        <v>1.6877781986931407E-3</v>
      </c>
      <c r="M1484" s="5">
        <v>46051</v>
      </c>
      <c r="N1484" s="9">
        <f t="shared" si="138"/>
        <v>1.0994706343336765E-3</v>
      </c>
      <c r="O1484" s="5">
        <v>46051</v>
      </c>
      <c r="P1484">
        <f t="shared" si="139"/>
        <v>1.0021024718249836</v>
      </c>
      <c r="Q1484" s="6">
        <f t="shared" si="142"/>
        <v>1.0016828271496114</v>
      </c>
      <c r="R1484">
        <f t="shared" si="143"/>
        <v>4.1885194159475288E-4</v>
      </c>
      <c r="T1484" s="5">
        <v>46051</v>
      </c>
      <c r="U1484" s="1">
        <v>4.1885194159475288E-4</v>
      </c>
    </row>
    <row r="1485" spans="3:21" x14ac:dyDescent="0.2">
      <c r="C1485" s="5">
        <v>46052</v>
      </c>
      <c r="D1485" s="6">
        <v>0.99841000000000002</v>
      </c>
      <c r="E1485" s="6">
        <v>84222.5</v>
      </c>
      <c r="F1485" s="6">
        <v>84156.7</v>
      </c>
      <c r="G1485" s="6">
        <v>84106.2</v>
      </c>
      <c r="H1485" s="6">
        <v>84260.5</v>
      </c>
      <c r="I1485" s="5">
        <v>46052</v>
      </c>
      <c r="J1485" s="7">
        <f t="shared" si="140"/>
        <v>-4.5098237014971426E-4</v>
      </c>
      <c r="K1485" s="5">
        <v>46052</v>
      </c>
      <c r="L1485" s="8">
        <f t="shared" si="141"/>
        <v>6.004313594003772E-4</v>
      </c>
      <c r="M1485" s="5">
        <v>46052</v>
      </c>
      <c r="N1485" s="9">
        <f t="shared" si="138"/>
        <v>1.4944898925066294E-4</v>
      </c>
      <c r="O1485" s="5">
        <v>46052</v>
      </c>
      <c r="P1485">
        <f t="shared" si="139"/>
        <v>1.0018345853218906</v>
      </c>
      <c r="Q1485" s="6">
        <f t="shared" si="142"/>
        <v>1.0015925321260803</v>
      </c>
      <c r="R1485">
        <f t="shared" si="143"/>
        <v>2.4163913414171473E-4</v>
      </c>
      <c r="T1485" s="5">
        <v>46052</v>
      </c>
      <c r="U1485" s="1">
        <v>2.4163913414171473E-4</v>
      </c>
    </row>
    <row r="1486" spans="3:21" x14ac:dyDescent="0.2">
      <c r="C1486" s="5">
        <v>46053</v>
      </c>
      <c r="D1486" s="6">
        <v>0.99878</v>
      </c>
      <c r="E1486" s="6">
        <v>78704.399999999994</v>
      </c>
      <c r="F1486" s="6">
        <v>78610.81</v>
      </c>
      <c r="G1486" s="6">
        <v>78642.600000000006</v>
      </c>
      <c r="H1486" s="6">
        <v>78737.7</v>
      </c>
      <c r="I1486" s="5">
        <v>46053</v>
      </c>
      <c r="J1486" s="7">
        <f t="shared" si="140"/>
        <v>-4.2292319943309126E-4</v>
      </c>
      <c r="K1486" s="5">
        <v>46053</v>
      </c>
      <c r="L1486" s="8">
        <f t="shared" si="141"/>
        <v>-4.0423383764026302E-4</v>
      </c>
      <c r="M1486" s="5">
        <v>46053</v>
      </c>
      <c r="N1486" s="9">
        <f t="shared" si="138"/>
        <v>-8.2715703707335428E-4</v>
      </c>
      <c r="O1486" s="5">
        <v>46053</v>
      </c>
      <c r="P1486">
        <f t="shared" si="139"/>
        <v>1.0012092682591875</v>
      </c>
      <c r="Q1486" s="6">
        <f t="shared" si="142"/>
        <v>1.0012214902180661</v>
      </c>
      <c r="R1486">
        <f t="shared" si="143"/>
        <v>-1.2207122595303858E-5</v>
      </c>
      <c r="T1486" s="5">
        <v>46053</v>
      </c>
      <c r="U1486" s="1">
        <v>-1.2207122595303858E-5</v>
      </c>
    </row>
    <row r="1487" spans="3:21" x14ac:dyDescent="0.2">
      <c r="C1487" s="5">
        <v>46054</v>
      </c>
      <c r="D1487" s="6">
        <v>0.99895</v>
      </c>
      <c r="E1487" s="6">
        <v>76938.5</v>
      </c>
      <c r="F1487" s="6">
        <v>77004.320000000007</v>
      </c>
      <c r="G1487" s="6">
        <v>76869</v>
      </c>
      <c r="H1487" s="6">
        <v>76976.399999999994</v>
      </c>
      <c r="I1487" s="5">
        <v>46054</v>
      </c>
      <c r="J1487" s="7">
        <f t="shared" si="140"/>
        <v>-4.9235869695119785E-4</v>
      </c>
      <c r="K1487" s="5">
        <v>46054</v>
      </c>
      <c r="L1487" s="8">
        <f t="shared" si="141"/>
        <v>1.7603975594844084E-3</v>
      </c>
      <c r="M1487" s="5">
        <v>46054</v>
      </c>
      <c r="N1487" s="9">
        <f t="shared" si="138"/>
        <v>1.2680388625332106E-3</v>
      </c>
      <c r="O1487" s="5">
        <v>46054</v>
      </c>
      <c r="P1487">
        <f t="shared" si="139"/>
        <v>1.0013971822190999</v>
      </c>
      <c r="Q1487" s="6">
        <f t="shared" si="142"/>
        <v>1.0010511036588419</v>
      </c>
      <c r="R1487">
        <f t="shared" si="143"/>
        <v>3.4565543204724731E-4</v>
      </c>
      <c r="T1487" s="5">
        <v>46054</v>
      </c>
      <c r="U1487" s="1">
        <v>3.4565543204724731E-4</v>
      </c>
    </row>
    <row r="1488" spans="3:21" x14ac:dyDescent="0.2">
      <c r="C1488" s="5">
        <v>46055</v>
      </c>
      <c r="D1488" s="6">
        <v>0.99904000000000004</v>
      </c>
      <c r="E1488" s="6">
        <v>78693.899999999994</v>
      </c>
      <c r="F1488" s="6">
        <v>78690.16</v>
      </c>
      <c r="G1488" s="6">
        <v>78649.5</v>
      </c>
      <c r="H1488" s="6">
        <v>78738.100000000006</v>
      </c>
      <c r="I1488" s="5">
        <v>46055</v>
      </c>
      <c r="J1488" s="7">
        <f t="shared" si="140"/>
        <v>-5.6135466819762778E-4</v>
      </c>
      <c r="K1488" s="5">
        <v>46055</v>
      </c>
      <c r="L1488" s="8">
        <f t="shared" si="141"/>
        <v>5.1697722172427659E-4</v>
      </c>
      <c r="M1488" s="5">
        <v>46055</v>
      </c>
      <c r="N1488" s="9">
        <f t="shared" si="138"/>
        <v>-4.4377446473351195E-5</v>
      </c>
      <c r="O1488" s="5">
        <v>46055</v>
      </c>
      <c r="P1488">
        <f t="shared" si="139"/>
        <v>1.0011265170153656</v>
      </c>
      <c r="Q1488" s="6">
        <f t="shared" si="142"/>
        <v>1.0009609224855862</v>
      </c>
      <c r="R1488">
        <f t="shared" si="143"/>
        <v>1.6542187607779447E-4</v>
      </c>
      <c r="T1488" s="5">
        <v>46055</v>
      </c>
      <c r="U1488" s="1">
        <v>1.6542187607779447E-4</v>
      </c>
    </row>
    <row r="1489" spans="3:21" x14ac:dyDescent="0.2">
      <c r="C1489" s="5">
        <v>46056</v>
      </c>
      <c r="D1489" s="6">
        <v>0.99897999999999998</v>
      </c>
      <c r="E1489" s="6">
        <v>77985.399999999994</v>
      </c>
      <c r="F1489" s="6">
        <v>78018.070000000007</v>
      </c>
      <c r="G1489" s="6">
        <v>77944.3</v>
      </c>
      <c r="H1489" s="6">
        <v>78021.8</v>
      </c>
      <c r="I1489" s="5">
        <v>46056</v>
      </c>
      <c r="J1489" s="7">
        <f t="shared" si="140"/>
        <v>-4.6653627575893829E-4</v>
      </c>
      <c r="K1489" s="5">
        <v>46056</v>
      </c>
      <c r="L1489" s="8">
        <f t="shared" si="141"/>
        <v>9.4644508963457328E-4</v>
      </c>
      <c r="M1489" s="5">
        <v>46056</v>
      </c>
      <c r="N1489" s="9">
        <f t="shared" si="138"/>
        <v>4.7990881387563499E-4</v>
      </c>
      <c r="O1489" s="5">
        <v>46056</v>
      </c>
      <c r="P1489">
        <f t="shared" si="139"/>
        <v>1.0009942997756089</v>
      </c>
      <c r="Q1489" s="6">
        <f t="shared" si="142"/>
        <v>1.0010210414622915</v>
      </c>
      <c r="R1489">
        <f t="shared" si="143"/>
        <v>-2.6714766998431044E-5</v>
      </c>
      <c r="T1489" s="5">
        <v>46056</v>
      </c>
      <c r="U1489" s="1">
        <v>-2.6714766998431044E-5</v>
      </c>
    </row>
    <row r="1490" spans="3:21" x14ac:dyDescent="0.2">
      <c r="C1490" s="11">
        <v>0.99991082321187841</v>
      </c>
      <c r="D1490" s="12">
        <f>AVERAGE(D8:D1489)</f>
        <v>0.99999253711200942</v>
      </c>
    </row>
    <row r="1491" spans="3:21" x14ac:dyDescent="0.2">
      <c r="C1491" s="13">
        <v>8.9389065900190496E-4</v>
      </c>
      <c r="D1491" s="10">
        <f>STDEV(D8:D1489)</f>
        <v>7.0832221829356362E-4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usdc </vt:lpstr>
      <vt:lpstr>usdt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16466421606</dc:creator>
  <cp:lastModifiedBy>永沛 李</cp:lastModifiedBy>
  <dcterms:created xsi:type="dcterms:W3CDTF">2026-02-06T17:30:41Z</dcterms:created>
  <dcterms:modified xsi:type="dcterms:W3CDTF">2026-02-15T08:00:30Z</dcterms:modified>
</cp:coreProperties>
</file>